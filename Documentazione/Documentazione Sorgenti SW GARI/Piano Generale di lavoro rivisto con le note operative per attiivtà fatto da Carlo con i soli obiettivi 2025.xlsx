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Archivi\Regione\2023-2024\Agricoltura\Piano di lavoro generale RTI GARI\Documenti Secondo Piano di lavoro 2024 2025\"/>
    </mc:Choice>
  </mc:AlternateContent>
  <xr:revisionPtr revIDLastSave="0" documentId="13_ncr:1_{653C82E0-E1CC-4229-8EC0-D39008B09028}" xr6:coauthVersionLast="47" xr6:coauthVersionMax="47" xr10:uidLastSave="{00000000-0000-0000-0000-000000000000}"/>
  <bookViews>
    <workbookView xWindow="3150" yWindow="1740" windowWidth="23835" windowHeight="14130" tabRatio="743" activeTab="3" xr2:uid="{00000000-000D-0000-FFFF-FFFF00000000}"/>
  </bookViews>
  <sheets>
    <sheet name="Riepilogo Contratto" sheetId="1" r:id="rId1"/>
    <sheet name="Project Plan" sheetId="10" r:id="rId2"/>
    <sheet name="Sintesi Rendiconti" sheetId="7" r:id="rId3"/>
    <sheet name="Gantt" sheetId="3" r:id="rId4"/>
    <sheet name="Valori per liste a discesa" sheetId="4" state="hidden" r:id="rId5"/>
    <sheet name="Settore" sheetId="5" state="hidden" r:id="rId6"/>
    <sheet name="Legende" sheetId="6" r:id="rId7"/>
  </sheets>
  <definedNames>
    <definedName name="_xlnm._FilterDatabase" localSheetId="3" hidden="1">Gantt!$A$3:$CL$34</definedName>
    <definedName name="_xlnm._FilterDatabase" localSheetId="5" hidden="1">Settore!$A$1:$B$87</definedName>
    <definedName name="CEUmbria">#REF!</definedName>
    <definedName name="Inizio_progetto">#REF!</definedName>
    <definedName name="prevWBS" localSheetId="1">'Project Plan'!$A1048576</definedName>
    <definedName name="Visualizza_settimana">#REF!</definedName>
  </definedNames>
  <calcPr calcId="191029"/>
</workbook>
</file>

<file path=xl/calcChain.xml><?xml version="1.0" encoding="utf-8"?>
<calcChain xmlns="http://schemas.openxmlformats.org/spreadsheetml/2006/main">
  <c r="G13" i="3" l="1"/>
  <c r="G5" i="3"/>
  <c r="H45" i="7" l="1"/>
  <c r="B47" i="7"/>
  <c r="E47" i="7"/>
  <c r="D47" i="7"/>
  <c r="C47" i="7"/>
  <c r="J4" i="1" l="1"/>
  <c r="H53" i="10"/>
  <c r="B53" i="10"/>
  <c r="A53" i="10"/>
  <c r="E48" i="10"/>
  <c r="F41" i="10"/>
  <c r="F48" i="10"/>
  <c r="H12" i="10"/>
  <c r="H13" i="10"/>
  <c r="H14" i="10"/>
  <c r="H15" i="10"/>
  <c r="H17" i="10"/>
  <c r="H18" i="10"/>
  <c r="H19" i="10"/>
  <c r="H20" i="10"/>
  <c r="H21" i="10"/>
  <c r="H22" i="10"/>
  <c r="H25" i="10"/>
  <c r="H26" i="10"/>
  <c r="H29" i="10"/>
  <c r="H30" i="10"/>
  <c r="H31" i="10"/>
  <c r="H32" i="10"/>
  <c r="H33" i="10"/>
  <c r="H34" i="10"/>
  <c r="H35" i="10"/>
  <c r="H36" i="10"/>
  <c r="H40" i="10"/>
  <c r="H43" i="10"/>
  <c r="H46" i="10"/>
  <c r="H48" i="10"/>
  <c r="H49" i="10"/>
  <c r="H50" i="10"/>
  <c r="H51" i="10"/>
  <c r="H52" i="10"/>
  <c r="E12" i="10"/>
  <c r="F12" i="10"/>
  <c r="E13" i="10"/>
  <c r="F13" i="10"/>
  <c r="E14" i="10"/>
  <c r="F14" i="10"/>
  <c r="E15" i="10"/>
  <c r="F15" i="10"/>
  <c r="E17" i="10"/>
  <c r="F17" i="10"/>
  <c r="E18" i="10"/>
  <c r="F18" i="10"/>
  <c r="E19" i="10"/>
  <c r="F19" i="10"/>
  <c r="E20" i="10"/>
  <c r="F20" i="10"/>
  <c r="E21" i="10"/>
  <c r="F21" i="10"/>
  <c r="E22" i="10"/>
  <c r="F22" i="10"/>
  <c r="E24" i="10"/>
  <c r="F24" i="10"/>
  <c r="E25" i="10"/>
  <c r="F25" i="10"/>
  <c r="E26" i="10"/>
  <c r="F26" i="10"/>
  <c r="E28" i="10"/>
  <c r="F28" i="10"/>
  <c r="E29" i="10"/>
  <c r="F29" i="10"/>
  <c r="E30" i="10"/>
  <c r="F30" i="10"/>
  <c r="E31" i="10"/>
  <c r="F31" i="10"/>
  <c r="E32" i="10"/>
  <c r="F32" i="10"/>
  <c r="E33" i="10"/>
  <c r="F33" i="10"/>
  <c r="E34" i="10"/>
  <c r="F34" i="10"/>
  <c r="E35" i="10"/>
  <c r="F35" i="10"/>
  <c r="E36" i="10"/>
  <c r="F36" i="10"/>
  <c r="E40" i="10"/>
  <c r="E45" i="10"/>
  <c r="F45" i="10"/>
  <c r="E46" i="10"/>
  <c r="F46" i="10"/>
  <c r="B52" i="10"/>
  <c r="A52" i="10"/>
  <c r="B51" i="10"/>
  <c r="A51" i="10"/>
  <c r="B50" i="10"/>
  <c r="A50" i="10"/>
  <c r="B49" i="10"/>
  <c r="A49" i="10"/>
  <c r="B48" i="10"/>
  <c r="A48" i="10"/>
  <c r="B47" i="10"/>
  <c r="A47" i="10"/>
  <c r="B46" i="10"/>
  <c r="A46" i="10"/>
  <c r="B45" i="10"/>
  <c r="A45" i="10"/>
  <c r="B44" i="10"/>
  <c r="A44" i="10"/>
  <c r="B43" i="10"/>
  <c r="A43" i="10"/>
  <c r="B42" i="10"/>
  <c r="A42" i="10"/>
  <c r="B41" i="10"/>
  <c r="A41" i="10"/>
  <c r="B40" i="10"/>
  <c r="A40" i="10"/>
  <c r="B39" i="10"/>
  <c r="A39" i="10"/>
  <c r="B38" i="10"/>
  <c r="A38" i="10"/>
  <c r="B37" i="10"/>
  <c r="B36" i="10"/>
  <c r="A36" i="10"/>
  <c r="B35" i="10"/>
  <c r="A35" i="10"/>
  <c r="B34" i="10"/>
  <c r="A34" i="10"/>
  <c r="B33" i="10"/>
  <c r="A33" i="10"/>
  <c r="B32" i="10"/>
  <c r="A32" i="10"/>
  <c r="B31" i="10"/>
  <c r="A31" i="10"/>
  <c r="B30" i="10"/>
  <c r="A30" i="10"/>
  <c r="B29" i="10"/>
  <c r="A29" i="10"/>
  <c r="B28" i="10"/>
  <c r="A28" i="10"/>
  <c r="B27" i="10"/>
  <c r="A27" i="10"/>
  <c r="B26" i="10"/>
  <c r="A26" i="10"/>
  <c r="B25" i="10"/>
  <c r="A25" i="10"/>
  <c r="B24" i="10"/>
  <c r="A24" i="10"/>
  <c r="B23" i="10"/>
  <c r="A23" i="10"/>
  <c r="B22" i="10"/>
  <c r="A22" i="10"/>
  <c r="B21" i="10"/>
  <c r="A21" i="10"/>
  <c r="B20" i="10"/>
  <c r="A20" i="10"/>
  <c r="B19" i="10"/>
  <c r="A19" i="10"/>
  <c r="B18" i="10"/>
  <c r="A18" i="10"/>
  <c r="F11" i="10"/>
  <c r="E11" i="10"/>
  <c r="F9" i="10"/>
  <c r="E9" i="10"/>
  <c r="B10" i="10"/>
  <c r="B11" i="10"/>
  <c r="B12" i="10"/>
  <c r="B13" i="10"/>
  <c r="B14" i="10"/>
  <c r="B15" i="10"/>
  <c r="B16" i="10"/>
  <c r="B17" i="10"/>
  <c r="B9" i="10"/>
  <c r="A10" i="10"/>
  <c r="A11" i="10"/>
  <c r="A12" i="10"/>
  <c r="A13" i="10"/>
  <c r="A14" i="10"/>
  <c r="A15" i="10"/>
  <c r="A16" i="10"/>
  <c r="A17" i="10"/>
  <c r="A9" i="10"/>
  <c r="B8" i="10"/>
  <c r="F8" i="10"/>
  <c r="I8" i="10" s="1"/>
  <c r="A8" i="10"/>
  <c r="K6" i="10"/>
  <c r="K7" i="10" s="1"/>
  <c r="G9" i="10" l="1"/>
  <c r="G11" i="10"/>
  <c r="G45" i="10"/>
  <c r="G33" i="10"/>
  <c r="G24" i="10"/>
  <c r="G19" i="10"/>
  <c r="G15" i="10"/>
  <c r="G46" i="10"/>
  <c r="G30" i="10"/>
  <c r="E49" i="10"/>
  <c r="G36" i="10"/>
  <c r="G32" i="10"/>
  <c r="G28" i="10"/>
  <c r="G22" i="10"/>
  <c r="G18" i="10"/>
  <c r="G13" i="10"/>
  <c r="G35" i="10"/>
  <c r="G31" i="10"/>
  <c r="G26" i="10"/>
  <c r="G17" i="10"/>
  <c r="G12" i="10"/>
  <c r="G29" i="10"/>
  <c r="G14" i="10"/>
  <c r="F40" i="10"/>
  <c r="G40" i="10" s="1"/>
  <c r="I36" i="10"/>
  <c r="G34" i="10"/>
  <c r="G25" i="10"/>
  <c r="E41" i="10"/>
  <c r="G41" i="10" s="1"/>
  <c r="G21" i="10"/>
  <c r="G20" i="10"/>
  <c r="E42" i="10"/>
  <c r="G48" i="10"/>
  <c r="I48" i="10"/>
  <c r="I46" i="10"/>
  <c r="I37" i="10"/>
  <c r="I29" i="10"/>
  <c r="I31" i="10"/>
  <c r="I33" i="10"/>
  <c r="I35" i="10"/>
  <c r="I45" i="10"/>
  <c r="I47" i="10"/>
  <c r="I28" i="10"/>
  <c r="I14" i="10"/>
  <c r="I30" i="10"/>
  <c r="I32" i="10"/>
  <c r="I34" i="10"/>
  <c r="I38" i="10"/>
  <c r="I25" i="10"/>
  <c r="I17" i="10"/>
  <c r="I24" i="10"/>
  <c r="I26" i="10"/>
  <c r="I22" i="10"/>
  <c r="I15" i="10"/>
  <c r="I20" i="10"/>
  <c r="I11" i="10"/>
  <c r="I21" i="10"/>
  <c r="I12" i="10"/>
  <c r="I19" i="10"/>
  <c r="I18" i="10"/>
  <c r="I13" i="10"/>
  <c r="I9" i="10"/>
  <c r="K4" i="10"/>
  <c r="K5" i="10"/>
  <c r="L6" i="10"/>
  <c r="M6" i="10" s="1"/>
  <c r="N6" i="10" s="1"/>
  <c r="I40" i="10" l="1"/>
  <c r="I41" i="10"/>
  <c r="F49" i="10"/>
  <c r="E50" i="10"/>
  <c r="E43" i="10"/>
  <c r="F43" i="10"/>
  <c r="I43" i="10" s="1"/>
  <c r="F42" i="10"/>
  <c r="I42" i="10" s="1"/>
  <c r="M7" i="10"/>
  <c r="L7" i="10"/>
  <c r="N7" i="10"/>
  <c r="O6" i="10"/>
  <c r="F50" i="10" l="1"/>
  <c r="G50" i="10" s="1"/>
  <c r="E51" i="10"/>
  <c r="G49" i="10"/>
  <c r="I49" i="10"/>
  <c r="E52" i="10"/>
  <c r="F51" i="10"/>
  <c r="G42" i="10"/>
  <c r="G43" i="10"/>
  <c r="P6" i="10"/>
  <c r="O7" i="10"/>
  <c r="I50" i="10" l="1"/>
  <c r="E53" i="10"/>
  <c r="F52" i="10"/>
  <c r="F53" i="10"/>
  <c r="I51" i="10"/>
  <c r="G51" i="10"/>
  <c r="Q6" i="10"/>
  <c r="P7" i="10"/>
  <c r="G53" i="10" l="1"/>
  <c r="I53" i="10"/>
  <c r="G52" i="10"/>
  <c r="I52" i="10"/>
  <c r="R6" i="10"/>
  <c r="Q7" i="10"/>
  <c r="R4" i="10" l="1"/>
  <c r="R5" i="10"/>
  <c r="S6" i="10"/>
  <c r="R7" i="10"/>
  <c r="T6" i="10" l="1"/>
  <c r="S7" i="10"/>
  <c r="U6" i="10" l="1"/>
  <c r="T7" i="10"/>
  <c r="V6" i="10" l="1"/>
  <c r="U7" i="10"/>
  <c r="V7" i="10" l="1"/>
  <c r="W6" i="10"/>
  <c r="X6" i="10" l="1"/>
  <c r="W7" i="10"/>
  <c r="Y6" i="10" l="1"/>
  <c r="X7" i="10"/>
  <c r="Y5" i="10" l="1"/>
  <c r="Y4" i="10"/>
  <c r="Z6" i="10"/>
  <c r="Y7" i="10"/>
  <c r="AA6" i="10" l="1"/>
  <c r="Z7" i="10"/>
  <c r="AB6" i="10" l="1"/>
  <c r="AA7" i="10"/>
  <c r="AC6" i="10" l="1"/>
  <c r="AB7" i="10"/>
  <c r="AD6" i="10" l="1"/>
  <c r="AC7" i="10"/>
  <c r="AD7" i="10" l="1"/>
  <c r="AE6" i="10"/>
  <c r="AF6" i="10" l="1"/>
  <c r="AE7" i="10"/>
  <c r="AF5" i="10" l="1"/>
  <c r="AF4" i="10"/>
  <c r="AG6" i="10"/>
  <c r="AF7" i="10"/>
  <c r="AH6" i="10" l="1"/>
  <c r="AG7" i="10"/>
  <c r="AI6" i="10" l="1"/>
  <c r="AH7" i="10"/>
  <c r="AJ6" i="10" l="1"/>
  <c r="AI7" i="10"/>
  <c r="AK6" i="10" l="1"/>
  <c r="AJ7" i="10"/>
  <c r="AL6" i="10" l="1"/>
  <c r="AK7" i="10"/>
  <c r="AL7" i="10" l="1"/>
  <c r="AM6" i="10"/>
  <c r="AN6" i="10" l="1"/>
  <c r="AM7" i="10"/>
  <c r="AM5" i="10"/>
  <c r="AM4" i="10"/>
  <c r="AO6" i="10" l="1"/>
  <c r="AN7" i="10"/>
  <c r="AP6" i="10" l="1"/>
  <c r="AO7" i="10"/>
  <c r="AQ6" i="10" l="1"/>
  <c r="AP7" i="10"/>
  <c r="AR6" i="10" l="1"/>
  <c r="AQ7" i="10"/>
  <c r="AS6" i="10" l="1"/>
  <c r="AR7" i="10"/>
  <c r="AT6" i="10" l="1"/>
  <c r="AS7" i="10"/>
  <c r="AT7" i="10" l="1"/>
  <c r="AT5" i="10"/>
  <c r="AT4" i="10"/>
  <c r="AU6" i="10"/>
  <c r="AV6" i="10" l="1"/>
  <c r="AU7" i="10"/>
  <c r="AW6" i="10" l="1"/>
  <c r="AV7" i="10"/>
  <c r="AX6" i="10" l="1"/>
  <c r="AW7" i="10"/>
  <c r="AY6" i="10" l="1"/>
  <c r="AX7" i="10"/>
  <c r="AZ6" i="10" l="1"/>
  <c r="AY7" i="10"/>
  <c r="BA6" i="10" l="1"/>
  <c r="AZ7" i="10"/>
  <c r="BB6" i="10" l="1"/>
  <c r="BA7" i="10"/>
  <c r="BA4" i="10"/>
  <c r="BA5" i="10"/>
  <c r="BB7" i="10" l="1"/>
  <c r="BC6" i="10"/>
  <c r="BD6" i="10" l="1"/>
  <c r="BC7" i="10"/>
  <c r="BE6" i="10" l="1"/>
  <c r="BD7" i="10"/>
  <c r="BF6" i="10" l="1"/>
  <c r="BE7" i="10"/>
  <c r="BG6" i="10" l="1"/>
  <c r="BF7" i="10"/>
  <c r="BH6" i="10" l="1"/>
  <c r="BG7" i="10"/>
  <c r="BI6" i="10" l="1"/>
  <c r="BH7" i="10"/>
  <c r="BH5" i="10"/>
  <c r="BH4" i="10"/>
  <c r="BJ6" i="10" l="1"/>
  <c r="BI7" i="10"/>
  <c r="BJ7" i="10" l="1"/>
  <c r="BK6" i="10"/>
  <c r="BL6" i="10" l="1"/>
  <c r="BK7" i="10"/>
  <c r="BM6" i="10" l="1"/>
  <c r="BL7" i="10"/>
  <c r="BN6" i="10" l="1"/>
  <c r="BM7" i="10"/>
  <c r="BN7" i="10" l="1"/>
  <c r="BO6" i="10"/>
  <c r="BP6" i="10" l="1"/>
  <c r="BO7" i="10"/>
  <c r="BO5" i="10"/>
  <c r="BO4" i="10"/>
  <c r="BQ6" i="10" l="1"/>
  <c r="BP7" i="10"/>
  <c r="BQ7" i="10" l="1"/>
  <c r="BR6" i="10"/>
  <c r="BS6" i="10" l="1"/>
  <c r="BR7" i="10"/>
  <c r="BT6" i="10" l="1"/>
  <c r="BS7" i="10"/>
  <c r="BT7" i="10" l="1"/>
  <c r="BU6" i="10"/>
  <c r="BU7" i="10" s="1"/>
  <c r="F39" i="7" l="1"/>
  <c r="E39" i="7"/>
  <c r="D39" i="7"/>
  <c r="C39" i="7"/>
  <c r="F31" i="7"/>
  <c r="E31" i="7"/>
  <c r="D31" i="7"/>
  <c r="C31" i="7"/>
  <c r="J33" i="1"/>
  <c r="J32" i="1"/>
  <c r="J31" i="1"/>
  <c r="J30" i="1"/>
  <c r="I33" i="1"/>
  <c r="H34" i="1"/>
  <c r="G34" i="1"/>
  <c r="B37" i="7" s="1"/>
  <c r="F34" i="1"/>
  <c r="B29" i="7" s="1"/>
  <c r="E34" i="1"/>
  <c r="F33" i="1"/>
  <c r="B28" i="7" s="1"/>
  <c r="E33" i="1"/>
  <c r="D34" i="1"/>
  <c r="I32" i="1"/>
  <c r="I31" i="1"/>
  <c r="I30" i="1"/>
  <c r="H32" i="1"/>
  <c r="G32" i="1"/>
  <c r="F32" i="1"/>
  <c r="E32" i="1"/>
  <c r="E40" i="1" s="1"/>
  <c r="H31" i="1"/>
  <c r="G31" i="1"/>
  <c r="F31" i="1"/>
  <c r="E31" i="1"/>
  <c r="H30" i="1"/>
  <c r="G30" i="1"/>
  <c r="F30" i="1"/>
  <c r="D32" i="1"/>
  <c r="D31" i="1"/>
  <c r="D30" i="1"/>
  <c r="E30" i="1"/>
  <c r="E41" i="1" s="1"/>
  <c r="B21" i="7"/>
  <c r="B20" i="7"/>
  <c r="E13" i="7"/>
  <c r="C13" i="7"/>
  <c r="E49" i="7"/>
  <c r="H44" i="7"/>
  <c r="H43" i="7"/>
  <c r="D23" i="7"/>
  <c r="C23" i="7"/>
  <c r="C49" i="7" s="1"/>
  <c r="E11" i="7"/>
  <c r="D11" i="7"/>
  <c r="D13" i="7" s="1"/>
  <c r="H7" i="7"/>
  <c r="D49" i="7" l="1"/>
  <c r="G34" i="3" l="1"/>
  <c r="J34" i="1" s="1"/>
  <c r="G33" i="3"/>
  <c r="I34" i="1" s="1"/>
  <c r="H28" i="10"/>
  <c r="H33" i="1" l="1"/>
  <c r="G33" i="1" l="1"/>
  <c r="B36" i="7" s="1"/>
  <c r="F9" i="1"/>
  <c r="E9" i="1"/>
  <c r="D9" i="1"/>
  <c r="B9" i="7" s="1"/>
  <c r="F8" i="1"/>
  <c r="D8" i="1"/>
  <c r="B8" i="7" s="1"/>
  <c r="F7" i="1"/>
  <c r="D7" i="1"/>
  <c r="I29" i="1"/>
  <c r="G29" i="1"/>
  <c r="F29" i="1"/>
  <c r="J7" i="1"/>
  <c r="J11" i="1" s="1"/>
  <c r="F5" i="1"/>
  <c r="D5" i="1"/>
  <c r="E5" i="1"/>
  <c r="F6" i="1"/>
  <c r="E6" i="1"/>
  <c r="D6" i="1"/>
  <c r="G17" i="3"/>
  <c r="G10" i="3"/>
  <c r="H24" i="10"/>
  <c r="H11" i="10"/>
  <c r="G29" i="3"/>
  <c r="G28" i="3" s="1"/>
  <c r="G32" i="3"/>
  <c r="F24" i="1"/>
  <c r="E24" i="1"/>
  <c r="D24" i="1"/>
  <c r="H24" i="1" s="1"/>
  <c r="H22" i="1"/>
  <c r="H21" i="1"/>
  <c r="H20" i="1"/>
  <c r="H19" i="1"/>
  <c r="H18" i="1"/>
  <c r="H13" i="1"/>
  <c r="H45" i="10"/>
  <c r="G4" i="3" l="1"/>
  <c r="F41" i="1"/>
  <c r="F36" i="1"/>
  <c r="I36" i="1"/>
  <c r="I41" i="1"/>
  <c r="B34" i="7"/>
  <c r="B39" i="7" s="1"/>
  <c r="H39" i="7" s="1"/>
  <c r="G41" i="1"/>
  <c r="D33" i="1"/>
  <c r="B26" i="7"/>
  <c r="B31" i="7" s="1"/>
  <c r="G36" i="1"/>
  <c r="G27" i="3"/>
  <c r="H29" i="1"/>
  <c r="D4" i="1"/>
  <c r="J29" i="1"/>
  <c r="F4" i="1"/>
  <c r="F11" i="1" s="1"/>
  <c r="H8" i="7"/>
  <c r="B11" i="7"/>
  <c r="B13" i="7" s="1"/>
  <c r="H9" i="10"/>
  <c r="E8" i="1"/>
  <c r="H8" i="1" s="1"/>
  <c r="K8" i="1" s="1"/>
  <c r="D29" i="1"/>
  <c r="E7" i="1"/>
  <c r="E4" i="1" s="1"/>
  <c r="E29" i="1"/>
  <c r="H9" i="1"/>
  <c r="K9" i="1" s="1"/>
  <c r="D39" i="1" l="1"/>
  <c r="D40" i="1" s="1"/>
  <c r="B40" i="1" s="1"/>
  <c r="D36" i="1"/>
  <c r="E39" i="1"/>
  <c r="E36" i="1"/>
  <c r="J36" i="1"/>
  <c r="J41" i="1"/>
  <c r="H36" i="1"/>
  <c r="H41" i="1"/>
  <c r="B18" i="7"/>
  <c r="B23" i="7" s="1"/>
  <c r="H23" i="7" s="1"/>
  <c r="H31" i="7"/>
  <c r="E11" i="1"/>
  <c r="F6" i="7"/>
  <c r="D11" i="1"/>
  <c r="J22" i="1"/>
  <c r="J21" i="1"/>
  <c r="F11" i="7" l="1"/>
  <c r="F13" i="7" s="1"/>
  <c r="F42" i="7"/>
  <c r="B49" i="7"/>
  <c r="L36" i="1"/>
  <c r="H11" i="1"/>
  <c r="H6" i="7"/>
  <c r="H11" i="7" s="1"/>
  <c r="H13" i="7" s="1"/>
  <c r="H6" i="1"/>
  <c r="K6" i="1" s="1"/>
  <c r="H42" i="7" l="1"/>
  <c r="H47" i="7" s="1"/>
  <c r="H49" i="7" s="1"/>
  <c r="F47" i="7"/>
  <c r="F49" i="7" s="1"/>
  <c r="J19" i="1"/>
  <c r="H5" i="1" l="1"/>
  <c r="K5" i="1" s="1"/>
  <c r="H7" i="1"/>
  <c r="K7" i="1" s="1"/>
  <c r="H4" i="1" l="1"/>
  <c r="J20" i="1"/>
  <c r="J18" i="1"/>
  <c r="J12" i="1"/>
  <c r="H42" i="10" l="1"/>
  <c r="H41"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A5B0FCE1-A349-4D86-A529-7FBF3645B51B}">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DAB754D7-4B35-4B6F-A913-2688D166B892}">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792F8A4B-4F6D-4F1D-9FED-46A6D809B4E2}">
      <text>
        <r>
          <rPr>
            <b/>
            <sz val="9"/>
            <color indexed="81"/>
            <rFont val="Tahoma"/>
            <family val="2"/>
          </rPr>
          <t>Task Lead</t>
        </r>
        <r>
          <rPr>
            <sz val="9"/>
            <color indexed="81"/>
            <rFont val="Tahoma"/>
            <family val="2"/>
          </rPr>
          <t xml:space="preserve">
Enter the name of the Task Lead in this column.</t>
        </r>
      </text>
    </comment>
    <comment ref="D7" authorId="0" shapeId="0" xr:uid="{6F7B6C56-C87A-4201-8FA7-CCE13E29BB28}">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3647FED9-7256-4888-8152-26D745320971}">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366B88F5-6C69-4436-95EF-25C46C172D5C}">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2E5C96D3-1BE1-42C0-9FAF-28E10157FC4A}">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xr:uid="{36FD9D0B-5C67-42EF-B854-06169F34375A}">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F943AC7F-9B29-4184-842D-0D49A8B5EC36}">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<sst xmlns="http://schemas.openxmlformats.org/spreadsheetml/2006/main" count="518" uniqueCount="378">
  <si>
    <t>TOTALE</t>
  </si>
  <si>
    <t>Servizi Applicativi</t>
  </si>
  <si>
    <t>MEV/MAD</t>
  </si>
  <si>
    <t xml:space="preserve">Supporto specialistico Applicativo </t>
  </si>
  <si>
    <t>Servizi di Call Center</t>
  </si>
  <si>
    <t>TOTALI DA PDF</t>
  </si>
  <si>
    <t>ID</t>
  </si>
  <si>
    <t>STATO</t>
  </si>
  <si>
    <t>Titolo attività</t>
  </si>
  <si>
    <t>Servizio</t>
  </si>
  <si>
    <t>Ownership</t>
  </si>
  <si>
    <t>% Completamento</t>
  </si>
  <si>
    <t>Note</t>
  </si>
  <si>
    <t>DA AVVIARE</t>
  </si>
  <si>
    <t>Sviluppo software</t>
  </si>
  <si>
    <t>RILASCIATO IN ESERCIZIO</t>
  </si>
  <si>
    <t>IN CORSO</t>
  </si>
  <si>
    <t>COMPLETATO</t>
  </si>
  <si>
    <t>Leonardo</t>
  </si>
  <si>
    <t>Supp. Spec. App. (Consumo)</t>
  </si>
  <si>
    <t>CANCELLATO</t>
  </si>
  <si>
    <t>SERVIZI DI CALL CENTER</t>
  </si>
  <si>
    <t>Servizi Desk(Canone)</t>
  </si>
  <si>
    <t>SERVIZI DI SUPPORTO SPECIALISTICO APPLICATIVO</t>
  </si>
  <si>
    <t>Stati</t>
  </si>
  <si>
    <t>Priorità</t>
  </si>
  <si>
    <t>Attori</t>
  </si>
  <si>
    <t>Referenti</t>
  </si>
  <si>
    <t>Tipologia attività</t>
  </si>
  <si>
    <t>PIANIFICATO</t>
  </si>
  <si>
    <t>1-Alta</t>
  </si>
  <si>
    <t>Progettuale</t>
  </si>
  <si>
    <t>Supporto Specialistico (a consumo)</t>
  </si>
  <si>
    <t>2-Media</t>
  </si>
  <si>
    <t>Continuativa</t>
  </si>
  <si>
    <t>3-Bassa</t>
  </si>
  <si>
    <t>DA RIPIANIFICARE</t>
  </si>
  <si>
    <t>NECESSARI APPROFONDIMENTI PER AVVIO</t>
  </si>
  <si>
    <t>DA PIANIFICARE</t>
  </si>
  <si>
    <t>RILASCIATO IN COLLAUDO</t>
  </si>
  <si>
    <t>ESITO POSITIVO AL COLLAUDO</t>
  </si>
  <si>
    <t>CODICE PIANO LDCSIN / CODICE COMPUTO</t>
  </si>
  <si>
    <t>denominazione Piano / descrizione computo</t>
  </si>
  <si>
    <t>001</t>
  </si>
  <si>
    <t>Fascicolo Aziendale OC</t>
  </si>
  <si>
    <t>002</t>
  </si>
  <si>
    <t>Fascicolo Aziendale OP</t>
  </si>
  <si>
    <t>003</t>
  </si>
  <si>
    <t>Condizionalità (SICC - Sistema integrato di controllo e condizionalità)</t>
  </si>
  <si>
    <t>006</t>
  </si>
  <si>
    <t>Miele</t>
  </si>
  <si>
    <t>007</t>
  </si>
  <si>
    <t>Domanda Unica</t>
  </si>
  <si>
    <t>008</t>
  </si>
  <si>
    <t xml:space="preserve">Tabacco </t>
  </si>
  <si>
    <t>009</t>
  </si>
  <si>
    <t>Latte</t>
  </si>
  <si>
    <t>010</t>
  </si>
  <si>
    <t>Aiuti nazionali filiere zootecniche</t>
  </si>
  <si>
    <t>011</t>
  </si>
  <si>
    <t>Ortofrutta fresca (programmi operativi)</t>
  </si>
  <si>
    <t>012</t>
  </si>
  <si>
    <t>PIANO PER LA RIGENERAZIONE OLIVICOLA DELLA PUGLIA DM 2484/2020 -INTERVENTI COMPENSATIVI A FAVORE DEI FRANTOI OLEARI</t>
  </si>
  <si>
    <t>014</t>
  </si>
  <si>
    <t>Registro titoli</t>
  </si>
  <si>
    <t>015</t>
  </si>
  <si>
    <t>Servizi fitosanitari</t>
  </si>
  <si>
    <t>016</t>
  </si>
  <si>
    <t>VCM</t>
  </si>
  <si>
    <t>017</t>
  </si>
  <si>
    <t>Agricoltura Biologica /SIB - sistema informatico del biologico</t>
  </si>
  <si>
    <t>018</t>
  </si>
  <si>
    <t>Sviluppo rurale -aiuti a superfici</t>
  </si>
  <si>
    <t>019</t>
  </si>
  <si>
    <t>Set aside strutturale</t>
  </si>
  <si>
    <t>020</t>
  </si>
  <si>
    <t>Sviluppo Rurale - Aiuti a strutture</t>
  </si>
  <si>
    <t>021</t>
  </si>
  <si>
    <t>CAI/Condizionalità</t>
  </si>
  <si>
    <t>022</t>
  </si>
  <si>
    <t>Programmi di sostegno all'olio d'oliva</t>
  </si>
  <si>
    <t>023</t>
  </si>
  <si>
    <t>Produzione integrata</t>
  </si>
  <si>
    <t>024</t>
  </si>
  <si>
    <t>Vino - distillazione,  arricchimento e magazzinaggio</t>
  </si>
  <si>
    <t>025</t>
  </si>
  <si>
    <t>Controlli oggettivi software</t>
  </si>
  <si>
    <t>026</t>
  </si>
  <si>
    <t>Potenziale produttivo viticolo - settore</t>
  </si>
  <si>
    <t>027</t>
  </si>
  <si>
    <t>Estirpazione e ristrutturazione vigneti; Ristrutturazione e riconversione vigneti</t>
  </si>
  <si>
    <t>028</t>
  </si>
  <si>
    <t>PIANO PER LA RIGENERAZIONE OLIVICOLA DELLA PUGLIA DM 2484/2020 - REIMPIANTI OLIVI ZONA INFETTA e SALVAGUARDIA OLIVI SECOLARI E MONUMENTALI</t>
  </si>
  <si>
    <t>029</t>
  </si>
  <si>
    <t>Vino - raccolta/produzione e giacenza</t>
  </si>
  <si>
    <t>030</t>
  </si>
  <si>
    <t>Domande di aiuto nazionale al settore vitivinicolo (Contenimento delle rese e stoccaggio vini)</t>
  </si>
  <si>
    <t>031</t>
  </si>
  <si>
    <t>Ulteriori servizi a supporto per il coordinamento - Controlli CAA II Livello</t>
  </si>
  <si>
    <t>032</t>
  </si>
  <si>
    <t>Vendemmia verde</t>
  </si>
  <si>
    <t>033</t>
  </si>
  <si>
    <t>Registri di carico e scarico (DL 91/2014 - LEGGE 116 11/8/2014)</t>
  </si>
  <si>
    <t>034</t>
  </si>
  <si>
    <t>Portale</t>
  </si>
  <si>
    <t>035</t>
  </si>
  <si>
    <t>Gestione posizioni amministrative (esecuzione pagamenti)</t>
  </si>
  <si>
    <t>036</t>
  </si>
  <si>
    <t>Monitoraggio Spese e Tabella delle X (OP ed OC)</t>
  </si>
  <si>
    <t>037</t>
  </si>
  <si>
    <t>Ulteriori servizi a supporto per il coordinamento - Controlli ex-post Reg. 1306/2013</t>
  </si>
  <si>
    <t>038</t>
  </si>
  <si>
    <t>Interscambio</t>
  </si>
  <si>
    <t>039</t>
  </si>
  <si>
    <t>GEOTAG</t>
  </si>
  <si>
    <t>040</t>
  </si>
  <si>
    <t>Protocollo</t>
  </si>
  <si>
    <t>041</t>
  </si>
  <si>
    <t>Aiuti agli indigenti</t>
  </si>
  <si>
    <t>042</t>
  </si>
  <si>
    <t>Sistemi di supporto alle decisioni</t>
  </si>
  <si>
    <t>043</t>
  </si>
  <si>
    <t>Aiuti di stato (registro)</t>
  </si>
  <si>
    <t>044</t>
  </si>
  <si>
    <t>Registro nazionale operatori ortofrutticoli (rno)</t>
  </si>
  <si>
    <t>045</t>
  </si>
  <si>
    <t>Monitoraggio e supporto alle decisioni</t>
  </si>
  <si>
    <t>046</t>
  </si>
  <si>
    <t>GIS</t>
  </si>
  <si>
    <t>047</t>
  </si>
  <si>
    <t>Sgu - sistema gestione utenti</t>
  </si>
  <si>
    <t>048</t>
  </si>
  <si>
    <t>Crediti da Irregolarita', crediti settoriali, garanzie e pignoramenti</t>
  </si>
  <si>
    <t>049</t>
  </si>
  <si>
    <t>Contabilita'</t>
  </si>
  <si>
    <t>050</t>
  </si>
  <si>
    <t>Registro Nazionale Debiti</t>
  </si>
  <si>
    <t>051</t>
  </si>
  <si>
    <t>Vino - programmi di promozione</t>
  </si>
  <si>
    <t>052</t>
  </si>
  <si>
    <t>DM GELATE - Aiuto ai frantoi colpiti da gelate</t>
  </si>
  <si>
    <t>053</t>
  </si>
  <si>
    <t>DM 9361598 del 4/12/2020 - Aiuti IV Gamma e I Gamma evoluta</t>
  </si>
  <si>
    <t>054</t>
  </si>
  <si>
    <t>Olio - Interventi per la filiera olivicola – art. 1 Legge 30 dicembre 2020, n. 178</t>
  </si>
  <si>
    <t>060</t>
  </si>
  <si>
    <t>Oli vegetali puri</t>
  </si>
  <si>
    <t>061</t>
  </si>
  <si>
    <t>Vino - misura a investimenti</t>
  </si>
  <si>
    <t>062</t>
  </si>
  <si>
    <t>Pesca</t>
  </si>
  <si>
    <t>063</t>
  </si>
  <si>
    <t>Sistema di Monitoraggio PSR 2023-2027</t>
  </si>
  <si>
    <t>065</t>
  </si>
  <si>
    <t>Filiera olio:icqrf-tracciabilita' prodotto olio di oliva</t>
  </si>
  <si>
    <t>066</t>
  </si>
  <si>
    <t>Aiuti generalizzati e ulteriori servizi a supporto</t>
  </si>
  <si>
    <t>068</t>
  </si>
  <si>
    <t>MAIN-Pagamenti Pregressi</t>
  </si>
  <si>
    <t>069</t>
  </si>
  <si>
    <t xml:space="preserve">Aiuti nazionali alle superfici </t>
  </si>
  <si>
    <t>070</t>
  </si>
  <si>
    <t>APPLICAZIONI PER DISPOSITIVI MOBILI</t>
  </si>
  <si>
    <t>071</t>
  </si>
  <si>
    <t>Assicurazioni agricole agevolate M17.1 OI</t>
  </si>
  <si>
    <t>072</t>
  </si>
  <si>
    <t>Sistema di prevenzione delle frodi</t>
  </si>
  <si>
    <t>073</t>
  </si>
  <si>
    <t>Repository Unico dei Certificati</t>
  </si>
  <si>
    <t>074</t>
  </si>
  <si>
    <t xml:space="preserve">Monitoring sentinel (AMS Area Monitoring Sentinel) </t>
  </si>
  <si>
    <t>075</t>
  </si>
  <si>
    <t>Contabilità economica e controllo di gestione</t>
  </si>
  <si>
    <t>076</t>
  </si>
  <si>
    <t>Assicurazioni agricole agevolate M17.1 OP</t>
  </si>
  <si>
    <t>077</t>
  </si>
  <si>
    <t>Assicurazioni agricole agevolate nazionali</t>
  </si>
  <si>
    <t>078</t>
  </si>
  <si>
    <t>Assicurazioni agricole agevolate M17.2 OI</t>
  </si>
  <si>
    <t>079</t>
  </si>
  <si>
    <t>Assicurazioni agricole agevolate M17.2 OP</t>
  </si>
  <si>
    <t>080</t>
  </si>
  <si>
    <t>Infrastruttura tecnologica</t>
  </si>
  <si>
    <t>081</t>
  </si>
  <si>
    <t>Supporto Uffici Agea L4</t>
  </si>
  <si>
    <t>082</t>
  </si>
  <si>
    <t xml:space="preserve">Controlli amministrativi, in loco ed ex post per le domande di pagamento delle misure 10,2,1 4,3,1 20,1,1 20,2,1 e 16,2,1 del PSRN e RRN </t>
  </si>
  <si>
    <t>083</t>
  </si>
  <si>
    <t>Nuova PAC</t>
  </si>
  <si>
    <t>084</t>
  </si>
  <si>
    <t>Aiuti nazionali alle imprese di trasformazione zootecniche</t>
  </si>
  <si>
    <t>085</t>
  </si>
  <si>
    <t>Registro delle operazioni colturali (Adozione del quaderno di campagna elettronico)</t>
  </si>
  <si>
    <t>086</t>
  </si>
  <si>
    <t>Monitoraggio osservatorio agrometeorologico</t>
  </si>
  <si>
    <t>087</t>
  </si>
  <si>
    <t>Servizi on demand</t>
  </si>
  <si>
    <t>088</t>
  </si>
  <si>
    <t xml:space="preserve"> Zone agricole svantaggiate per l’agricoltura</t>
  </si>
  <si>
    <t>090</t>
  </si>
  <si>
    <t>Assicurazioni agricole agevolate M17.3 OI</t>
  </si>
  <si>
    <t>091</t>
  </si>
  <si>
    <t>Assicurazioni agricole agevolate M17.3 OP</t>
  </si>
  <si>
    <t>092</t>
  </si>
  <si>
    <t>Data Platform and Business Intelligence</t>
  </si>
  <si>
    <t>093</t>
  </si>
  <si>
    <t>Data Governance</t>
  </si>
  <si>
    <t>094</t>
  </si>
  <si>
    <t>PNRR – Innovazione e meccanizzazione</t>
  </si>
  <si>
    <t>095</t>
  </si>
  <si>
    <t>Interoperabilità</t>
  </si>
  <si>
    <t>096</t>
  </si>
  <si>
    <t>SCHEDARI</t>
  </si>
  <si>
    <t>097</t>
  </si>
  <si>
    <t>sistema di supporto all’Ufficio Tecnico</t>
  </si>
  <si>
    <t>SETTORI AGGIUNTI</t>
  </si>
  <si>
    <t>NECESSARI APPROFONDIMENTI PER L'AVVIO</t>
  </si>
  <si>
    <t>RIPIANIFICATA</t>
  </si>
  <si>
    <t>I SEM 2025</t>
  </si>
  <si>
    <t>IV TRIM 2023</t>
  </si>
  <si>
    <t>MEV</t>
  </si>
  <si>
    <t>Sviluppo</t>
  </si>
  <si>
    <t>Assistenza spec</t>
  </si>
  <si>
    <t>Call center</t>
  </si>
  <si>
    <t>Conduzione Applicativa</t>
  </si>
  <si>
    <t>3.2</t>
  </si>
  <si>
    <t>Sviluppo Software gg/persona</t>
  </si>
  <si>
    <t>PdF</t>
  </si>
  <si>
    <t>TOTALE 
PIANIFICATO</t>
  </si>
  <si>
    <t>3.1</t>
  </si>
  <si>
    <t>1.3</t>
  </si>
  <si>
    <t>Abaco</t>
  </si>
  <si>
    <t>I TRIMESTRE 2024</t>
  </si>
  <si>
    <t>I TRIMESTRE 2025</t>
  </si>
  <si>
    <t>II TRIMESTRE 2025</t>
  </si>
  <si>
    <t>II TRIMESTRE 2024</t>
  </si>
  <si>
    <t>III TRIMESTRE 2024</t>
  </si>
  <si>
    <t>IV TRIMESTRE 2024</t>
  </si>
  <si>
    <t>III TRIMESTRE 2025</t>
  </si>
  <si>
    <t>IV TRIMESTRE 2025</t>
  </si>
  <si>
    <t>1.4</t>
  </si>
  <si>
    <t>Data rilascio in Produzione</t>
  </si>
  <si>
    <t>1.2</t>
  </si>
  <si>
    <t>3.3</t>
  </si>
  <si>
    <t>Conduzione applicativa(Consumo)</t>
  </si>
  <si>
    <t>Totale Collaudato</t>
  </si>
  <si>
    <t>Pianificato</t>
  </si>
  <si>
    <t>Totale  Pianificato</t>
  </si>
  <si>
    <t>1.5</t>
  </si>
  <si>
    <t>Residuo da Pianificare</t>
  </si>
  <si>
    <t>III TRIMESTRE 2023</t>
  </si>
  <si>
    <t>IV TRIMESTRE 2023</t>
  </si>
  <si>
    <t>Supporto Specialistico - I TRIM 2025</t>
  </si>
  <si>
    <t>Supporto Specialistico - II TRIM 2025</t>
  </si>
  <si>
    <t>I TRIM 2024</t>
  </si>
  <si>
    <t>II TRIM 2024</t>
  </si>
  <si>
    <t>III TRIM 2024</t>
  </si>
  <si>
    <t>IV TRIM 2024</t>
  </si>
  <si>
    <t>I TRIM 2025</t>
  </si>
  <si>
    <t>II TRIM 2025</t>
  </si>
  <si>
    <t>MEV - GARI QDCA - DSS - solo front-end (no algoritmi /API) + adeguamento salvataggio su GARI degli output relativi ai consigli dei Modelli Previsionali difesa e Irrigazione + Meteo (DSS)</t>
  </si>
  <si>
    <t>4.1</t>
  </si>
  <si>
    <t>4.2</t>
  </si>
  <si>
    <t>GARI - QDCA</t>
  </si>
  <si>
    <t>GARI BASE</t>
  </si>
  <si>
    <t>GARI PUA</t>
  </si>
  <si>
    <t>Report ARPA: dati di impiego dei prodotti fitosanitari</t>
  </si>
  <si>
    <t>2.6</t>
  </si>
  <si>
    <t>GARI PA - UMA</t>
  </si>
  <si>
    <t>4.3</t>
  </si>
  <si>
    <t>4.4</t>
  </si>
  <si>
    <t>4.5</t>
  </si>
  <si>
    <t>4.6</t>
  </si>
  <si>
    <t>4.7</t>
  </si>
  <si>
    <t>4.8</t>
  </si>
  <si>
    <t>TOTALE 
PdF</t>
  </si>
  <si>
    <t>Data Ricezione Richiesta Intervento</t>
  </si>
  <si>
    <t xml:space="preserve">Sviluppo SW GARI - DSS per misure ACA </t>
  </si>
  <si>
    <t>Attivazione registri bio nel contesto del  QDCA GARI, setting, configurazioni, profilazioni utenti, ecc.</t>
  </si>
  <si>
    <t>4.9</t>
  </si>
  <si>
    <t>Previsto da Progetto dei Fabbisogni</t>
  </si>
  <si>
    <t>Scheda richiesta intervento GARI Umbria PUA-Rev.1.0 del 11/06/2024</t>
  </si>
  <si>
    <t>GARI Umbria - Intervento dati impiego fitosanitari - pec del 1/8/2024</t>
  </si>
  <si>
    <t>Implementazione del Modulo di Gestione dei documenti funzionale ai moduli GARI (Evolutive, installazione, configurazione/setting e profilazione utenza)</t>
  </si>
  <si>
    <t>Sviluppo SW GARI - Misure ACA</t>
  </si>
  <si>
    <t>Previsto da Progetto dei Fabbisogni per quanto concerne il passaggio all'utilizzo del PCG.</t>
  </si>
  <si>
    <t xml:space="preserve">Sviluppo funzionalità di Interlavoro con il sistema SIAN per importare il Piano colturale Grafico AGEA, compendiato dagli attributi catastali alfanumerici e altre informazioni legate alle consistenze aziendali funzionali alla gestione GARI
Con acquisizione dei dati di fascicolo necessari ai procedimenti del GARI se e come esposti da AGEA. </t>
  </si>
  <si>
    <t>Acquisizione ,raccordo e verifica dei dati  Meteo/DSS da sorgenti esterne</t>
  </si>
  <si>
    <t>Acquisizione, raccordo e verifica dei dati  Meteo/DSS da sorgenti esterne</t>
  </si>
  <si>
    <t>Revisione dei moduli QUADERNO SQNPI e BIO  per essere utilizzabili e integrabili  sulle nuove tecnologie introdotte con il paradigma PCG</t>
  </si>
  <si>
    <t>GARI Umbria Interventi ACA rev 01.00 ( ricevuta via pec del 04/03/2024)</t>
  </si>
  <si>
    <t xml:space="preserve">Data Accettazione Documentazione </t>
  </si>
  <si>
    <t>Data Consegna Documentazione da parte RTI</t>
  </si>
  <si>
    <t>UMA  Re-ingegnerizzazione della piattaforma GIAS per implementare la nuova piattaforma GARI su nuove tecnologie introdotte con il paradigma PCG</t>
  </si>
  <si>
    <t>Documento di FASE UNICA RU-9992150707-PUA-Sviluppi-FU-01.00 del 24/07/2024</t>
  </si>
  <si>
    <t>GARI-PUA Re-ingegnerizzazione della piattaforma GIAS per implementare la nuova piattaforma GARI su nuove tecnologie ( i.e  tecnologia Angular)</t>
  </si>
  <si>
    <t>QCDA-Re-ingegnerizzazione della piattaforma GIAS per implementare la nuova piattaforma GARI su nuove tecnologie ( i.e  tecnologia Angular)</t>
  </si>
  <si>
    <t>Specifiche Progettazione RU-9992150707-PUA-SP-02.00</t>
  </si>
  <si>
    <t>Documento di FASE UNICA RU-9992150707-ACA-FU-01.02 del 01/08/2024</t>
  </si>
  <si>
    <t>Documento di FASE UNICA RU-9992150707-QUAD-Report_Fito-FU-01.00 del 28/08/2024</t>
  </si>
  <si>
    <t>Specifiche Progettazione RU-9992150707-QUAD-SP-02.00</t>
  </si>
  <si>
    <t>Implementazione del modulo GARI-GIS  per la gestione( nel contesto GIS) i dati importati dal SIAN relativi al PCG (nuovo sistema di riferimento wgs84)</t>
  </si>
  <si>
    <t>Gestione delle Anagrafiche (risorse , macchine, analisi terreno etc)</t>
  </si>
  <si>
    <t xml:space="preserve">Nuovo Modulo PUA incluso la interoperabilità con ACA per le 04 13 e 24 - Fase1 </t>
  </si>
  <si>
    <t>Nuovo Modulo PUA collegamento e funzionamento su base PCG - Fase2</t>
  </si>
  <si>
    <t>N.A.</t>
  </si>
  <si>
    <t>Documento in redazione</t>
  </si>
  <si>
    <t>Servizi call center - I TRIM 2025</t>
  </si>
  <si>
    <t>Servizi call center - II TRIM 2025</t>
  </si>
  <si>
    <t>Piano Lavoro Obiettivo -GARI Umbria - Interventi ACA Rev.01.00</t>
  </si>
  <si>
    <t>Piano Lavoro Obiettivo - Gestione ACA DSS</t>
  </si>
  <si>
    <t>Piano Lavoro Obiettivo -  Gestione SRA ACA</t>
  </si>
  <si>
    <t>Piano Lavoro Obiettivo - Sviluppi PUA</t>
  </si>
  <si>
    <t>Piano Lavoro Obiettivo - Report Fitosanitari</t>
  </si>
  <si>
    <t>5.2</t>
  </si>
  <si>
    <t>5.2.1</t>
  </si>
  <si>
    <t>5.2.2</t>
  </si>
  <si>
    <t>6.5</t>
  </si>
  <si>
    <t>6.6</t>
  </si>
  <si>
    <t>LEONARDO</t>
  </si>
  <si>
    <t>DXC</t>
  </si>
  <si>
    <t>ABACO</t>
  </si>
  <si>
    <t>E-GEOS</t>
  </si>
  <si>
    <t>GREEN-AUS</t>
  </si>
  <si>
    <t>ANNO 2023</t>
  </si>
  <si>
    <t>Servzi Infrastrutturali</t>
  </si>
  <si>
    <t>Servizi di supporto specialistico</t>
  </si>
  <si>
    <t>Call Center</t>
  </si>
  <si>
    <t>TOTALI</t>
  </si>
  <si>
    <t>IV Trimestre 2023</t>
  </si>
  <si>
    <t>TOTALE ANNO 2023</t>
  </si>
  <si>
    <t>ANNO 2024</t>
  </si>
  <si>
    <t>I Trimestre 2024</t>
  </si>
  <si>
    <t>Compilati</t>
  </si>
  <si>
    <t>II Trimestre 2024</t>
  </si>
  <si>
    <t>III Trimestre 2024</t>
  </si>
  <si>
    <t>TOTALE ANNO 2024</t>
  </si>
  <si>
    <t>SERVIZI APPLICATIVI - ATTIVITA' DI CARATTERE PROGETTUALE
(Sviluppo SW + MEV+Supporto Specialistico Operativo)</t>
  </si>
  <si>
    <t xml:space="preserve">ATTIVITA' DI CARATTERE CONTINUATIVO (NON PROGETTUALE)
</t>
  </si>
  <si>
    <t xml:space="preserve">Supporto Specialistico Applicativo </t>
  </si>
  <si>
    <t>Predecessore
/vincoli</t>
  </si>
  <si>
    <t>Deliverable Associato</t>
  </si>
  <si>
    <t>Piano di lavoro obiettivo</t>
  </si>
  <si>
    <t>Obiettivo/Intervento</t>
  </si>
  <si>
    <t>Data di pronti al Collaudo</t>
  </si>
  <si>
    <t xml:space="preserve">Display Week </t>
  </si>
  <si>
    <t xml:space="preserve">Project Lead </t>
  </si>
  <si>
    <r>
      <rPr>
        <i/>
        <u/>
        <sz val="8"/>
        <color theme="1" tint="0.34998626667073579"/>
        <rFont val="Arial"/>
        <family val="2"/>
      </rPr>
      <t>Gantt Chart Template</t>
    </r>
    <r>
      <rPr>
        <i/>
        <sz val="8"/>
        <color theme="1" tint="0.34998626667073579"/>
        <rFont val="Arial"/>
        <family val="2"/>
      </rPr>
      <t xml:space="preserve"> © 2006-2018 by Vertex42.com.</t>
    </r>
  </si>
  <si>
    <t>WBS</t>
  </si>
  <si>
    <t>TASK</t>
  </si>
  <si>
    <t>LEAD</t>
  </si>
  <si>
    <t>Regione Umbria - GARI</t>
  </si>
  <si>
    <t>Data Inizio Progetto</t>
  </si>
  <si>
    <t>PREDECESSORI</t>
  </si>
  <si>
    <t>INIZIO</t>
  </si>
  <si>
    <t>FINE</t>
  </si>
  <si>
    <t>Durata gg</t>
  </si>
  <si>
    <t>% COMPLETAMENTO</t>
  </si>
  <si>
    <t>GIORNI Lavorativi</t>
  </si>
  <si>
    <t>Documento di FASE UNICA RU-9992150707-ACA_DSS-FU-01.00 del 14/06/2024</t>
  </si>
  <si>
    <t>Greenaus</t>
  </si>
  <si>
    <t>Supporto Specialistico  2025</t>
  </si>
  <si>
    <t>2.7</t>
  </si>
  <si>
    <t>UMA  Evolutive scheda intervento</t>
  </si>
  <si>
    <t>Note operative di risultato da seguire per il corretto espletamento degli impegni</t>
  </si>
  <si>
    <r>
      <rPr>
        <b/>
        <sz val="16"/>
        <color rgb="FFC00000"/>
        <rFont val="Calibri"/>
        <family val="2"/>
      </rPr>
      <t xml:space="preserve">8. </t>
    </r>
    <r>
      <rPr>
        <sz val="16"/>
        <color theme="1"/>
        <rFont val="Calibri"/>
        <family val="2"/>
      </rPr>
      <t xml:space="preserve">aggiornamento mensile del Piano Lavoro obiettivo con lo stato avanzamento lavoro
</t>
    </r>
    <r>
      <rPr>
        <b/>
        <sz val="16"/>
        <color rgb="FFC00000"/>
        <rFont val="Calibri"/>
        <family val="2"/>
      </rPr>
      <t>9.</t>
    </r>
    <r>
      <rPr>
        <sz val="16"/>
        <color theme="1"/>
        <rFont val="Calibri"/>
        <family val="2"/>
      </rPr>
      <t>Documento appendice al Documento previsto al codice</t>
    </r>
    <r>
      <rPr>
        <b/>
        <sz val="16"/>
        <color rgb="FFC00000"/>
        <rFont val="Calibri"/>
        <family val="2"/>
      </rPr>
      <t xml:space="preserve"> 2.</t>
    </r>
    <r>
      <rPr>
        <sz val="16"/>
        <color theme="1"/>
        <rFont val="Calibri"/>
        <family val="2"/>
      </rPr>
      <t xml:space="preserve"> in cui siano rappresentati le strutture dati delle anagrafiche. Mentre la descriizione dell'uso delle funzioni andranno che manuale utente GARI BASE (documentazione ulteriore attiivtà cod. 1.2)
10. Attività di gestione e aggiornamento di tutta la documentazione del Repository con una rubrica/elenco organizzato della documentazione presente e rilasciata,. Il Repoitory è l'area di collaudo dei documenti di Progetto e fa parte integrante degli output/deliverbles rilasciati dal fornitore, pertanto parte integrante dell'accettazione del Prodotto/fornitura in titolarità.
</t>
    </r>
    <r>
      <rPr>
        <b/>
        <sz val="16"/>
        <color rgb="FFC00000"/>
        <rFont val="Calibri"/>
        <family val="2"/>
      </rPr>
      <t xml:space="preserve">10. </t>
    </r>
    <r>
      <rPr>
        <sz val="16"/>
        <color theme="1"/>
        <rFont val="Calibri"/>
        <family val="2"/>
      </rPr>
      <t xml:space="preserve">Inserimento e aggiornamento delle attiivtà di sviluppo nel Piano Lavoro Obiettivo per gli ACA/Registri SQNPI e per la parte del Fascicolo Aziendale GARI per le parti extradati SIAN
11. Sviluppi dei modulli di servizio come servizi GARI trasversali ai servizi verticali GARI. POssibilità, per questo motivo di essere inseriti nel capitolo "Servizi accessori di GARI Base" come descrizione dei prodotti/software tecnico funzionale nel documento al punto </t>
    </r>
    <r>
      <rPr>
        <b/>
        <sz val="16"/>
        <color rgb="FFC00000"/>
        <rFont val="Calibri"/>
        <family val="2"/>
      </rPr>
      <t>1.</t>
    </r>
    <r>
      <rPr>
        <sz val="16"/>
        <color theme="1"/>
        <rFont val="Calibri"/>
        <family val="2"/>
      </rPr>
      <t xml:space="preserve"> dell'attività codice 1.2</t>
    </r>
  </si>
  <si>
    <r>
      <rPr>
        <b/>
        <sz val="16"/>
        <color rgb="FFC00000"/>
        <rFont val="Calibri"/>
        <family val="2"/>
        <scheme val="minor"/>
      </rPr>
      <t>11.</t>
    </r>
    <r>
      <rPr>
        <sz val="16"/>
        <color theme="1"/>
        <rFont val="Calibri"/>
        <family val="2"/>
        <scheme val="minor"/>
      </rPr>
      <t xml:space="preserve"> Sezione descrittiva tecnica economica da inserire nel documento al punto </t>
    </r>
    <r>
      <rPr>
        <b/>
        <sz val="16"/>
        <color rgb="FFC00000"/>
        <rFont val="Calibri"/>
        <family val="2"/>
        <scheme val="minor"/>
      </rPr>
      <t xml:space="preserve">1. </t>
    </r>
    <r>
      <rPr>
        <sz val="16"/>
        <color theme="1"/>
        <rFont val="Calibri"/>
        <family val="2"/>
        <scheme val="minor"/>
      </rPr>
      <t xml:space="preserve">dell'attività codice 1.2 O in alternativa, se prodotta una valutazione specifica per la reingegnerizzazione di UMA, un documento a se stante dove deve essere prevista una specifica sezione del  modello/servizi e tecnologie di interazione e cooperazione con il GARI BASE grafico
</t>
    </r>
    <r>
      <rPr>
        <b/>
        <sz val="16"/>
        <color rgb="FFC00000"/>
        <rFont val="Calibri"/>
        <family val="2"/>
        <scheme val="minor"/>
      </rPr>
      <t>12.</t>
    </r>
    <r>
      <rPr>
        <sz val="16"/>
        <color theme="1"/>
        <rFont val="Calibri"/>
        <family val="2"/>
        <scheme val="minor"/>
      </rPr>
      <t xml:space="preserve"> Predisposizione Paino di lavoro obiettivo della attività di reingegnerizzazione UMA del GARI BAse grafico o in alternativa produrre un piano laoro ad hoc
</t>
    </r>
    <r>
      <rPr>
        <b/>
        <sz val="16"/>
        <color rgb="FFC00000"/>
        <rFont val="Calibri"/>
        <family val="2"/>
        <scheme val="minor"/>
      </rPr>
      <t>13.</t>
    </r>
    <r>
      <rPr>
        <sz val="16"/>
        <rFont val="Calibri"/>
        <family val="2"/>
        <scheme val="minor"/>
      </rPr>
      <t xml:space="preserve"> Approv</t>
    </r>
    <r>
      <rPr>
        <sz val="16"/>
        <color theme="1"/>
        <rFont val="Calibri"/>
        <family val="2"/>
        <scheme val="minor"/>
      </rPr>
      <t xml:space="preserve">azione di Regione delle attività previa allocazione risorse da Residui di Progetto 2024
</t>
    </r>
    <r>
      <rPr>
        <b/>
        <sz val="16"/>
        <color rgb="FFC00000"/>
        <rFont val="Calibri"/>
        <family val="2"/>
        <scheme val="minor"/>
      </rPr>
      <t xml:space="preserve">14. </t>
    </r>
    <r>
      <rPr>
        <sz val="16"/>
        <color theme="1"/>
        <rFont val="Calibri"/>
        <family val="2"/>
        <scheme val="minor"/>
      </rPr>
      <t xml:space="preserve">Esecuzione sviluppo software per integrazione nuove funzionalità
</t>
    </r>
    <r>
      <rPr>
        <b/>
        <sz val="16"/>
        <color rgb="FFC00000"/>
        <rFont val="Calibri"/>
        <family val="2"/>
        <scheme val="minor"/>
      </rPr>
      <t xml:space="preserve">15. </t>
    </r>
    <r>
      <rPr>
        <sz val="16"/>
        <rFont val="Calibri"/>
        <family val="2"/>
        <scheme val="minor"/>
      </rPr>
      <t xml:space="preserve">Produzione e </t>
    </r>
    <r>
      <rPr>
        <sz val="16"/>
        <color theme="1"/>
        <rFont val="Calibri"/>
        <family val="2"/>
        <scheme val="minor"/>
      </rPr>
      <t xml:space="preserve">Gestione documenti del prodotto realizzato nel Repository come previsto dal Progetto / Contratto
</t>
    </r>
    <r>
      <rPr>
        <b/>
        <sz val="16"/>
        <color rgb="FFC00000"/>
        <rFont val="Calibri"/>
        <family val="2"/>
        <scheme val="minor"/>
      </rPr>
      <t xml:space="preserve">16. </t>
    </r>
    <r>
      <rPr>
        <sz val="16"/>
        <color theme="1"/>
        <rFont val="Calibri"/>
        <family val="2"/>
        <scheme val="minor"/>
      </rPr>
      <t xml:space="preserve">Piano di formazione dell'utenza per il nuovo servizio UMA. Attività di formazione da calendario deve essere rendicontata nelle attività si supporto Non porgettuali
</t>
    </r>
  </si>
  <si>
    <r>
      <rPr>
        <b/>
        <sz val="16"/>
        <color rgb="FFC00000"/>
        <rFont val="Calibri"/>
        <family val="2"/>
      </rPr>
      <t>16</t>
    </r>
    <r>
      <rPr>
        <sz val="16"/>
        <color theme="1"/>
        <rFont val="Calibri"/>
        <family val="2"/>
      </rPr>
      <t xml:space="preserve">. Documento tecnico economico in risposta alla scheda intervento Regione UMA 2025
</t>
    </r>
    <r>
      <rPr>
        <b/>
        <sz val="16"/>
        <color rgb="FFC00000"/>
        <rFont val="Calibri"/>
        <family val="2"/>
      </rPr>
      <t xml:space="preserve">17. </t>
    </r>
    <r>
      <rPr>
        <sz val="16"/>
        <color theme="1"/>
        <rFont val="Calibri"/>
        <family val="2"/>
      </rPr>
      <t xml:space="preserve">Predisposizione Paino di lavoro obiettivo UMA 2025
</t>
    </r>
    <r>
      <rPr>
        <b/>
        <sz val="16"/>
        <color rgb="FFC00000"/>
        <rFont val="Calibri"/>
        <family val="2"/>
      </rPr>
      <t>18.</t>
    </r>
    <r>
      <rPr>
        <sz val="16"/>
        <color theme="1"/>
        <rFont val="Calibri"/>
        <family val="2"/>
      </rPr>
      <t xml:space="preserve"> Approvazione di Regione delle attività previa allocazione risorse da Residui di Progetto 2024
</t>
    </r>
    <r>
      <rPr>
        <b/>
        <sz val="16"/>
        <color rgb="FFC00000"/>
        <rFont val="Calibri"/>
        <family val="2"/>
      </rPr>
      <t>19.</t>
    </r>
    <r>
      <rPr>
        <sz val="16"/>
        <color theme="1"/>
        <rFont val="Calibri"/>
        <family val="2"/>
      </rPr>
      <t xml:space="preserve"> Esecuzione sviluppo software per integrazione nuove funzionalità
</t>
    </r>
    <r>
      <rPr>
        <b/>
        <sz val="16"/>
        <color rgb="FFC00000"/>
        <rFont val="Calibri"/>
        <family val="2"/>
      </rPr>
      <t>20.</t>
    </r>
    <r>
      <rPr>
        <sz val="16"/>
        <color theme="1"/>
        <rFont val="Calibri"/>
        <family val="2"/>
      </rPr>
      <t xml:space="preserve"> Predisposizioni Piani di formazione utenza dove previsto in accordo con uffici regionali
</t>
    </r>
    <r>
      <rPr>
        <b/>
        <sz val="16"/>
        <color rgb="FFC00000"/>
        <rFont val="Calibri"/>
        <family val="2"/>
      </rPr>
      <t>21.</t>
    </r>
    <r>
      <rPr>
        <sz val="16"/>
        <color theme="1"/>
        <rFont val="Calibri"/>
        <family val="2"/>
      </rPr>
      <t xml:space="preserve"> Pianificazione eventuali fermi servizio per aggiornamento release di servizio in esercizio</t>
    </r>
  </si>
  <si>
    <r>
      <rPr>
        <b/>
        <sz val="16"/>
        <color rgb="FFC00000"/>
        <rFont val="Calibri"/>
        <family val="2"/>
      </rPr>
      <t xml:space="preserve">22. </t>
    </r>
    <r>
      <rPr>
        <sz val="16"/>
        <color theme="1"/>
        <rFont val="Calibri"/>
        <family val="2"/>
      </rPr>
      <t xml:space="preserve">Documento tecnico economico del nuovo PUA grafico 2025. In questo caso il documento di risposta alla scheda intervento PUA DEVE essere già previsto tecnicamente e fuinzionalmente al'interno delGARI Grafico 2025. In questo caso il documento può essere nel capitolo dei servizi verticali speciaistici che si appogigano interoperano sul Gari Grafico
Pipano Lavoro obiettivo del PUA 2025
</t>
    </r>
    <r>
      <rPr>
        <b/>
        <sz val="16"/>
        <color rgb="FFC00000"/>
        <rFont val="Calibri"/>
        <family val="2"/>
      </rPr>
      <t>23</t>
    </r>
    <r>
      <rPr>
        <sz val="16"/>
        <color theme="1"/>
        <rFont val="Calibri"/>
        <family val="2"/>
      </rPr>
      <t xml:space="preserve">. approvazione realizzazione Regione
</t>
    </r>
    <r>
      <rPr>
        <b/>
        <sz val="16"/>
        <color rgb="FFC00000"/>
        <rFont val="Calibri"/>
        <family val="2"/>
      </rPr>
      <t>24.</t>
    </r>
    <r>
      <rPr>
        <sz val="16"/>
        <color theme="1"/>
        <rFont val="Calibri"/>
        <family val="2"/>
      </rPr>
      <t xml:space="preserve"> Attività di sviluppo del PUA 2025
</t>
    </r>
    <r>
      <rPr>
        <b/>
        <sz val="16"/>
        <color rgb="FFC00000"/>
        <rFont val="Calibri"/>
        <family val="2"/>
      </rPr>
      <t xml:space="preserve">25. </t>
    </r>
    <r>
      <rPr>
        <sz val="16"/>
        <color theme="1"/>
        <rFont val="Calibri"/>
        <family val="2"/>
      </rPr>
      <t xml:space="preserve">Stato avanzamento mensile lavoro
</t>
    </r>
    <r>
      <rPr>
        <b/>
        <sz val="16"/>
        <color rgb="FFC00000"/>
        <rFont val="Calibri"/>
        <family val="2"/>
      </rPr>
      <t>26.</t>
    </r>
    <r>
      <rPr>
        <sz val="16"/>
        <color theme="1"/>
        <rFont val="Calibri"/>
        <family val="2"/>
      </rPr>
      <t xml:space="preserve"> Gestione documenti previsti nel Repository, vale la regole del collaudo nel Repo dei documenti parten integrante del rilascio del prodotto
</t>
    </r>
    <r>
      <rPr>
        <b/>
        <sz val="16"/>
        <color rgb="FFC00000"/>
        <rFont val="Calibri"/>
        <family val="2"/>
      </rPr>
      <t xml:space="preserve">27. </t>
    </r>
    <r>
      <rPr>
        <sz val="16"/>
        <color theme="1"/>
        <rFont val="Calibri"/>
        <family val="2"/>
      </rPr>
      <t xml:space="preserve">Predisposizioni Piani di formazione utenza dove previsto in accordo con uffici regionali
</t>
    </r>
    <r>
      <rPr>
        <b/>
        <sz val="16"/>
        <color rgb="FFC00000"/>
        <rFont val="Calibri"/>
        <family val="2"/>
      </rPr>
      <t xml:space="preserve">28. </t>
    </r>
    <r>
      <rPr>
        <sz val="16"/>
        <color theme="1"/>
        <rFont val="Calibri"/>
        <family val="2"/>
      </rPr>
      <t>Pianificazione eventuali fermi servizio per aggiornamento release di servizio in esercizio</t>
    </r>
  </si>
  <si>
    <r>
      <rPr>
        <b/>
        <sz val="16"/>
        <color rgb="FFC00000"/>
        <rFont val="Calibri"/>
        <family val="2"/>
      </rPr>
      <t>29.</t>
    </r>
    <r>
      <rPr>
        <sz val="16"/>
        <color theme="1"/>
        <rFont val="Calibri"/>
        <family val="2"/>
      </rPr>
      <t xml:space="preserve"> modulo di servizio descritto nel documento PUA con riferimenti a quello degli ACA /SQNPI
</t>
    </r>
    <r>
      <rPr>
        <b/>
        <sz val="16"/>
        <color rgb="FFC00000"/>
        <rFont val="Calibri"/>
        <family val="2"/>
      </rPr>
      <t xml:space="preserve">30. </t>
    </r>
    <r>
      <rPr>
        <sz val="16"/>
        <color theme="1"/>
        <rFont val="Calibri"/>
        <family val="2"/>
      </rPr>
      <t xml:space="preserve">Sviluppo software già autorizzato e in corso per riferimento alla compilazione a registro degli adempimenti ACA fertilizzazione a registro
</t>
    </r>
    <r>
      <rPr>
        <b/>
        <sz val="16"/>
        <color rgb="FFC00000"/>
        <rFont val="Calibri"/>
        <family val="2"/>
      </rPr>
      <t xml:space="preserve">31. </t>
    </r>
    <r>
      <rPr>
        <sz val="16"/>
        <color theme="1"/>
        <rFont val="Calibri"/>
        <family val="2"/>
      </rPr>
      <t xml:space="preserve">Inserimento e gestione attiivtà sul Piano di lavoro ACa come rilascio del componente reperimento e verifica attività PUa per ACA con il semplice riferimento al PIano lacoro PUA
</t>
    </r>
    <r>
      <rPr>
        <b/>
        <sz val="16"/>
        <color rgb="FFC00000"/>
        <rFont val="Calibri"/>
        <family val="2"/>
      </rPr>
      <t xml:space="preserve">32. </t>
    </r>
    <r>
      <rPr>
        <sz val="16"/>
        <color theme="1"/>
        <rFont val="Calibri"/>
        <family val="2"/>
      </rPr>
      <t>Inserimento della documentazione prevista nel documento ACA con riferimenti a quello PUA. Documentazione reperibile all'interno del Repository dove deve essere gestita</t>
    </r>
  </si>
  <si>
    <r>
      <rPr>
        <b/>
        <sz val="16"/>
        <color rgb="FFC00000"/>
        <rFont val="Calibri"/>
        <family val="2"/>
      </rPr>
      <t>33.</t>
    </r>
    <r>
      <rPr>
        <sz val="16"/>
        <color theme="1"/>
        <rFont val="Calibri"/>
        <family val="2"/>
      </rPr>
      <t xml:space="preserve"> Documnetazioine dell'intervento all'interno del documento 1. dell'attività 1.2 inerente i servizi verticali che si appoggiano sul nuovo Gari Base grafico
</t>
    </r>
    <r>
      <rPr>
        <b/>
        <sz val="16"/>
        <color rgb="FFC00000"/>
        <rFont val="Calibri"/>
        <family val="2"/>
      </rPr>
      <t>34.</t>
    </r>
    <r>
      <rPr>
        <sz val="16"/>
        <color theme="1"/>
        <rFont val="Calibri"/>
        <family val="2"/>
      </rPr>
      <t xml:space="preserve"> Sviluppo del software effettuato a seguito appovazione documento proposta attività 1.2</t>
    </r>
  </si>
  <si>
    <r>
      <rPr>
        <b/>
        <sz val="16"/>
        <color rgb="FFC00000"/>
        <rFont val="Calibri"/>
        <family val="2"/>
      </rPr>
      <t xml:space="preserve">35.  </t>
    </r>
    <r>
      <rPr>
        <sz val="16"/>
        <color theme="1"/>
        <rFont val="Calibri"/>
        <family val="2"/>
      </rPr>
      <t xml:space="preserve">Documento tecnico economico del nuovo Quaderno grafico 2025. In questo caso il documento di risposta alla scheda intervento QDCA DEVE essere già previsto tecnicamente e fuinzionalmente al'interno delGARI Grafico 2025. In questo caso il documento può essere nel capitolo dei servizi verticali speciaistici che si appogigano interoperano sul Gari Grafico
Pipano Lavoro obiettivo del PUA 2025
</t>
    </r>
    <r>
      <rPr>
        <b/>
        <sz val="16"/>
        <color rgb="FFC00000"/>
        <rFont val="Calibri"/>
        <family val="2"/>
      </rPr>
      <t>36</t>
    </r>
    <r>
      <rPr>
        <sz val="16"/>
        <color theme="1"/>
        <rFont val="Calibri"/>
        <family val="2"/>
      </rPr>
      <t xml:space="preserve">. approvazione realizzazione Regione
</t>
    </r>
    <r>
      <rPr>
        <b/>
        <sz val="16"/>
        <color rgb="FFC00000"/>
        <rFont val="Calibri"/>
        <family val="2"/>
      </rPr>
      <t>37.</t>
    </r>
    <r>
      <rPr>
        <sz val="16"/>
        <color theme="1"/>
        <rFont val="Calibri"/>
        <family val="2"/>
      </rPr>
      <t xml:space="preserve"> Attività di sviluppo del QDCA 2025
</t>
    </r>
    <r>
      <rPr>
        <b/>
        <sz val="16"/>
        <color rgb="FFC00000"/>
        <rFont val="Calibri"/>
        <family val="2"/>
      </rPr>
      <t xml:space="preserve">38. </t>
    </r>
    <r>
      <rPr>
        <sz val="16"/>
        <color theme="1"/>
        <rFont val="Calibri"/>
        <family val="2"/>
      </rPr>
      <t xml:space="preserve">Stato avanzamento mensile lavoro
</t>
    </r>
    <r>
      <rPr>
        <b/>
        <sz val="16"/>
        <color rgb="FFC00000"/>
        <rFont val="Calibri"/>
        <family val="2"/>
      </rPr>
      <t xml:space="preserve">39. </t>
    </r>
    <r>
      <rPr>
        <sz val="16"/>
        <color theme="1"/>
        <rFont val="Calibri"/>
        <family val="2"/>
      </rPr>
      <t xml:space="preserve">Gestione documenti previsti nel Repository, vale la regole del collaudo nel Repo dei documenti parten integrante del rilascio del prodotto
</t>
    </r>
    <r>
      <rPr>
        <b/>
        <sz val="16"/>
        <color rgb="FFC00000"/>
        <rFont val="Calibri"/>
        <family val="2"/>
      </rPr>
      <t xml:space="preserve">40. </t>
    </r>
    <r>
      <rPr>
        <sz val="16"/>
        <color theme="1"/>
        <rFont val="Calibri"/>
        <family val="2"/>
      </rPr>
      <t xml:space="preserve">Predisposizioni Piani di formazione utenza dove previsto in accordo con uffici regionali
</t>
    </r>
    <r>
      <rPr>
        <b/>
        <sz val="16"/>
        <color rgb="FFC00000"/>
        <rFont val="Calibri"/>
        <family val="2"/>
      </rPr>
      <t xml:space="preserve">41. </t>
    </r>
    <r>
      <rPr>
        <sz val="16"/>
        <color theme="1"/>
        <rFont val="Calibri"/>
        <family val="2"/>
      </rPr>
      <t>Pianificazione eventuali fermi servizio per aggiornamento release di servizio in esercizio</t>
    </r>
  </si>
  <si>
    <r>
      <rPr>
        <b/>
        <sz val="16"/>
        <color rgb="FFC00000"/>
        <rFont val="Calibri"/>
        <family val="2"/>
      </rPr>
      <t xml:space="preserve">58. </t>
    </r>
    <r>
      <rPr>
        <sz val="16"/>
        <color theme="1"/>
        <rFont val="Calibri"/>
        <family val="2"/>
      </rPr>
      <t xml:space="preserve">Documenti tecnico economici prodotti e approvati novembre 2024
</t>
    </r>
    <r>
      <rPr>
        <b/>
        <sz val="16"/>
        <color rgb="FFC00000"/>
        <rFont val="Calibri"/>
        <family val="2"/>
      </rPr>
      <t>58b.</t>
    </r>
    <r>
      <rPr>
        <sz val="16"/>
        <color theme="1"/>
        <rFont val="Calibri"/>
        <family val="2"/>
      </rPr>
      <t xml:space="preserve"> Piano di realizzazione del Servizio con indicazione del rilascioin esercizio
</t>
    </r>
    <r>
      <rPr>
        <b/>
        <sz val="16"/>
        <color rgb="FFC00000"/>
        <rFont val="Calibri"/>
        <family val="2"/>
      </rPr>
      <t xml:space="preserve">59. </t>
    </r>
    <r>
      <rPr>
        <sz val="16"/>
        <color theme="1"/>
        <rFont val="Calibri"/>
        <family val="2"/>
      </rPr>
      <t xml:space="preserve">Attività di sviluppo 
</t>
    </r>
    <r>
      <rPr>
        <b/>
        <sz val="16"/>
        <color rgb="FFC00000"/>
        <rFont val="Calibri"/>
        <family val="2"/>
      </rPr>
      <t xml:space="preserve">60. </t>
    </r>
    <r>
      <rPr>
        <sz val="16"/>
        <color theme="1"/>
        <rFont val="Calibri"/>
        <family val="2"/>
      </rPr>
      <t xml:space="preserve">Rendcontazione attiivtà di ingegnerizzazione svolta nov/dic 2024
</t>
    </r>
    <r>
      <rPr>
        <b/>
        <sz val="16"/>
        <color rgb="FFC00000"/>
        <rFont val="Calibri"/>
        <family val="2"/>
      </rPr>
      <t>61.</t>
    </r>
    <r>
      <rPr>
        <sz val="16"/>
        <color theme="1"/>
        <rFont val="Calibri"/>
        <family val="2"/>
      </rPr>
      <t xml:space="preserve"> predisposizione dei documenti di prodotto allo stato dell'arte nel Rerpository necessari al collaudo, gestione degli stessi fino alla conclusione dell'attività
</t>
    </r>
    <r>
      <rPr>
        <b/>
        <sz val="16"/>
        <color rgb="FFC00000"/>
        <rFont val="Calibri"/>
        <family val="2"/>
      </rPr>
      <t xml:space="preserve">62. </t>
    </r>
    <r>
      <rPr>
        <sz val="16"/>
        <rFont val="Calibri"/>
        <family val="2"/>
      </rPr>
      <t>Pian</t>
    </r>
    <r>
      <rPr>
        <sz val="16"/>
        <color theme="1"/>
        <rFont val="Calibri"/>
        <family val="2"/>
      </rPr>
      <t xml:space="preserve">o di formazione utenza sull'uso del software di reportistica con rilascio manuale utente ad hoc. Ci sono utenti che non usano il GARI ma questo strumento
</t>
    </r>
    <r>
      <rPr>
        <b/>
        <sz val="16"/>
        <color rgb="FFC00000"/>
        <rFont val="Calibri"/>
        <family val="2"/>
      </rPr>
      <t>63.</t>
    </r>
    <r>
      <rPr>
        <sz val="16"/>
        <color theme="1"/>
        <rFont val="Calibri"/>
        <family val="2"/>
      </rPr>
      <t xml:space="preserve"> Colladuo del servizio e rilascio nel Gari esercizio
</t>
    </r>
  </si>
  <si>
    <r>
      <rPr>
        <b/>
        <sz val="16"/>
        <color rgb="FFC00000"/>
        <rFont val="Calibri"/>
        <family val="2"/>
      </rPr>
      <t>50.</t>
    </r>
    <r>
      <rPr>
        <sz val="16"/>
        <color theme="1"/>
        <rFont val="Calibri"/>
        <family val="2"/>
      </rPr>
      <t xml:space="preserve"> Documenti tecnico economici prodotti e approvati novembre 2024
</t>
    </r>
    <r>
      <rPr>
        <b/>
        <sz val="16"/>
        <color rgb="FFC00000"/>
        <rFont val="Calibri"/>
        <family val="2"/>
      </rPr>
      <t xml:space="preserve">51. </t>
    </r>
    <r>
      <rPr>
        <sz val="16"/>
        <color theme="1"/>
        <rFont val="Calibri"/>
        <family val="2"/>
      </rPr>
      <t xml:space="preserve">Attività di sviluppo in corso
</t>
    </r>
    <r>
      <rPr>
        <b/>
        <sz val="16"/>
        <color rgb="FFC00000"/>
        <rFont val="Calibri"/>
        <family val="2"/>
      </rPr>
      <t xml:space="preserve">52. </t>
    </r>
    <r>
      <rPr>
        <sz val="16"/>
        <color theme="1"/>
        <rFont val="Calibri"/>
        <family val="2"/>
      </rPr>
      <t xml:space="preserve">Rendcontazione attiivtà di ingegnerizzazione svolta nov/dic 2024
</t>
    </r>
    <r>
      <rPr>
        <b/>
        <sz val="16"/>
        <color rgb="FFC00000"/>
        <rFont val="Calibri"/>
        <family val="2"/>
      </rPr>
      <t>52a</t>
    </r>
    <r>
      <rPr>
        <sz val="16"/>
        <color theme="1"/>
        <rFont val="Calibri"/>
        <family val="2"/>
      </rPr>
      <t xml:space="preserve">.predisposizione dei verbali di collaudo attiivtà di rendicontazione nov/dic 2024
</t>
    </r>
    <r>
      <rPr>
        <b/>
        <sz val="16"/>
        <color rgb="FFC00000"/>
        <rFont val="Calibri"/>
        <family val="2"/>
      </rPr>
      <t xml:space="preserve">52b. </t>
    </r>
    <r>
      <rPr>
        <sz val="16"/>
        <color theme="1"/>
        <rFont val="Calibri"/>
        <family val="2"/>
      </rPr>
      <t xml:space="preserve">predisposizione dei documenti di prodotto allo stato dell'arte nel Rerpository necessari al collaudo, gestione degli stessi fino alla conclusione dell'attività (4.3)
</t>
    </r>
    <r>
      <rPr>
        <b/>
        <sz val="16"/>
        <color rgb="FFC00000"/>
        <rFont val="Calibri"/>
        <family val="2"/>
      </rPr>
      <t>53.</t>
    </r>
    <r>
      <rPr>
        <sz val="16"/>
        <color theme="1"/>
        <rFont val="Calibri"/>
        <family val="2"/>
      </rPr>
      <t xml:space="preserve"> predisposizione aggiornamento Piano di lavoro obiettivo per i DSS
</t>
    </r>
    <r>
      <rPr>
        <b/>
        <sz val="16"/>
        <color rgb="FFC00000"/>
        <rFont val="Calibri"/>
        <family val="2"/>
      </rPr>
      <t>54.</t>
    </r>
    <r>
      <rPr>
        <sz val="16"/>
        <color theme="1"/>
        <rFont val="Calibri"/>
        <family val="2"/>
      </rPr>
      <t xml:space="preserve"> Pianificare attivazione in esercizio nei Registri SQNPI/BIO per l'ijterazione con il DSS
</t>
    </r>
    <r>
      <rPr>
        <b/>
        <sz val="16"/>
        <color rgb="FFC00000"/>
        <rFont val="Calibri"/>
        <family val="2"/>
      </rPr>
      <t xml:space="preserve">55. </t>
    </r>
    <r>
      <rPr>
        <sz val="16"/>
        <color theme="1"/>
        <rFont val="Calibri"/>
        <family val="2"/>
      </rPr>
      <t xml:space="preserve">Piano di formazione dell'uso del servizio DSS
</t>
    </r>
    <r>
      <rPr>
        <b/>
        <sz val="16"/>
        <color rgb="FFC00000"/>
        <rFont val="Calibri"/>
        <family val="2"/>
      </rPr>
      <t>56.</t>
    </r>
    <r>
      <rPr>
        <sz val="16"/>
        <color theme="1"/>
        <rFont val="Calibri"/>
        <family val="2"/>
      </rPr>
      <t xml:space="preserve"> Pianificare e effettuare l'attività di formazione/change mng al personale della Regione con definizione ed organizzazione servizi di Helop Desk di primo e secondo livello specialistici per la materia DSS/fitiosanitaria, utilizzo dello strumento e errori, uso e interpretazione dei documenti e dei materiali/informazioni di archivi ed anagrafi da collegare agli adempimenti delle righe di registrontazione attiivtà di ingegnerizzazione svolta nov/dic 2024
</t>
    </r>
    <r>
      <rPr>
        <b/>
        <sz val="16"/>
        <color rgb="FFC00000"/>
        <rFont val="Calibri"/>
        <family val="2"/>
      </rPr>
      <t xml:space="preserve">57. </t>
    </r>
    <r>
      <rPr>
        <sz val="16"/>
        <color theme="1"/>
        <rFont val="Calibri"/>
        <family val="2"/>
      </rPr>
      <t xml:space="preserve">Organizzazione e documentazione del servizio reso per la durata del contratto come assistenza RTI all'uso del servizio previsto dal Progetto (attiivtà 4.5 e .4.6) le attivitè a riguardo dovranno essere documentate come Servizi si assistenza e supporto alla fruizione dei dati DSS da parte delle Aziende, attraverso la produzione di registri delle prescrizioni e dei cosigli irrigui prodotti e rilasdciata negli archivi GAri previsti dall'attività 4.4 
</t>
    </r>
    <r>
      <rPr>
        <b/>
        <sz val="16"/>
        <color rgb="FFC00000"/>
        <rFont val="Calibri"/>
        <family val="2"/>
      </rPr>
      <t>58.</t>
    </r>
    <r>
      <rPr>
        <sz val="16"/>
        <color theme="1"/>
        <rFont val="Calibri"/>
        <family val="2"/>
      </rPr>
      <t xml:space="preserve"> Valutare e correggere eventuali Servizi professionali presenti in questa sezioine nel PIano se introdurli come attività e costi nelle attività non si progettazione e documentarle con rendicontazione trimestrale nel Piano di esercizio. In questo caso va ripresentato un nuovo Piano Generale del lavoro. se resta come attività 4.5 e 4.6 invece deve essere comunque prodotto quanto previsto al punto </t>
    </r>
    <r>
      <rPr>
        <b/>
        <sz val="16"/>
        <color rgb="FFC00000"/>
        <rFont val="Calibri"/>
        <family val="2"/>
      </rPr>
      <t xml:space="preserve">57. </t>
    </r>
    <r>
      <rPr>
        <sz val="16"/>
        <color theme="1"/>
        <rFont val="Calibri"/>
        <family val="2"/>
      </rPr>
      <t>del presente PIano.</t>
    </r>
  </si>
  <si>
    <r>
      <rPr>
        <b/>
        <sz val="16"/>
        <color rgb="FFC00000"/>
        <rFont val="Calibri"/>
        <family val="2"/>
        <scheme val="minor"/>
      </rPr>
      <t>64.</t>
    </r>
    <r>
      <rPr>
        <sz val="16"/>
        <color theme="1"/>
        <rFont val="Calibri"/>
        <family val="2"/>
        <scheme val="minor"/>
      </rPr>
      <t xml:space="preserve"> Sezione descrittiva tecnica economica da inserire nel documento al punto </t>
    </r>
    <r>
      <rPr>
        <b/>
        <sz val="16"/>
        <color rgb="FFC00000"/>
        <rFont val="Calibri"/>
        <family val="2"/>
        <scheme val="minor"/>
      </rPr>
      <t xml:space="preserve">1. </t>
    </r>
    <r>
      <rPr>
        <sz val="16"/>
        <color theme="1"/>
        <rFont val="Calibri"/>
        <family val="2"/>
        <scheme val="minor"/>
      </rPr>
      <t xml:space="preserve">dell'attività codice 1.2 nella sezione del  modello/servizi e tecnologie di interazione e cooperazione con il GARI BASE grafico
</t>
    </r>
    <r>
      <rPr>
        <b/>
        <sz val="16"/>
        <color rgb="FFC00000"/>
        <rFont val="Calibri"/>
        <family val="2"/>
        <scheme val="minor"/>
      </rPr>
      <t>65.</t>
    </r>
    <r>
      <rPr>
        <sz val="16"/>
        <color theme="1"/>
        <rFont val="Calibri"/>
        <family val="2"/>
        <scheme val="minor"/>
      </rPr>
      <t xml:space="preserve"> Predisposizione Piano di lavoro obiettivo della attività di rrevisione del servizio sul GARI BAse grafico o in alternativa produrre un piano lavoro ad hoc
</t>
    </r>
    <r>
      <rPr>
        <b/>
        <sz val="16"/>
        <color rgb="FFC00000"/>
        <rFont val="Calibri"/>
        <family val="2"/>
        <scheme val="minor"/>
      </rPr>
      <t>66.</t>
    </r>
    <r>
      <rPr>
        <sz val="16"/>
        <rFont val="Calibri"/>
        <family val="2"/>
        <scheme val="minor"/>
      </rPr>
      <t xml:space="preserve"> Approv</t>
    </r>
    <r>
      <rPr>
        <sz val="16"/>
        <color theme="1"/>
        <rFont val="Calibri"/>
        <family val="2"/>
        <scheme val="minor"/>
      </rPr>
      <t xml:space="preserve">azione di Regione delle attività previa allocazione risorse da Residui di Progetto 2024
</t>
    </r>
    <r>
      <rPr>
        <b/>
        <sz val="16"/>
        <color rgb="FFC00000"/>
        <rFont val="Calibri"/>
        <family val="2"/>
        <scheme val="minor"/>
      </rPr>
      <t xml:space="preserve">67. </t>
    </r>
    <r>
      <rPr>
        <sz val="16"/>
        <color theme="1"/>
        <rFont val="Calibri"/>
        <family val="2"/>
        <scheme val="minor"/>
      </rPr>
      <t xml:space="preserve">Esecuzione sviluppo software per integrazione nuove funzionalità
</t>
    </r>
    <r>
      <rPr>
        <b/>
        <sz val="16"/>
        <color rgb="FFC00000"/>
        <rFont val="Calibri"/>
        <family val="2"/>
        <scheme val="minor"/>
      </rPr>
      <t xml:space="preserve">68. </t>
    </r>
    <r>
      <rPr>
        <sz val="16"/>
        <rFont val="Calibri"/>
        <family val="2"/>
        <scheme val="minor"/>
      </rPr>
      <t xml:space="preserve">Produzione e </t>
    </r>
    <r>
      <rPr>
        <sz val="16"/>
        <color theme="1"/>
        <rFont val="Calibri"/>
        <family val="2"/>
        <scheme val="minor"/>
      </rPr>
      <t xml:space="preserve">Gestione documenti del prodotto realizzato nel Repository come previsto dal Progetto / Contratto
</t>
    </r>
    <r>
      <rPr>
        <b/>
        <sz val="16"/>
        <color rgb="FFC00000"/>
        <rFont val="Calibri"/>
        <family val="2"/>
        <scheme val="minor"/>
      </rPr>
      <t xml:space="preserve">69. </t>
    </r>
    <r>
      <rPr>
        <sz val="16"/>
        <color theme="1"/>
        <rFont val="Calibri"/>
        <family val="2"/>
        <scheme val="minor"/>
      </rPr>
      <t xml:space="preserve">Piano di formazione dell'utenza per il nuovo servizio QDCA. Attività di formazione da calendario deve essere rendicontata nelle attività si supporto Non progettuali.
</t>
    </r>
    <r>
      <rPr>
        <b/>
        <sz val="16"/>
        <color rgb="FFC00000"/>
        <rFont val="Calibri"/>
        <family val="2"/>
        <scheme val="minor"/>
      </rPr>
      <t>70.</t>
    </r>
    <r>
      <rPr>
        <sz val="16"/>
        <color theme="1"/>
        <rFont val="Calibri"/>
        <family val="2"/>
        <scheme val="minor"/>
      </rPr>
      <t xml:space="preserve"> Definizione di un piano di test nella diffusione dell'uso dei servizi così moficati pressoi CAA qualificati e collaborativi secondo un modello di controllo e tutoraggio per verificare laqualità complessiva del servizio verso l'utenza rispetto alla usabilità di quello (quaderno) del SIAN
</t>
    </r>
    <r>
      <rPr>
        <b/>
        <sz val="16"/>
        <color rgb="FFC00000"/>
        <rFont val="Calibri"/>
        <family val="2"/>
        <scheme val="minor"/>
      </rPr>
      <t>71</t>
    </r>
    <r>
      <rPr>
        <sz val="16"/>
        <color theme="1"/>
        <rFont val="Calibri"/>
        <family val="2"/>
        <scheme val="minor"/>
      </rPr>
      <t>. Collaudo finale con rilascio del servizio e controllo documentazione nel Repository.</t>
    </r>
  </si>
  <si>
    <r>
      <rPr>
        <b/>
        <sz val="16"/>
        <color rgb="FFC00000"/>
        <rFont val="Calibri"/>
        <family val="2"/>
      </rPr>
      <t xml:space="preserve">A. </t>
    </r>
    <r>
      <rPr>
        <sz val="16"/>
        <color theme="1"/>
        <rFont val="Calibri"/>
        <family val="2"/>
      </rPr>
      <t xml:space="preserve">Documento descrittivo delle attività in esercizio del GARI in cui è prevista l'attitivà di Assistenza e di supporto al Fornitore e la mauntenzione correttiva delGari. Nonché tutte le attività tecnico sistemistiche previste sull'ambiente applicativo cloud Umbria per il mantenimento a regione del GARI e per la manutenzione dell'Ambiente Test/collaudo
</t>
    </r>
    <r>
      <rPr>
        <b/>
        <sz val="16"/>
        <color rgb="FFC00000"/>
        <rFont val="Calibri"/>
        <family val="2"/>
      </rPr>
      <t xml:space="preserve">B. </t>
    </r>
    <r>
      <rPr>
        <sz val="16"/>
        <color theme="1"/>
        <rFont val="Calibri"/>
        <family val="2"/>
      </rPr>
      <t xml:space="preserve">Definizione di un format (documento) di rendicontazione trimestrale per tutto il tempo del progetto da gennaio 2025 relativo agli interventidi manutenzione delle piattaforme e degli RDBMS,  di criticità affrontate e di interazioni aperte attraverso manutenzione diretta o su interlocuzione (chiamata/ticket) del primo livello, nonchè delle attività ti acquisizione e trssmissione dei dati verso il SIAN
</t>
    </r>
    <r>
      <rPr>
        <b/>
        <sz val="16"/>
        <color rgb="FFC00000"/>
        <rFont val="Calibri"/>
        <family val="2"/>
      </rPr>
      <t>Bb</t>
    </r>
    <r>
      <rPr>
        <sz val="16"/>
        <color theme="1"/>
        <rFont val="Calibri"/>
        <family val="2"/>
      </rPr>
      <t xml:space="preserve">. Descrizione attività di parametrizzazione, revisione e aggiornamento delle tabelle statiche a seguito di modifiche dei contenuti utilizzati dai menu di selezione dell'aplicativo a seguito di modifiche organizzative, di legge o di operatività del Gari richieste dalla Regione. analogamente per la gestione delle utenze (credenziali e profili)
</t>
    </r>
    <r>
      <rPr>
        <b/>
        <sz val="16"/>
        <color rgb="FFC00000"/>
        <rFont val="Calibri"/>
        <family val="2"/>
      </rPr>
      <t xml:space="preserve">C. </t>
    </r>
    <r>
      <rPr>
        <sz val="16"/>
        <color theme="1"/>
        <rFont val="Calibri"/>
        <family val="2"/>
      </rPr>
      <t xml:space="preserve">Documentazione dell'attività di formazione svolta con la presenza dei Piani di formazione e della rendicontazione dell'attività svolta con i giorni dedicati e gli argomenti trattati
</t>
    </r>
    <r>
      <rPr>
        <b/>
        <sz val="16"/>
        <color rgb="FFC00000"/>
        <rFont val="Calibri"/>
        <family val="2"/>
      </rPr>
      <t xml:space="preserve">D. </t>
    </r>
    <r>
      <rPr>
        <sz val="16"/>
        <color theme="1"/>
        <rFont val="Calibri"/>
        <family val="2"/>
      </rPr>
      <t xml:space="preserve">Documentazione attività di consulenza e di assistenza svolti verso il RUP, il DEC e i tavoli tematici con gli incontri tenuti e la documentazione prodotta. tutta la documentazione probante la nota prdotta deve essere inserita in una apposita sezione del Repository
</t>
    </r>
    <r>
      <rPr>
        <b/>
        <sz val="16"/>
        <color rgb="FFC00000"/>
        <rFont val="Calibri"/>
        <family val="2"/>
      </rPr>
      <t xml:space="preserve">E. </t>
    </r>
    <r>
      <rPr>
        <sz val="16"/>
        <color theme="1"/>
        <rFont val="Calibri"/>
        <family val="2"/>
      </rPr>
      <t xml:space="preserve">Rendicontazione dell'attiivtà di mautenzione aggiornamento della documentazione di Repository
</t>
    </r>
    <r>
      <rPr>
        <b/>
        <sz val="16"/>
        <color rgb="FFC00000"/>
        <rFont val="Calibri"/>
        <family val="2"/>
      </rPr>
      <t xml:space="preserve">F. </t>
    </r>
    <r>
      <rPr>
        <sz val="16"/>
        <color theme="1"/>
        <rFont val="Calibri"/>
        <family val="2"/>
      </rPr>
      <t xml:space="preserve">Rendicontazione dell'attività di gestione aggiornamento delle versioni di GARI presenti nell'ambiente di test/collaudo E7O repository. con dichiarazione di corretta manutenzione del prodotto attraverso gli interventi di risoluzione bug ed errori dell'applicativo poi trasferito in esercizio (menutenzione correttiva)
</t>
    </r>
  </si>
  <si>
    <r>
      <rPr>
        <sz val="16"/>
        <color rgb="FFFF0000"/>
        <rFont val="Calibri"/>
        <family val="2"/>
      </rPr>
      <t>1.</t>
    </r>
    <r>
      <rPr>
        <sz val="16"/>
        <color theme="1"/>
        <rFont val="Calibri"/>
        <family val="2"/>
      </rPr>
      <t xml:space="preserve"> Produzione documento tecnico economico per approvazione attività, con descrizione dell'intera architettura modulra GARI.
</t>
    </r>
    <r>
      <rPr>
        <b/>
        <sz val="16"/>
        <color rgb="FFFF0000"/>
        <rFont val="Calibri"/>
        <family val="2"/>
      </rPr>
      <t>1a.</t>
    </r>
    <r>
      <rPr>
        <sz val="16"/>
        <color theme="1"/>
        <rFont val="Calibri"/>
        <family val="2"/>
      </rPr>
      <t xml:space="preserve"> Inserire nel documento i capitoli di ingegnerizzazione servizi verticali GARI indicati nel piano con codici 2.6, 3.1, 3.3, 4.1, 4.8. Sia la migrazione in tecnologia Angular e altro a completamento del lavoro già fatto per il GARI Base come codice 1.1, che per risolvere le problematiche di interazione da utenza con questi </t>
    </r>
    <r>
      <rPr>
        <b/>
        <sz val="16"/>
        <color rgb="FFC00000"/>
        <rFont val="Calibri"/>
        <family val="2"/>
      </rPr>
      <t xml:space="preserve">servizi attraverso il modello grafico del GARI 2025
1b. </t>
    </r>
    <r>
      <rPr>
        <sz val="16"/>
        <color theme="1"/>
        <rFont val="Calibri"/>
        <family val="2"/>
      </rPr>
      <t xml:space="preserve">Inserire nel documento i capitoli relativi al modello di interscambio e inteorperabilità per l'acquisizione Da SIAN in GARI dei Piani colturali grafici e della ulteriore cartografia SIPA resa disponibile da SIAN, della cartografia catastale AGEA (indicare anche possibilità di scarico mappe catastali Agenzia Entrate), Fascicolo SIAN completo (in sostituzione dell'attuale scarico della vista Fascicolo di Agea Coordinamento o del suo scarico parziale)
</t>
    </r>
    <r>
      <rPr>
        <b/>
        <sz val="16"/>
        <color rgb="FFFF0000"/>
        <rFont val="Calibri"/>
        <family val="2"/>
      </rPr>
      <t xml:space="preserve">1c. </t>
    </r>
    <r>
      <rPr>
        <sz val="16"/>
        <color theme="1"/>
        <rFont val="Calibri"/>
        <family val="2"/>
      </rPr>
      <t xml:space="preserve">definzione delle procedure amministrative, organizzative e tecnologiche per accedere ai Servizi di interoperabilità del SIA/AGEA,. Acquisizione del certificati e delle credenzialio necessarie, nonchè sottoscrizione documenti amministrativi previsti da Agea per l'accesso ai dati alle regole di privacy definite da Agea e a quelle relativa alla responsabilità derivante dal trattamento dei dati.
</t>
    </r>
    <r>
      <rPr>
        <b/>
        <sz val="16"/>
        <color rgb="FFFF0000"/>
        <rFont val="Calibri"/>
        <family val="2"/>
      </rPr>
      <t xml:space="preserve">2. </t>
    </r>
    <r>
      <rPr>
        <b/>
        <sz val="16"/>
        <rFont val="Calibri"/>
        <family val="2"/>
      </rPr>
      <t>Produzione del documento tecnico di dettaglio dell'architettura dei Cataloghi dati GARI presenti negli RDBMA SQL Server e Oracle Spatial</t>
    </r>
    <r>
      <rPr>
        <sz val="16"/>
        <color theme="1"/>
        <rFont val="Calibri"/>
        <family val="2"/>
      </rPr>
      <t xml:space="preserve">
</t>
    </r>
    <r>
      <rPr>
        <b/>
        <sz val="16"/>
        <color rgb="FFC00000"/>
        <rFont val="Calibri"/>
        <family val="2"/>
      </rPr>
      <t>3.</t>
    </r>
    <r>
      <rPr>
        <sz val="16"/>
        <color theme="1"/>
        <rFont val="Calibri"/>
        <family val="2"/>
      </rPr>
      <t xml:space="preserve">Predisposizione Piani di lavoro obiettivo con il dettaglio di TUTTE le milestones di rilascio delle versioni del GARI 04.xx finalizzate all'attivazione dello stesso all'interno del sistema informativo regionale se previsti piani di convivenza tra GARI 02.xx 2024 (es. UMA) e quello 04.xx con le funzioni grafiche
</t>
    </r>
    <r>
      <rPr>
        <b/>
        <sz val="16"/>
        <color rgb="FFC00000"/>
        <rFont val="Calibri"/>
        <family val="2"/>
      </rPr>
      <t xml:space="preserve">4. </t>
    </r>
    <r>
      <rPr>
        <sz val="16"/>
        <color theme="1"/>
        <rFont val="Calibri"/>
        <family val="2"/>
      </rPr>
      <t xml:space="preserve">approvazione dei documenti ai punti 1 e 2
</t>
    </r>
    <r>
      <rPr>
        <b/>
        <sz val="16"/>
        <color rgb="FFC00000"/>
        <rFont val="Calibri"/>
        <family val="2"/>
      </rPr>
      <t>5.</t>
    </r>
    <r>
      <rPr>
        <sz val="16"/>
        <color theme="1"/>
        <rFont val="Calibri"/>
        <family val="2"/>
      </rPr>
      <t xml:space="preserve"> avvio attività di sviluppo e produzione documentazione tecnica
</t>
    </r>
    <r>
      <rPr>
        <b/>
        <sz val="16"/>
        <color rgb="FFC00000"/>
        <rFont val="Calibri"/>
        <family val="2"/>
      </rPr>
      <t xml:space="preserve">6. </t>
    </r>
    <r>
      <rPr>
        <sz val="16"/>
        <color theme="1"/>
        <rFont val="Calibri"/>
        <family val="2"/>
      </rPr>
      <t xml:space="preserve">Definire un PIANO di Test specifico considerata la valenza del processo di reingegnerizzazione
</t>
    </r>
    <r>
      <rPr>
        <b/>
        <sz val="16"/>
        <color rgb="FFC00000"/>
        <rFont val="Calibri"/>
        <family val="2"/>
      </rPr>
      <t xml:space="preserve">7. </t>
    </r>
    <r>
      <rPr>
        <sz val="16"/>
        <color theme="1"/>
        <rFont val="Calibri"/>
        <family val="2"/>
      </rPr>
      <t xml:space="preserve">Definire un Piano di formazione del personale tecnico della Regione per il Change management nella gestione di questo architettura/tecnologia (attiivtà di formazione poi rendicontata nella sezione attività non progettuale di Assistenza)
ULTERIORE Documentazione essenziale a corredo:
- Definzione architettura cloud VM GARI 2025 (SQL Server + Oracle)
- richiesta della Regione di revisioine e attivazione ambiente cloud 2025
- Predisporre Ambiente tecnologico cloud di esercizio e di test/collaudo da rendicontare tra le attività di carattere NON progettuale (Assistenza e supporto applicativo)
- Manuale UTENTE inerente l'uso del GARI BASE e delle sue funzionalità
- Documento descrittivo dei servizi di Assistenza necessari sul GARI 2025 in esercizio al fine di dare un testo di installazione/configurazione/gestione/parametrizzazione del GARI per l'assistenza regionale (coinvolta nel Change Managment). il testo sarà usato come base per dare parare di congruità alle rendicontazione trimestrali presentate dal RTI per la gestione GAri in esercizio fino a fine progetto
</t>
    </r>
  </si>
  <si>
    <r>
      <rPr>
        <b/>
        <sz val="16"/>
        <color rgb="FFC00000"/>
        <rFont val="Calibri"/>
        <family val="2"/>
      </rPr>
      <t>42.</t>
    </r>
    <r>
      <rPr>
        <sz val="16"/>
        <color theme="1"/>
        <rFont val="Calibri"/>
        <family val="2"/>
      </rPr>
      <t xml:space="preserve"> Documenti tecnico economici prodotti e approvati novembre 2024
</t>
    </r>
    <r>
      <rPr>
        <b/>
        <sz val="16"/>
        <color rgb="FFC00000"/>
        <rFont val="Calibri"/>
        <family val="2"/>
      </rPr>
      <t>43.</t>
    </r>
    <r>
      <rPr>
        <sz val="16"/>
        <color theme="1"/>
        <rFont val="Calibri"/>
        <family val="2"/>
      </rPr>
      <t xml:space="preserve"> Attività di sviluppo in corso
</t>
    </r>
    <r>
      <rPr>
        <b/>
        <sz val="16"/>
        <color rgb="FFC00000"/>
        <rFont val="Calibri"/>
        <family val="2"/>
      </rPr>
      <t xml:space="preserve">43a. </t>
    </r>
    <r>
      <rPr>
        <sz val="16"/>
        <color theme="1"/>
        <rFont val="Calibri"/>
        <family val="2"/>
      </rPr>
      <t xml:space="preserve">Definire con Regione le attività e le azioni amministrative da fare per entrare in possesso delle credenziali di acceso e d'uso dei dati delle centraline dei servizi idrometeo della Regione (Stelluti)  e/o dei servizi irriframe attraverso Rti all'interno dei costi di Progetto
</t>
    </r>
    <r>
      <rPr>
        <b/>
        <sz val="16"/>
        <color rgb="FFC00000"/>
        <rFont val="Calibri"/>
        <family val="2"/>
      </rPr>
      <t>43b.</t>
    </r>
    <r>
      <rPr>
        <sz val="16"/>
        <color theme="1"/>
        <rFont val="Calibri"/>
        <family val="2"/>
      </rPr>
      <t xml:space="preserve"> Definire la configurazione dei servizi DSS del RTI (esterni alla Regione) per il collegamento alle centraline idrometeo
</t>
    </r>
    <r>
      <rPr>
        <b/>
        <sz val="16"/>
        <color rgb="FFC00000"/>
        <rFont val="Calibri"/>
        <family val="2"/>
      </rPr>
      <t>44.</t>
    </r>
    <r>
      <rPr>
        <sz val="16"/>
        <color theme="1"/>
        <rFont val="Calibri"/>
        <family val="2"/>
      </rPr>
      <t xml:space="preserve"> Rendcontazione attiivtà di ingegnerizzazione svolta nov/dic 2024
</t>
    </r>
    <r>
      <rPr>
        <b/>
        <sz val="16"/>
        <color rgb="FFC00000"/>
        <rFont val="Calibri"/>
        <family val="2"/>
      </rPr>
      <t>44a.</t>
    </r>
    <r>
      <rPr>
        <sz val="16"/>
        <color theme="1"/>
        <rFont val="Calibri"/>
        <family val="2"/>
      </rPr>
      <t xml:space="preserve"> predisposizioen dei verbali di collaudo attiivtà di rendicontazione nov/dic 2024
</t>
    </r>
    <r>
      <rPr>
        <b/>
        <sz val="16"/>
        <color rgb="FFC00000"/>
        <rFont val="Calibri"/>
        <family val="2"/>
      </rPr>
      <t>44.b</t>
    </r>
    <r>
      <rPr>
        <sz val="16"/>
        <color theme="1"/>
        <rFont val="Calibri"/>
        <family val="2"/>
      </rPr>
      <t xml:space="preserve">. predisposizione dei documenti di prodotto allo stato dell'arte nel Rerpository necessari al collaudo, gestione degli stessi fino alla conclusione dell'attività (4.2)
</t>
    </r>
    <r>
      <rPr>
        <b/>
        <sz val="16"/>
        <color rgb="FFC00000"/>
        <rFont val="Calibri"/>
        <family val="2"/>
      </rPr>
      <t>45</t>
    </r>
    <r>
      <rPr>
        <sz val="16"/>
        <color theme="1"/>
        <rFont val="Calibri"/>
        <family val="2"/>
      </rPr>
      <t xml:space="preserve">. predisposizione aggiornamento Piano di lavoro obiettivo per registri SQNPI
</t>
    </r>
    <r>
      <rPr>
        <b/>
        <sz val="16"/>
        <color rgb="FFC00000"/>
        <rFont val="Calibri"/>
        <family val="2"/>
      </rPr>
      <t>4</t>
    </r>
    <r>
      <rPr>
        <b/>
        <u/>
        <sz val="16"/>
        <color rgb="FFFF0000"/>
        <rFont val="Calibri"/>
        <family val="2"/>
      </rPr>
      <t xml:space="preserve">6. </t>
    </r>
    <r>
      <rPr>
        <u/>
        <sz val="16"/>
        <color rgb="FFFF0000"/>
        <rFont val="Calibri"/>
        <family val="2"/>
      </rPr>
      <t xml:space="preserve">Pianificare attivazione in esercizio dei Registri SQNPI/BIO per attività CAA  URGENTE
</t>
    </r>
    <r>
      <rPr>
        <b/>
        <sz val="16"/>
        <color rgb="FFC00000"/>
        <rFont val="Calibri"/>
        <family val="2"/>
      </rPr>
      <t>47.</t>
    </r>
    <r>
      <rPr>
        <sz val="16"/>
        <color theme="1"/>
        <rFont val="Calibri"/>
        <family val="2"/>
      </rPr>
      <t xml:space="preserve"> Piano di formazione dell'uso dei registri ai fini della documentazione impegni domande grafiche a premio
</t>
    </r>
    <r>
      <rPr>
        <b/>
        <sz val="16"/>
        <color rgb="FFC00000"/>
        <rFont val="Calibri"/>
        <family val="2"/>
      </rPr>
      <t xml:space="preserve">48. </t>
    </r>
    <r>
      <rPr>
        <sz val="16"/>
        <color theme="1"/>
        <rFont val="Calibri"/>
        <family val="2"/>
      </rPr>
      <t xml:space="preserve">Verificare fermi di attiivtà sui registri in fase di sostituzione dei registri SQNPI adattati aCA verso l'lutenza e pianificare riattivazione e formazione di cui al punto 47.
</t>
    </r>
    <r>
      <rPr>
        <b/>
        <sz val="16"/>
        <color rgb="FFC00000"/>
        <rFont val="Calibri"/>
        <family val="2"/>
      </rPr>
      <t>49.</t>
    </r>
    <r>
      <rPr>
        <sz val="16"/>
        <color theme="1"/>
        <rFont val="Calibri"/>
        <family val="2"/>
      </rPr>
      <t xml:space="preserve"> Pianificare e effettuare l'attività di formazione/change mng al personale della Regione con definizione ed organizzazione servizi di Helop Desk di primo e secondo livello specialistici per la materia CSR/ACA, utilizzo dello strumento e errori, uso e interpretazione dei documenti e dei materiali/informazioni di archivi ed anagrafi da collegare agli adempimenti delle righe di registro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</si>
</sst>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8" formatCode="#,##0.00\ &quot;€&quot;;[Red]\-#,##0.00\ &quot;€&quot;"/>
    <numFmt numFmtId="44" formatCode="_-* #,##0.00\ &quot;€&quot;_-;\-* #,##0.00\ &quot;€&quot;_-;_-* &quot;-&quot;??\ &quot;€&quot;_-;_-@_-"/>
    <numFmt numFmtId="164" formatCode="_-* #,##0.00\ _€_-;\-* #,##0.00\ _€_-;_-* &quot;-&quot;??\ _€_-;_-@_-"/>
    <numFmt numFmtId="165" formatCode="[$-409]d\-mmm\-yy;@"/>
    <numFmt numFmtId="166" formatCode="ddd\,\ d/m/yyyy"/>
    <numFmt numFmtId="167" formatCode="#,##0.00\ &quot;€&quot;"/>
    <numFmt numFmtId="168" formatCode="_([$€-2]\ * #,##0.00_);_([$€-2]\ * \(#,##0.00\);_([$€-2]\ * &quot;-&quot;??_);_(@_)"/>
    <numFmt numFmtId="169" formatCode="[$€-2]\ #,##0.00"/>
    <numFmt numFmtId="170" formatCode="_-[$€-2]\ * #,##0.00_-;\-[$€-2]\ * #,##0.00_-;_-[$€-2]\ * &quot;-&quot;??_-;_-@_-"/>
    <numFmt numFmtId="171" formatCode="d"/>
    <numFmt numFmtId="172" formatCode="m/d/yyyy\ \(dddd\)"/>
    <numFmt numFmtId="173" formatCode="d\ mmm\ yyyy"/>
    <numFmt numFmtId="174" formatCode="ddd\ m/dd/yy"/>
    <numFmt numFmtId="175" formatCode="ddd\ dd/m/yy"/>
    <numFmt numFmtId="176" formatCode="ddd\ dd/mm/yy"/>
  </numFmts>
  <fonts count="92"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0"/>
      <name val="Calibri"/>
      <family val="2"/>
      <scheme val="minor"/>
    </font>
    <font>
      <sz val="16"/>
      <color theme="1"/>
      <name val="Calibri"/>
      <family val="2"/>
      <scheme val="minor"/>
    </font>
    <font>
      <b/>
      <sz val="16"/>
      <color theme="1"/>
      <name val="Calibri"/>
      <family val="2"/>
      <scheme val="minor"/>
    </font>
    <font>
      <sz val="18"/>
      <color theme="1"/>
      <name val="Calibri"/>
      <family val="2"/>
      <scheme val="minor"/>
    </font>
    <font>
      <b/>
      <i/>
      <sz val="16"/>
      <color theme="1"/>
      <name val="Calibri"/>
      <family val="2"/>
      <scheme val="minor"/>
    </font>
    <font>
      <sz val="14"/>
      <color theme="1"/>
      <name val="Calibri"/>
      <family val="2"/>
      <scheme val="minor"/>
    </font>
    <font>
      <sz val="20"/>
      <color theme="1"/>
      <name val="Calibri"/>
      <family val="2"/>
      <scheme val="minor"/>
    </font>
    <font>
      <sz val="12"/>
      <color theme="1"/>
      <name val="Calibri"/>
      <family val="2"/>
      <scheme val="minor"/>
    </font>
    <font>
      <b/>
      <sz val="16"/>
      <color theme="0"/>
      <name val="Calibri"/>
      <family val="2"/>
      <scheme val="minor"/>
    </font>
    <font>
      <b/>
      <sz val="14"/>
      <color theme="1"/>
      <name val="Calibri"/>
      <family val="2"/>
      <scheme val="minor"/>
    </font>
    <font>
      <sz val="16"/>
      <color theme="0"/>
      <name val="Calibri"/>
      <family val="2"/>
      <scheme val="minor"/>
    </font>
    <font>
      <sz val="16"/>
      <name val="Calibri"/>
      <family val="2"/>
      <scheme val="minor"/>
    </font>
    <font>
      <b/>
      <sz val="16"/>
      <name val="Calibri"/>
      <family val="2"/>
      <scheme val="minor"/>
    </font>
    <font>
      <sz val="11"/>
      <name val="Calibri"/>
      <family val="2"/>
      <scheme val="minor"/>
    </font>
    <font>
      <sz val="24"/>
      <color theme="1"/>
      <name val="Calibri"/>
      <family val="2"/>
      <scheme val="minor"/>
    </font>
    <font>
      <b/>
      <sz val="16"/>
      <color indexed="2"/>
      <name val="Calibri"/>
      <family val="2"/>
      <scheme val="minor"/>
    </font>
    <font>
      <b/>
      <sz val="12"/>
      <color theme="0"/>
      <name val="Calibri"/>
      <family val="2"/>
      <scheme val="minor"/>
    </font>
    <font>
      <b/>
      <sz val="12"/>
      <color theme="1"/>
      <name val="Calibri"/>
      <family val="2"/>
      <scheme val="minor"/>
    </font>
    <font>
      <sz val="12"/>
      <color theme="1"/>
      <name val="Calibri"/>
      <family val="2"/>
    </font>
    <font>
      <b/>
      <sz val="8"/>
      <color theme="1"/>
      <name val="Calibri"/>
      <family val="2"/>
      <scheme val="minor"/>
    </font>
    <font>
      <sz val="11"/>
      <color theme="1"/>
      <name val="Calibri"/>
      <family val="2"/>
    </font>
    <font>
      <sz val="11"/>
      <name val="Arial"/>
      <family val="2"/>
    </font>
    <font>
      <sz val="10"/>
      <name val="Arial"/>
      <family val="2"/>
    </font>
    <font>
      <sz val="11"/>
      <color theme="1"/>
      <name val="Calibri"/>
      <family val="2"/>
      <scheme val="minor"/>
    </font>
    <font>
      <sz val="8"/>
      <name val="Calibri"/>
      <family val="2"/>
      <scheme val="minor"/>
    </font>
    <font>
      <b/>
      <i/>
      <sz val="12"/>
      <color theme="0"/>
      <name val="Calibri"/>
      <family val="2"/>
      <scheme val="minor"/>
    </font>
    <font>
      <b/>
      <i/>
      <sz val="12"/>
      <color theme="1"/>
      <name val="Calibri"/>
      <family val="2"/>
      <scheme val="minor"/>
    </font>
    <font>
      <b/>
      <sz val="12"/>
      <color theme="4" tint="-0.249977111117893"/>
      <name val="Calibri"/>
      <family val="2"/>
      <scheme val="minor"/>
    </font>
    <font>
      <b/>
      <i/>
      <sz val="12"/>
      <color theme="4" tint="-0.249977111117893"/>
      <name val="Calibri"/>
      <family val="2"/>
      <scheme val="minor"/>
    </font>
    <font>
      <i/>
      <sz val="12"/>
      <color theme="1"/>
      <name val="Calibri"/>
      <family val="2"/>
      <scheme val="minor"/>
    </font>
    <font>
      <b/>
      <sz val="10"/>
      <color theme="1"/>
      <name val="Calibri"/>
      <family val="2"/>
      <scheme val="minor"/>
    </font>
    <font>
      <i/>
      <sz val="12"/>
      <name val="Calibri"/>
      <family val="2"/>
      <scheme val="minor"/>
    </font>
    <font>
      <sz val="12"/>
      <name val="Calibri"/>
      <family val="2"/>
      <scheme val="minor"/>
    </font>
    <font>
      <sz val="10"/>
      <color indexed="64"/>
      <name val="Arial"/>
      <family val="2"/>
    </font>
    <font>
      <b/>
      <sz val="11"/>
      <color theme="1"/>
      <name val="Calibri"/>
      <family val="2"/>
      <scheme val="minor"/>
    </font>
    <font>
      <b/>
      <sz val="16"/>
      <color theme="1"/>
      <name val="Calibri"/>
      <family val="2"/>
    </font>
    <font>
      <i/>
      <sz val="16"/>
      <color theme="1"/>
      <name val="Calibri"/>
      <family val="2"/>
      <scheme val="minor"/>
    </font>
    <font>
      <sz val="16"/>
      <color theme="1"/>
      <name val="Calibri"/>
      <family val="2"/>
    </font>
    <font>
      <b/>
      <sz val="16"/>
      <color rgb="FFFF0000"/>
      <name val="Calibri"/>
      <family val="2"/>
      <scheme val="minor"/>
    </font>
    <font>
      <i/>
      <sz val="16"/>
      <name val="Calibri"/>
      <family val="2"/>
      <scheme val="minor"/>
    </font>
    <font>
      <sz val="16"/>
      <name val="Calibri"/>
      <family val="2"/>
    </font>
    <font>
      <b/>
      <sz val="11"/>
      <color theme="3"/>
      <name val="Calibri"/>
      <family val="2"/>
      <scheme val="minor"/>
    </font>
    <font>
      <b/>
      <sz val="11"/>
      <color theme="0"/>
      <name val="Calibri"/>
      <family val="2"/>
      <scheme val="minor"/>
    </font>
    <font>
      <b/>
      <sz val="18"/>
      <color theme="1"/>
      <name val="Calibri"/>
      <family val="2"/>
      <scheme val="minor"/>
    </font>
    <font>
      <b/>
      <sz val="24"/>
      <color theme="1"/>
      <name val="Calibri"/>
      <family val="2"/>
      <scheme val="minor"/>
    </font>
    <font>
      <b/>
      <sz val="11"/>
      <color theme="6" tint="-0.499984740745262"/>
      <name val="Calibri"/>
      <family val="2"/>
      <scheme val="minor"/>
    </font>
    <font>
      <b/>
      <sz val="11"/>
      <color theme="9" tint="-0.249977111117893"/>
      <name val="Calibri"/>
      <family val="2"/>
      <scheme val="minor"/>
    </font>
    <font>
      <u/>
      <sz val="11"/>
      <color theme="10"/>
      <name val="Calibri"/>
      <family val="2"/>
      <scheme val="minor"/>
    </font>
    <font>
      <sz val="10"/>
      <name val="Calibri"/>
      <family val="2"/>
      <scheme val="minor"/>
    </font>
    <font>
      <b/>
      <sz val="11"/>
      <name val="Calibri"/>
      <family val="2"/>
      <scheme val="minor"/>
    </font>
    <font>
      <sz val="9"/>
      <name val="Calibri"/>
      <family val="2"/>
      <scheme val="minor"/>
    </font>
    <font>
      <sz val="10"/>
      <name val="Calibri Light"/>
      <family val="2"/>
      <scheme val="major"/>
    </font>
    <font>
      <sz val="10"/>
      <name val="Calibri Light"/>
      <family val="1"/>
      <scheme val="major"/>
    </font>
    <font>
      <sz val="8"/>
      <name val="Arial"/>
      <family val="2"/>
    </font>
    <font>
      <sz val="16"/>
      <color theme="4" tint="-0.249977111117893"/>
      <name val="Calibri Light"/>
      <family val="1"/>
      <scheme val="major"/>
    </font>
    <font>
      <sz val="14"/>
      <color indexed="56"/>
      <name val="Arial"/>
      <family val="2"/>
    </font>
    <font>
      <i/>
      <sz val="8"/>
      <color theme="1" tint="0.34998626667073579"/>
      <name val="Arial"/>
      <family val="2"/>
    </font>
    <font>
      <i/>
      <u/>
      <sz val="8"/>
      <color theme="1" tint="0.34998626667073579"/>
      <name val="Arial"/>
      <family val="2"/>
    </font>
    <font>
      <sz val="11"/>
      <name val="Calibri Light"/>
      <family val="1"/>
      <scheme val="major"/>
    </font>
    <font>
      <sz val="9"/>
      <name val="Arial"/>
      <family val="2"/>
    </font>
    <font>
      <u/>
      <sz val="8"/>
      <color indexed="12"/>
      <name val="Arial"/>
      <family val="2"/>
    </font>
    <font>
      <sz val="7"/>
      <color indexed="55"/>
      <name val="Arial"/>
      <family val="2"/>
    </font>
    <font>
      <b/>
      <sz val="9"/>
      <name val="Calibri Light"/>
      <family val="2"/>
      <scheme val="major"/>
    </font>
    <font>
      <b/>
      <sz val="8"/>
      <name val="Calibri Light"/>
      <family val="2"/>
      <scheme val="major"/>
    </font>
    <font>
      <sz val="14"/>
      <name val="Calibri"/>
      <family val="2"/>
      <scheme val="minor"/>
    </font>
    <font>
      <sz val="9"/>
      <color rgb="FF000000"/>
      <name val="Calibri"/>
      <family val="2"/>
      <scheme val="minor"/>
    </font>
    <font>
      <sz val="14"/>
      <color rgb="FF000000"/>
      <name val="Calibri"/>
      <family val="2"/>
      <scheme val="minor"/>
    </font>
    <font>
      <b/>
      <sz val="9"/>
      <color indexed="81"/>
      <name val="Tahoma"/>
      <family val="2"/>
    </font>
    <font>
      <sz val="9"/>
      <color indexed="81"/>
      <name val="Tahoma"/>
      <family val="2"/>
    </font>
    <font>
      <b/>
      <i/>
      <sz val="9"/>
      <color indexed="81"/>
      <name val="Tahoma"/>
      <family val="2"/>
    </font>
    <font>
      <i/>
      <sz val="9"/>
      <color indexed="81"/>
      <name val="Tahoma"/>
      <family val="2"/>
    </font>
    <font>
      <sz val="9"/>
      <color theme="0"/>
      <name val="Calibri"/>
      <family val="2"/>
      <scheme val="minor"/>
    </font>
    <font>
      <i/>
      <sz val="16"/>
      <color rgb="FFCCECFF"/>
      <name val="Calibri"/>
      <family val="2"/>
      <scheme val="minor"/>
    </font>
    <font>
      <i/>
      <sz val="16"/>
      <color rgb="FFC00000"/>
      <name val="Calibri"/>
      <family val="2"/>
      <scheme val="minor"/>
    </font>
    <font>
      <b/>
      <sz val="16"/>
      <color rgb="FFFF0000"/>
      <name val="Calibri"/>
      <family val="2"/>
    </font>
    <font>
      <sz val="16"/>
      <color rgb="FFFF0000"/>
      <name val="Calibri"/>
      <family val="2"/>
    </font>
    <font>
      <b/>
      <sz val="16"/>
      <name val="Calibri"/>
      <family val="2"/>
    </font>
    <font>
      <b/>
      <sz val="16"/>
      <color rgb="FFC00000"/>
      <name val="Calibri"/>
      <family val="2"/>
    </font>
    <font>
      <sz val="9"/>
      <color theme="1"/>
      <name val="Calibri"/>
      <family val="2"/>
      <scheme val="minor"/>
    </font>
    <font>
      <b/>
      <sz val="9"/>
      <color theme="1"/>
      <name val="Calibri"/>
      <family val="2"/>
      <scheme val="minor"/>
    </font>
    <font>
      <b/>
      <sz val="9"/>
      <color theme="0"/>
      <name val="Calibri"/>
      <family val="2"/>
      <scheme val="minor"/>
    </font>
    <font>
      <b/>
      <sz val="16"/>
      <color rgb="FFC00000"/>
      <name val="Calibri"/>
      <family val="2"/>
      <scheme val="minor"/>
    </font>
    <font>
      <b/>
      <u/>
      <sz val="16"/>
      <color rgb="FFFF0000"/>
      <name val="Calibri"/>
      <family val="2"/>
    </font>
    <font>
      <u/>
      <sz val="16"/>
      <color rgb="FFFF0000"/>
      <name val="Calibri"/>
      <family val="2"/>
    </font>
  </fonts>
  <fills count="46">
    <fill>
      <patternFill patternType="none"/>
    </fill>
    <fill>
      <patternFill patternType="gray125"/>
    </fill>
    <fill>
      <patternFill patternType="solid">
        <fgColor theme="0" tint="-4.9989318521683403E-2"/>
        <bgColor theme="0" tint="-0.499984740745262"/>
      </patternFill>
    </fill>
    <fill>
      <patternFill patternType="solid">
        <fgColor rgb="FF0070C0"/>
        <bgColor rgb="FF0070C0"/>
      </patternFill>
    </fill>
    <fill>
      <patternFill patternType="solid">
        <fgColor rgb="FF0070C0"/>
        <bgColor theme="0" tint="-4.9989318521683403E-2"/>
      </patternFill>
    </fill>
    <fill>
      <patternFill patternType="solid">
        <fgColor theme="0"/>
        <bgColor theme="0" tint="-4.9989318521683403E-2"/>
      </patternFill>
    </fill>
    <fill>
      <patternFill patternType="solid">
        <fgColor theme="0" tint="-0.499984740745262"/>
        <bgColor theme="0" tint="-4.9989318521683403E-2"/>
      </patternFill>
    </fill>
    <fill>
      <patternFill patternType="solid">
        <fgColor theme="0" tint="-0.499984740745262"/>
        <bgColor theme="0" tint="-0.499984740745262"/>
      </patternFill>
    </fill>
    <fill>
      <patternFill patternType="solid">
        <fgColor theme="3" tint="0.79998168889431442"/>
        <bgColor theme="0" tint="-0.499984740745262"/>
      </patternFill>
    </fill>
    <fill>
      <patternFill patternType="solid">
        <fgColor theme="7" tint="0.79998168889431442"/>
        <bgColor theme="7" tint="0.79998168889431442"/>
      </patternFill>
    </fill>
    <fill>
      <patternFill patternType="solid">
        <fgColor theme="0"/>
        <bgColor theme="6" tint="0.59999389629810485"/>
      </patternFill>
    </fill>
    <fill>
      <patternFill patternType="solid">
        <fgColor theme="4" tint="-0.249977111117893"/>
        <bgColor theme="4" tint="-0.249977111117893"/>
      </patternFill>
    </fill>
    <fill>
      <patternFill patternType="solid">
        <fgColor theme="0"/>
        <bgColor theme="0"/>
      </patternFill>
    </fill>
    <fill>
      <patternFill patternType="solid">
        <fgColor indexed="5"/>
        <bgColor indexed="5"/>
      </patternFill>
    </fill>
    <fill>
      <patternFill patternType="solid">
        <fgColor theme="4" tint="0.79998168889431442"/>
        <bgColor theme="4" tint="0.79998168889431442"/>
      </patternFill>
    </fill>
    <fill>
      <patternFill patternType="solid">
        <fgColor theme="4" tint="0.79998168889431442"/>
        <bgColor theme="6" tint="0.79998168889431442"/>
      </patternFill>
    </fill>
    <fill>
      <patternFill patternType="solid">
        <fgColor theme="4" tint="0.79998168889431442"/>
        <bgColor indexed="64"/>
      </patternFill>
    </fill>
    <fill>
      <patternFill patternType="solid">
        <fgColor theme="4" tint="0.79998168889431442"/>
        <bgColor theme="0"/>
      </patternFill>
    </fill>
    <fill>
      <patternFill patternType="solid">
        <fgColor theme="4" tint="0.79998168889431442"/>
        <bgColor theme="6" tint="0.59999389629810485"/>
      </patternFill>
    </fill>
    <fill>
      <patternFill patternType="solid">
        <fgColor theme="4" tint="0.79998168889431442"/>
        <bgColor indexed="2"/>
      </patternFill>
    </fill>
    <fill>
      <patternFill patternType="solid">
        <fgColor theme="7" tint="0.39997558519241921"/>
        <bgColor indexed="64"/>
      </patternFill>
    </fill>
    <fill>
      <patternFill patternType="solid">
        <fgColor theme="7" tint="0.39997558519241921"/>
        <bgColor theme="6" tint="0.79998168889431442"/>
      </patternFill>
    </fill>
    <fill>
      <patternFill patternType="solid">
        <fgColor theme="7" tint="0.39997558519241921"/>
        <bgColor theme="0" tint="-4.9989318521683403E-2"/>
      </patternFill>
    </fill>
    <fill>
      <patternFill patternType="solid">
        <fgColor theme="9" tint="0.39997558519241921"/>
        <bgColor theme="0" tint="-4.9989318521683403E-2"/>
      </patternFill>
    </fill>
    <fill>
      <patternFill patternType="solid">
        <fgColor theme="9" tint="0.39997558519241921"/>
        <bgColor theme="6" tint="0.79998168889431442"/>
      </patternFill>
    </fill>
    <fill>
      <patternFill patternType="solid">
        <fgColor theme="3" tint="0.39997558519241921"/>
        <bgColor indexed="64"/>
      </patternFill>
    </fill>
    <fill>
      <patternFill patternType="solid">
        <fgColor theme="0" tint="-4.9989318521683403E-2"/>
        <bgColor indexed="64"/>
      </patternFill>
    </fill>
    <fill>
      <patternFill patternType="solid">
        <fgColor theme="0" tint="-4.9989318521683403E-2"/>
        <bgColor theme="6" tint="0.59999389629810485"/>
      </patternFill>
    </fill>
    <fill>
      <patternFill patternType="solid">
        <fgColor theme="0" tint="-4.9989318521683403E-2"/>
        <bgColor theme="0"/>
      </patternFill>
    </fill>
    <fill>
      <patternFill patternType="solid">
        <fgColor rgb="FFFFFF00"/>
        <bgColor indexed="64"/>
      </patternFill>
    </fill>
    <fill>
      <patternFill patternType="solid">
        <fgColor theme="0" tint="-0.14999847407452621"/>
        <bgColor indexed="64"/>
      </patternFill>
    </fill>
    <fill>
      <patternFill patternType="solid">
        <fgColor theme="9" tint="0.59999389629810485"/>
        <bgColor theme="0" tint="-0.499984740745262"/>
      </patternFill>
    </fill>
    <fill>
      <patternFill patternType="solid">
        <fgColor theme="0"/>
        <bgColor indexed="64"/>
      </patternFill>
    </fill>
    <fill>
      <patternFill patternType="solid">
        <fgColor theme="6" tint="-0.499984740745262"/>
        <bgColor indexed="64"/>
      </patternFill>
    </fill>
    <fill>
      <patternFill patternType="solid">
        <fgColor theme="9" tint="-0.249977111117893"/>
        <bgColor indexed="64"/>
      </patternFill>
    </fill>
    <fill>
      <patternFill patternType="solid">
        <fgColor theme="0" tint="-0.499984740745262"/>
        <bgColor indexed="64"/>
      </patternFill>
    </fill>
    <fill>
      <patternFill patternType="solid">
        <fgColor indexed="9"/>
        <bgColor indexed="64"/>
      </patternFill>
    </fill>
    <fill>
      <patternFill patternType="solid">
        <fgColor theme="3" tint="0.79998168889431442"/>
        <bgColor rgb="FFD6F4D9"/>
      </patternFill>
    </fill>
    <fill>
      <patternFill patternType="solid">
        <fgColor theme="3" tint="0.79998168889431442"/>
        <bgColor indexed="64"/>
      </patternFill>
    </fill>
    <fill>
      <patternFill patternType="solid">
        <fgColor theme="8" tint="0.79998168889431442"/>
        <bgColor indexed="64"/>
      </patternFill>
    </fill>
    <fill>
      <patternFill patternType="solid">
        <fgColor theme="8" tint="0.79998168889431442"/>
        <bgColor rgb="FFD6F4D9"/>
      </patternFill>
    </fill>
    <fill>
      <patternFill patternType="solid">
        <fgColor theme="2" tint="-0.499984740745262"/>
        <bgColor indexed="64"/>
      </patternFill>
    </fill>
    <fill>
      <patternFill patternType="solid">
        <fgColor theme="2" tint="-0.499984740745262"/>
        <bgColor rgb="FFD6F4D9"/>
      </patternFill>
    </fill>
    <fill>
      <patternFill patternType="solid">
        <fgColor theme="9" tint="-0.499984740745262"/>
        <bgColor indexed="64"/>
      </patternFill>
    </fill>
    <fill>
      <patternFill patternType="solid">
        <fgColor rgb="FFFFCE3C"/>
        <bgColor indexed="64"/>
      </patternFill>
    </fill>
    <fill>
      <patternFill patternType="solid">
        <fgColor rgb="FF7CEB99"/>
        <bgColor indexed="64"/>
      </patternFill>
    </fill>
  </fills>
  <borders count="43">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medium">
        <color indexed="64"/>
      </left>
      <right style="medium">
        <color indexed="64"/>
      </right>
      <top style="medium">
        <color indexed="64"/>
      </top>
      <bottom style="medium">
        <color indexed="64"/>
      </bottom>
      <diagonal/>
    </border>
    <border>
      <left style="thin">
        <color auto="1"/>
      </left>
      <right/>
      <top/>
      <bottom style="thin">
        <color auto="1"/>
      </bottom>
      <diagonal/>
    </border>
    <border>
      <left/>
      <right style="medium">
        <color indexed="64"/>
      </right>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auto="1"/>
      </top>
      <bottom style="thin">
        <color auto="1"/>
      </bottom>
      <diagonal/>
    </border>
    <border>
      <left style="thin">
        <color indexed="64"/>
      </left>
      <right style="medium">
        <color indexed="64"/>
      </right>
      <top/>
      <bottom/>
      <diagonal/>
    </border>
    <border>
      <left/>
      <right style="medium">
        <color indexed="64"/>
      </right>
      <top style="medium">
        <color indexed="64"/>
      </top>
      <bottom style="thin">
        <color indexed="64"/>
      </bottom>
      <diagonal/>
    </border>
    <border>
      <left/>
      <right/>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style="thin">
        <color theme="0" tint="-0.24994659260841701"/>
      </top>
      <bottom style="thin">
        <color theme="0" tint="-0.24994659260841701"/>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indexed="22"/>
      </bottom>
      <diagonal/>
    </border>
    <border>
      <left/>
      <right/>
      <top style="thin">
        <color indexed="22"/>
      </top>
      <bottom style="thin">
        <color indexed="22"/>
      </bottom>
      <diagonal/>
    </border>
    <border>
      <left/>
      <right/>
      <top style="thin">
        <color rgb="FFEFEFEF"/>
      </top>
      <bottom style="thin">
        <color rgb="FFEFEFEF"/>
      </bottom>
      <diagonal/>
    </border>
    <border>
      <left/>
      <right style="medium">
        <color indexed="64"/>
      </right>
      <top style="thin">
        <color auto="1"/>
      </top>
      <bottom style="medium">
        <color indexed="64"/>
      </bottom>
      <diagonal/>
    </border>
  </borders>
  <cellStyleXfs count="16">
    <xf numFmtId="0" fontId="0" fillId="0" borderId="0"/>
    <xf numFmtId="0" fontId="31" fillId="0" borderId="1" applyFill="0">
      <alignment horizontal="left" vertical="center" indent="2"/>
    </xf>
    <xf numFmtId="165" fontId="31" fillId="0" borderId="0" applyFont="0" applyFill="0" applyBorder="0"/>
    <xf numFmtId="165" fontId="31" fillId="0" borderId="0" applyFont="0" applyFill="0" applyBorder="0"/>
    <xf numFmtId="166" fontId="31" fillId="0" borderId="2">
      <alignment horizontal="center" vertical="center"/>
    </xf>
    <xf numFmtId="0" fontId="31" fillId="0" borderId="1" applyFill="0">
      <alignment horizontal="center" vertical="center"/>
    </xf>
    <xf numFmtId="0" fontId="31" fillId="0" borderId="0"/>
    <xf numFmtId="0" fontId="31" fillId="0" borderId="0"/>
    <xf numFmtId="9" fontId="31" fillId="0" borderId="0" applyFont="0" applyFill="0" applyBorder="0" applyProtection="0"/>
    <xf numFmtId="9" fontId="31" fillId="0" borderId="0" applyFont="0" applyFill="0" applyBorder="0" applyProtection="0"/>
    <xf numFmtId="0" fontId="8" fillId="0" borderId="0"/>
    <xf numFmtId="0" fontId="7" fillId="0" borderId="0"/>
    <xf numFmtId="0" fontId="41" fillId="0" borderId="0" applyNumberFormat="0" applyFill="0" applyBorder="0"/>
    <xf numFmtId="0" fontId="2" fillId="0" borderId="0"/>
    <xf numFmtId="9" fontId="2" fillId="0" borderId="0" applyFont="0" applyFill="0" applyBorder="0" applyAlignment="0" applyProtection="0"/>
    <xf numFmtId="0" fontId="55" fillId="0" borderId="0" applyNumberFormat="0" applyFill="0" applyBorder="0" applyAlignment="0" applyProtection="0"/>
  </cellStyleXfs>
  <cellXfs count="376">
    <xf numFmtId="0" fontId="0" fillId="0" borderId="0" xfId="0"/>
    <xf numFmtId="0" fontId="9" fillId="0" borderId="0" xfId="0" applyFont="1"/>
    <xf numFmtId="0" fontId="11" fillId="0" borderId="0" xfId="0" applyFont="1" applyAlignment="1">
      <alignment horizontal="right" vertical="top" wrapText="1"/>
    </xf>
    <xf numFmtId="0" fontId="9" fillId="0" borderId="0" xfId="0" applyFont="1" applyAlignment="1">
      <alignment vertical="top"/>
    </xf>
    <xf numFmtId="0" fontId="9" fillId="0" borderId="0" xfId="0" applyFont="1" applyAlignment="1">
      <alignment vertical="top" wrapText="1"/>
    </xf>
    <xf numFmtId="0" fontId="13" fillId="0" borderId="0" xfId="0" applyFont="1" applyAlignment="1">
      <alignment vertical="top"/>
    </xf>
    <xf numFmtId="0" fontId="14" fillId="0" borderId="0" xfId="0" applyFont="1" applyAlignment="1">
      <alignment vertical="top" wrapText="1"/>
    </xf>
    <xf numFmtId="0" fontId="11" fillId="0" borderId="0" xfId="0" applyFont="1" applyAlignment="1">
      <alignment vertical="top" wrapText="1"/>
    </xf>
    <xf numFmtId="0" fontId="11" fillId="0" borderId="0" xfId="0" applyFont="1" applyAlignment="1">
      <alignment horizontal="center"/>
    </xf>
    <xf numFmtId="0" fontId="11" fillId="0" borderId="0" xfId="0" applyFont="1"/>
    <xf numFmtId="0" fontId="11" fillId="0" borderId="0" xfId="0" applyFont="1" applyAlignment="1">
      <alignment horizontal="left" vertical="top" wrapText="1"/>
    </xf>
    <xf numFmtId="0" fontId="15" fillId="0" borderId="0" xfId="0" applyFont="1"/>
    <xf numFmtId="0" fontId="15" fillId="0" borderId="3" xfId="0" applyFont="1" applyBorder="1"/>
    <xf numFmtId="167" fontId="11" fillId="0" borderId="0" xfId="0" applyNumberFormat="1" applyFont="1" applyAlignment="1">
      <alignment horizontal="right" vertical="top" wrapText="1"/>
    </xf>
    <xf numFmtId="167" fontId="14" fillId="0" borderId="0" xfId="0" applyNumberFormat="1" applyFont="1" applyAlignment="1">
      <alignment horizontal="right" vertical="top" wrapText="1"/>
    </xf>
    <xf numFmtId="0" fontId="0" fillId="0" borderId="3" xfId="0" applyBorder="1"/>
    <xf numFmtId="0" fontId="15" fillId="0" borderId="6" xfId="0" applyFont="1" applyBorder="1"/>
    <xf numFmtId="0" fontId="10" fillId="9" borderId="3" xfId="0" applyFont="1" applyFill="1" applyBorder="1" applyAlignment="1">
      <alignment horizontal="center" vertical="center"/>
    </xf>
    <xf numFmtId="0" fontId="25" fillId="13" borderId="3" xfId="0" applyFont="1" applyFill="1" applyBorder="1" applyAlignment="1">
      <alignment horizontal="center"/>
    </xf>
    <xf numFmtId="0" fontId="25" fillId="13" borderId="8" xfId="0" applyFont="1" applyFill="1" applyBorder="1" applyAlignment="1">
      <alignment horizontal="center"/>
    </xf>
    <xf numFmtId="0" fontId="25" fillId="13" borderId="0" xfId="0" applyFont="1" applyFill="1" applyAlignment="1">
      <alignment horizontal="center"/>
    </xf>
    <xf numFmtId="0" fontId="26" fillId="0" borderId="3" xfId="0" applyFont="1" applyBorder="1" applyAlignment="1">
      <alignment horizontal="center" vertical="center" wrapText="1"/>
    </xf>
    <xf numFmtId="0" fontId="15" fillId="0" borderId="3" xfId="0" applyFont="1" applyBorder="1" applyAlignment="1">
      <alignment horizontal="center"/>
    </xf>
    <xf numFmtId="0" fontId="15" fillId="0" borderId="6" xfId="0" applyFont="1" applyBorder="1" applyAlignment="1">
      <alignment horizontal="center"/>
    </xf>
    <xf numFmtId="0" fontId="27" fillId="14" borderId="3" xfId="0" applyFont="1" applyFill="1" applyBorder="1" applyAlignment="1">
      <alignment horizontal="center" vertical="center" wrapText="1"/>
    </xf>
    <xf numFmtId="0" fontId="27" fillId="14" borderId="3" xfId="0" applyFont="1" applyFill="1" applyBorder="1" applyAlignment="1">
      <alignment horizontal="center" vertical="center"/>
    </xf>
    <xf numFmtId="0" fontId="0" fillId="0" borderId="3" xfId="0" quotePrefix="1" applyBorder="1"/>
    <xf numFmtId="0" fontId="21" fillId="0" borderId="3" xfId="0" quotePrefix="1" applyFont="1" applyBorder="1"/>
    <xf numFmtId="0" fontId="21" fillId="0" borderId="3" xfId="0" applyFont="1" applyBorder="1"/>
    <xf numFmtId="0" fontId="28" fillId="0" borderId="3" xfId="0" applyFont="1" applyBorder="1"/>
    <xf numFmtId="0" fontId="29" fillId="0" borderId="3" xfId="0" applyFont="1" applyBorder="1"/>
    <xf numFmtId="0" fontId="30" fillId="0" borderId="3" xfId="0" applyFont="1" applyBorder="1"/>
    <xf numFmtId="0" fontId="30" fillId="0" borderId="3" xfId="0" quotePrefix="1" applyFont="1" applyBorder="1"/>
    <xf numFmtId="0" fontId="27" fillId="13" borderId="3" xfId="0" applyFont="1" applyFill="1" applyBorder="1" applyAlignment="1">
      <alignment horizontal="center" vertical="center" wrapText="1"/>
    </xf>
    <xf numFmtId="0" fontId="27" fillId="13" borderId="3" xfId="0" applyFont="1" applyFill="1" applyBorder="1" applyAlignment="1">
      <alignment horizontal="center" vertical="center"/>
    </xf>
    <xf numFmtId="0" fontId="28" fillId="0" borderId="0" xfId="0" applyFont="1" applyAlignment="1">
      <alignment vertical="center" wrapText="1"/>
    </xf>
    <xf numFmtId="0" fontId="17" fillId="0" borderId="4" xfId="0" applyFont="1" applyBorder="1" applyAlignment="1">
      <alignment vertical="top" wrapText="1"/>
    </xf>
    <xf numFmtId="0" fontId="15" fillId="0" borderId="0" xfId="0" applyFont="1" applyAlignment="1">
      <alignment vertical="top"/>
    </xf>
    <xf numFmtId="0" fontId="15" fillId="0" borderId="0" xfId="0" applyFont="1" applyAlignment="1">
      <alignment vertical="top" wrapText="1"/>
    </xf>
    <xf numFmtId="0" fontId="25" fillId="0" borderId="0" xfId="0" applyFont="1" applyAlignment="1">
      <alignment horizontal="center" vertical="center"/>
    </xf>
    <xf numFmtId="0" fontId="15" fillId="0" borderId="0" xfId="0" applyFont="1" applyAlignment="1">
      <alignment horizontal="center"/>
    </xf>
    <xf numFmtId="0" fontId="25" fillId="0" borderId="5" xfId="0" applyFont="1" applyBorder="1" applyAlignment="1">
      <alignment horizontal="center" vertical="center"/>
    </xf>
    <xf numFmtId="0" fontId="24" fillId="3" borderId="3" xfId="0" applyFont="1" applyFill="1" applyBorder="1" applyAlignment="1">
      <alignment horizontal="left" vertical="top" wrapText="1"/>
    </xf>
    <xf numFmtId="0" fontId="15" fillId="0" borderId="0" xfId="0" applyFont="1" applyAlignment="1">
      <alignment horizontal="right" vertical="top" wrapText="1"/>
    </xf>
    <xf numFmtId="167" fontId="24" fillId="4" borderId="3" xfId="0" applyNumberFormat="1" applyFont="1" applyFill="1" applyBorder="1" applyAlignment="1">
      <alignment horizontal="right" vertical="top" wrapText="1"/>
    </xf>
    <xf numFmtId="167" fontId="24" fillId="0" borderId="0" xfId="0" applyNumberFormat="1" applyFont="1" applyAlignment="1">
      <alignment horizontal="right" vertical="top" wrapText="1"/>
    </xf>
    <xf numFmtId="0" fontId="25" fillId="0" borderId="0" xfId="0" applyFont="1" applyAlignment="1">
      <alignment horizontal="center"/>
    </xf>
    <xf numFmtId="167" fontId="36" fillId="0" borderId="0" xfId="0" applyNumberFormat="1" applyFont="1" applyAlignment="1">
      <alignment horizontal="right" vertical="top" wrapText="1"/>
    </xf>
    <xf numFmtId="167" fontId="33" fillId="6" borderId="3" xfId="0" applyNumberFormat="1" applyFont="1" applyFill="1" applyBorder="1" applyAlignment="1">
      <alignment horizontal="right" vertical="top" wrapText="1"/>
    </xf>
    <xf numFmtId="167" fontId="35" fillId="0" borderId="0" xfId="0" applyNumberFormat="1" applyFont="1" applyAlignment="1">
      <alignment horizontal="right" vertical="top" wrapText="1"/>
    </xf>
    <xf numFmtId="0" fontId="25" fillId="0" borderId="0" xfId="0" applyFont="1" applyAlignment="1">
      <alignment horizontal="left" vertical="top" wrapText="1"/>
    </xf>
    <xf numFmtId="167" fontId="37" fillId="5" borderId="0" xfId="0" applyNumberFormat="1" applyFont="1" applyFill="1" applyAlignment="1">
      <alignment horizontal="right" vertical="top" wrapText="1"/>
    </xf>
    <xf numFmtId="167" fontId="34" fillId="5" borderId="0" xfId="0" applyNumberFormat="1" applyFont="1" applyFill="1" applyAlignment="1">
      <alignment horizontal="right" vertical="top" wrapText="1"/>
    </xf>
    <xf numFmtId="167" fontId="34" fillId="0" borderId="0" xfId="0" applyNumberFormat="1" applyFont="1" applyAlignment="1">
      <alignment horizontal="right" vertical="top" wrapText="1"/>
    </xf>
    <xf numFmtId="0" fontId="25" fillId="0" borderId="0" xfId="0" applyFont="1" applyAlignment="1">
      <alignment horizontal="right" vertical="top"/>
    </xf>
    <xf numFmtId="167" fontId="33" fillId="0" borderId="0" xfId="0" applyNumberFormat="1" applyFont="1" applyAlignment="1">
      <alignment horizontal="right" vertical="top" wrapText="1"/>
    </xf>
    <xf numFmtId="167" fontId="0" fillId="0" borderId="0" xfId="0" applyNumberFormat="1"/>
    <xf numFmtId="0" fontId="35" fillId="0" borderId="3" xfId="0" applyFont="1" applyBorder="1" applyAlignment="1">
      <alignment horizontal="right" vertical="top" wrapText="1"/>
    </xf>
    <xf numFmtId="0" fontId="38" fillId="2" borderId="3" xfId="0" applyFont="1" applyFill="1" applyBorder="1" applyAlignment="1">
      <alignment horizontal="center" vertical="center"/>
    </xf>
    <xf numFmtId="0" fontId="38" fillId="2" borderId="3" xfId="0" applyFont="1" applyFill="1" applyBorder="1" applyAlignment="1">
      <alignment horizontal="center" vertical="center" wrapText="1"/>
    </xf>
    <xf numFmtId="0" fontId="24" fillId="3" borderId="3" xfId="0" applyFont="1" applyFill="1" applyBorder="1" applyAlignment="1">
      <alignment horizontal="right" vertical="top" wrapText="1"/>
    </xf>
    <xf numFmtId="167" fontId="39" fillId="0" borderId="3" xfId="0" applyNumberFormat="1" applyFont="1" applyBorder="1" applyAlignment="1">
      <alignment horizontal="right" vertical="top" wrapText="1"/>
    </xf>
    <xf numFmtId="167" fontId="40" fillId="0" borderId="3" xfId="0" applyNumberFormat="1" applyFont="1" applyBorder="1" applyAlignment="1">
      <alignment horizontal="right" vertical="top" wrapText="1"/>
    </xf>
    <xf numFmtId="0" fontId="0" fillId="0" borderId="12" xfId="0" applyBorder="1"/>
    <xf numFmtId="0" fontId="17" fillId="0" borderId="0" xfId="0" applyFont="1" applyAlignment="1">
      <alignment vertical="top" wrapText="1"/>
    </xf>
    <xf numFmtId="0" fontId="38" fillId="0" borderId="13" xfId="0" applyFont="1" applyBorder="1" applyAlignment="1">
      <alignment horizontal="center" vertical="center"/>
    </xf>
    <xf numFmtId="0" fontId="6" fillId="0" borderId="0" xfId="0" applyFont="1"/>
    <xf numFmtId="0" fontId="42" fillId="0" borderId="0" xfId="0" applyFont="1" applyAlignment="1">
      <alignment horizontal="right"/>
    </xf>
    <xf numFmtId="0" fontId="6" fillId="0" borderId="0" xfId="0" applyFont="1" applyAlignment="1">
      <alignment horizontal="right"/>
    </xf>
    <xf numFmtId="0" fontId="18" fillId="11" borderId="8" xfId="0" applyFont="1" applyFill="1" applyBorder="1" applyAlignment="1">
      <alignment horizontal="center" vertical="top"/>
    </xf>
    <xf numFmtId="0" fontId="16" fillId="11" borderId="9" xfId="0" applyFont="1" applyFill="1" applyBorder="1" applyAlignment="1">
      <alignment horizontal="left" vertical="top" wrapText="1"/>
    </xf>
    <xf numFmtId="44" fontId="18" fillId="11" borderId="3" xfId="0" applyNumberFormat="1" applyFont="1" applyFill="1" applyBorder="1" applyAlignment="1">
      <alignment horizontal="right" vertical="top"/>
    </xf>
    <xf numFmtId="0" fontId="9" fillId="11" borderId="0" xfId="0" applyFont="1" applyFill="1"/>
    <xf numFmtId="0" fontId="43" fillId="15" borderId="6" xfId="0" applyFont="1" applyFill="1" applyBorder="1" applyAlignment="1">
      <alignment horizontal="left" vertical="top" wrapText="1"/>
    </xf>
    <xf numFmtId="164" fontId="44" fillId="16" borderId="3" xfId="0" applyNumberFormat="1" applyFont="1" applyFill="1" applyBorder="1" applyAlignment="1">
      <alignment horizontal="right" vertical="top" wrapText="1"/>
    </xf>
    <xf numFmtId="0" fontId="45" fillId="15" borderId="7" xfId="0" applyFont="1" applyFill="1" applyBorder="1" applyAlignment="1">
      <alignment horizontal="left" vertical="top" wrapText="1"/>
    </xf>
    <xf numFmtId="1" fontId="45" fillId="10" borderId="3" xfId="2" applyNumberFormat="1" applyFont="1" applyFill="1" applyBorder="1" applyAlignment="1">
      <alignment horizontal="left" vertical="top" wrapText="1"/>
    </xf>
    <xf numFmtId="0" fontId="19" fillId="0" borderId="3" xfId="0" applyFont="1" applyBorder="1" applyAlignment="1">
      <alignment horizontal="left" vertical="top"/>
    </xf>
    <xf numFmtId="0" fontId="9" fillId="0" borderId="3" xfId="0" applyFont="1" applyBorder="1" applyAlignment="1">
      <alignment horizontal="center" vertical="top"/>
    </xf>
    <xf numFmtId="0" fontId="9" fillId="0" borderId="0" xfId="0" applyFont="1" applyAlignment="1">
      <alignment horizontal="left" vertical="top" wrapText="1"/>
    </xf>
    <xf numFmtId="0" fontId="10" fillId="9" borderId="3" xfId="0" applyFont="1" applyFill="1" applyBorder="1" applyAlignment="1">
      <alignment horizontal="center" vertical="center" wrapText="1"/>
    </xf>
    <xf numFmtId="0" fontId="10" fillId="2" borderId="3" xfId="0" applyFont="1" applyFill="1" applyBorder="1" applyAlignment="1">
      <alignment horizontal="center" vertical="center"/>
    </xf>
    <xf numFmtId="0" fontId="23" fillId="8" borderId="7" xfId="0" applyFont="1" applyFill="1" applyBorder="1" applyAlignment="1">
      <alignment horizontal="center" vertical="center"/>
    </xf>
    <xf numFmtId="0" fontId="45" fillId="0" borderId="3" xfId="0" applyFont="1" applyBorder="1" applyAlignment="1">
      <alignment horizontal="left" vertical="top" wrapText="1"/>
    </xf>
    <xf numFmtId="0" fontId="9" fillId="0" borderId="3" xfId="0" applyFont="1" applyBorder="1" applyAlignment="1">
      <alignment horizontal="center" vertical="center" wrapText="1"/>
    </xf>
    <xf numFmtId="0" fontId="9" fillId="0" borderId="0" xfId="0" applyFont="1" applyAlignment="1">
      <alignment vertical="center"/>
    </xf>
    <xf numFmtId="0" fontId="10" fillId="9" borderId="6" xfId="0" applyFont="1" applyFill="1" applyBorder="1" applyAlignment="1">
      <alignment horizontal="center" vertical="center" wrapText="1"/>
    </xf>
    <xf numFmtId="167" fontId="15" fillId="0" borderId="0" xfId="0" applyNumberFormat="1" applyFont="1"/>
    <xf numFmtId="0" fontId="26" fillId="0" borderId="3" xfId="0" applyFont="1" applyBorder="1" applyAlignment="1">
      <alignment horizontal="left" vertical="top" wrapText="1"/>
    </xf>
    <xf numFmtId="0" fontId="16" fillId="7" borderId="3" xfId="0" applyFont="1" applyFill="1" applyBorder="1" applyAlignment="1">
      <alignment horizontal="center" vertical="center" wrapText="1"/>
    </xf>
    <xf numFmtId="0" fontId="5" fillId="0" borderId="0" xfId="0" applyFont="1"/>
    <xf numFmtId="0" fontId="9" fillId="20" borderId="0" xfId="0" applyFont="1" applyFill="1"/>
    <xf numFmtId="0" fontId="12" fillId="23" borderId="3" xfId="0" applyFont="1" applyFill="1" applyBorder="1" applyAlignment="1">
      <alignment vertical="top" wrapText="1"/>
    </xf>
    <xf numFmtId="44" fontId="12" fillId="23" borderId="3" xfId="0" applyNumberFormat="1" applyFont="1" applyFill="1" applyBorder="1" applyAlignment="1">
      <alignment horizontal="right" vertical="top" wrapText="1"/>
    </xf>
    <xf numFmtId="0" fontId="12" fillId="23" borderId="7" xfId="0" applyFont="1" applyFill="1" applyBorder="1" applyAlignment="1">
      <alignment horizontal="left" vertical="top" wrapText="1"/>
    </xf>
    <xf numFmtId="0" fontId="9" fillId="23" borderId="0" xfId="0" applyFont="1" applyFill="1"/>
    <xf numFmtId="0" fontId="12" fillId="22" borderId="3" xfId="0" applyFont="1" applyFill="1" applyBorder="1" applyAlignment="1">
      <alignment vertical="top" wrapText="1"/>
    </xf>
    <xf numFmtId="44" fontId="12" fillId="22" borderId="3" xfId="0" applyNumberFormat="1" applyFont="1" applyFill="1" applyBorder="1" applyAlignment="1">
      <alignment horizontal="right" vertical="top" wrapText="1"/>
    </xf>
    <xf numFmtId="0" fontId="12" fillId="22" borderId="7" xfId="0" applyFont="1" applyFill="1" applyBorder="1" applyAlignment="1">
      <alignment horizontal="left" vertical="top" wrapText="1"/>
    </xf>
    <xf numFmtId="0" fontId="9" fillId="25" borderId="0" xfId="0" applyFont="1" applyFill="1"/>
    <xf numFmtId="0" fontId="9" fillId="0" borderId="11" xfId="0" applyFont="1" applyBorder="1"/>
    <xf numFmtId="0" fontId="9" fillId="17" borderId="3" xfId="0" applyFont="1" applyFill="1" applyBorder="1" applyAlignment="1">
      <alignment horizontal="center" vertical="top"/>
    </xf>
    <xf numFmtId="0" fontId="23" fillId="22" borderId="3" xfId="0" applyFont="1" applyFill="1" applyBorder="1" applyAlignment="1">
      <alignment horizontal="center" vertical="top"/>
    </xf>
    <xf numFmtId="0" fontId="9" fillId="12" borderId="3" xfId="0" applyFont="1" applyFill="1" applyBorder="1" applyAlignment="1">
      <alignment horizontal="center" vertical="top"/>
    </xf>
    <xf numFmtId="0" fontId="23" fillId="23" borderId="3" xfId="0" applyFont="1" applyFill="1" applyBorder="1" applyAlignment="1">
      <alignment horizontal="center" vertical="top"/>
    </xf>
    <xf numFmtId="0" fontId="23" fillId="11" borderId="8" xfId="0" applyFont="1" applyFill="1" applyBorder="1" applyAlignment="1">
      <alignment horizontal="center" vertical="top"/>
    </xf>
    <xf numFmtId="14" fontId="10" fillId="19" borderId="3" xfId="0" applyNumberFormat="1" applyFont="1" applyFill="1" applyBorder="1" applyAlignment="1">
      <alignment vertical="top"/>
    </xf>
    <xf numFmtId="0" fontId="9" fillId="12" borderId="3" xfId="0" applyFont="1" applyFill="1" applyBorder="1" applyAlignment="1">
      <alignment vertical="top" wrapText="1"/>
    </xf>
    <xf numFmtId="0" fontId="23" fillId="22" borderId="8" xfId="0" applyFont="1" applyFill="1" applyBorder="1" applyAlignment="1">
      <alignment horizontal="center" vertical="top" wrapText="1"/>
    </xf>
    <xf numFmtId="0" fontId="9" fillId="22" borderId="3" xfId="0" applyFont="1" applyFill="1" applyBorder="1" applyAlignment="1">
      <alignment vertical="top" wrapText="1"/>
    </xf>
    <xf numFmtId="0" fontId="9" fillId="23" borderId="3" xfId="0" applyFont="1" applyFill="1" applyBorder="1" applyAlignment="1">
      <alignment vertical="top"/>
    </xf>
    <xf numFmtId="0" fontId="25" fillId="0" borderId="11" xfId="0" applyFont="1" applyBorder="1" applyAlignment="1">
      <alignment horizontal="center" vertical="center"/>
    </xf>
    <xf numFmtId="164" fontId="12" fillId="16" borderId="3" xfId="0" applyNumberFormat="1" applyFont="1" applyFill="1" applyBorder="1" applyAlignment="1">
      <alignment horizontal="right" vertical="top" wrapText="1"/>
    </xf>
    <xf numFmtId="0" fontId="23" fillId="11" borderId="8" xfId="0" applyFont="1" applyFill="1" applyBorder="1" applyAlignment="1">
      <alignment horizontal="center" vertical="center"/>
    </xf>
    <xf numFmtId="0" fontId="11" fillId="0" borderId="0" xfId="0" applyFont="1" applyAlignment="1">
      <alignment horizontal="center" vertical="center"/>
    </xf>
    <xf numFmtId="0" fontId="9" fillId="0" borderId="0" xfId="0" applyFont="1" applyAlignment="1">
      <alignment horizontal="center" vertical="center"/>
    </xf>
    <xf numFmtId="14" fontId="10" fillId="19" borderId="3" xfId="0" applyNumberFormat="1" applyFont="1" applyFill="1" applyBorder="1" applyAlignment="1">
      <alignment horizontal="center" vertical="center"/>
    </xf>
    <xf numFmtId="14" fontId="10" fillId="0" borderId="3" xfId="0" applyNumberFormat="1" applyFont="1" applyBorder="1" applyAlignment="1">
      <alignment horizontal="center" vertical="center"/>
    </xf>
    <xf numFmtId="14" fontId="16" fillId="22" borderId="8" xfId="0" applyNumberFormat="1" applyFont="1" applyFill="1" applyBorder="1" applyAlignment="1">
      <alignment horizontal="center" vertical="center" wrapText="1"/>
    </xf>
    <xf numFmtId="14" fontId="16" fillId="23" borderId="8" xfId="0" applyNumberFormat="1" applyFont="1" applyFill="1" applyBorder="1" applyAlignment="1">
      <alignment horizontal="center" vertical="center" wrapText="1"/>
    </xf>
    <xf numFmtId="0" fontId="4" fillId="0" borderId="0" xfId="0" applyFont="1"/>
    <xf numFmtId="0" fontId="15" fillId="0" borderId="0" xfId="0" applyFont="1" applyAlignment="1">
      <alignment horizontal="right" vertical="top"/>
    </xf>
    <xf numFmtId="164" fontId="44" fillId="0" borderId="3" xfId="0" applyNumberFormat="1" applyFont="1" applyBorder="1" applyAlignment="1">
      <alignment horizontal="center" vertical="center" wrapText="1"/>
    </xf>
    <xf numFmtId="0" fontId="9" fillId="0" borderId="3" xfId="0" applyFont="1" applyBorder="1" applyAlignment="1">
      <alignment horizontal="center" vertical="center"/>
    </xf>
    <xf numFmtId="0" fontId="9" fillId="12" borderId="3" xfId="0" applyFont="1" applyFill="1" applyBorder="1" applyAlignment="1">
      <alignment horizontal="center" vertical="center" wrapText="1"/>
    </xf>
    <xf numFmtId="14" fontId="10" fillId="0" borderId="3" xfId="0" applyNumberFormat="1" applyFont="1" applyBorder="1" applyAlignment="1">
      <alignment vertical="center"/>
    </xf>
    <xf numFmtId="0" fontId="9" fillId="12" borderId="3" xfId="0" applyFont="1" applyFill="1" applyBorder="1" applyAlignment="1">
      <alignment vertical="center" wrapText="1"/>
    </xf>
    <xf numFmtId="0" fontId="19" fillId="0" borderId="3" xfId="0" applyFont="1" applyBorder="1" applyAlignment="1">
      <alignment vertical="center" wrapText="1"/>
    </xf>
    <xf numFmtId="164" fontId="44" fillId="0" borderId="3" xfId="0" applyNumberFormat="1" applyFont="1" applyBorder="1" applyAlignment="1">
      <alignment vertical="center" wrapText="1"/>
    </xf>
    <xf numFmtId="1" fontId="45" fillId="10" borderId="3" xfId="2" applyNumberFormat="1" applyFont="1" applyFill="1" applyBorder="1" applyAlignment="1">
      <alignment vertical="center" wrapText="1"/>
    </xf>
    <xf numFmtId="9" fontId="45" fillId="0" borderId="3" xfId="8" applyFont="1" applyFill="1" applyBorder="1" applyAlignment="1">
      <alignment horizontal="center" vertical="center"/>
    </xf>
    <xf numFmtId="0" fontId="9" fillId="0" borderId="0" xfId="0" applyFont="1" applyAlignment="1">
      <alignment horizontal="center"/>
    </xf>
    <xf numFmtId="0" fontId="3" fillId="0" borderId="0" xfId="0" applyFont="1"/>
    <xf numFmtId="0" fontId="19" fillId="26" borderId="3" xfId="0" applyFont="1" applyFill="1" applyBorder="1" applyAlignment="1">
      <alignment vertical="center" wrapText="1"/>
    </xf>
    <xf numFmtId="164" fontId="44" fillId="26" borderId="3" xfId="0" applyNumberFormat="1" applyFont="1" applyFill="1" applyBorder="1" applyAlignment="1">
      <alignment vertical="center" wrapText="1"/>
    </xf>
    <xf numFmtId="167" fontId="45" fillId="26" borderId="3" xfId="0" applyNumberFormat="1" applyFont="1" applyFill="1" applyBorder="1" applyAlignment="1">
      <alignment vertical="center" wrapText="1"/>
    </xf>
    <xf numFmtId="1" fontId="45" fillId="27" borderId="3" xfId="2" applyNumberFormat="1" applyFont="1" applyFill="1" applyBorder="1" applyAlignment="1">
      <alignment vertical="center" wrapText="1"/>
    </xf>
    <xf numFmtId="0" fontId="9" fillId="28" borderId="3" xfId="0" applyFont="1" applyFill="1" applyBorder="1" applyAlignment="1">
      <alignment vertical="center" wrapText="1"/>
    </xf>
    <xf numFmtId="0" fontId="9" fillId="0" borderId="3" xfId="0" applyFont="1" applyBorder="1" applyAlignment="1">
      <alignment vertical="top" wrapText="1"/>
    </xf>
    <xf numFmtId="14" fontId="10" fillId="0" borderId="6" xfId="0" applyNumberFormat="1" applyFont="1" applyBorder="1" applyAlignment="1">
      <alignment horizontal="center" vertical="center"/>
    </xf>
    <xf numFmtId="8" fontId="25" fillId="0" borderId="0" xfId="0" applyNumberFormat="1" applyFont="1"/>
    <xf numFmtId="0" fontId="9" fillId="26" borderId="3" xfId="0" applyFont="1" applyFill="1" applyBorder="1" applyAlignment="1">
      <alignment horizontal="center" vertical="center"/>
    </xf>
    <xf numFmtId="14" fontId="20" fillId="0" borderId="3" xfId="6" applyNumberFormat="1" applyFont="1" applyBorder="1" applyAlignment="1">
      <alignment horizontal="center" vertical="center"/>
    </xf>
    <xf numFmtId="0" fontId="18" fillId="11" borderId="8" xfId="0" applyFont="1" applyFill="1" applyBorder="1" applyAlignment="1">
      <alignment horizontal="center" vertical="center"/>
    </xf>
    <xf numFmtId="14" fontId="10" fillId="19" borderId="3" xfId="0" applyNumberFormat="1" applyFont="1" applyFill="1" applyBorder="1" applyAlignment="1">
      <alignment vertical="center"/>
    </xf>
    <xf numFmtId="14" fontId="10" fillId="0" borderId="6" xfId="0" applyNumberFormat="1" applyFont="1" applyBorder="1" applyAlignment="1">
      <alignment vertical="center"/>
    </xf>
    <xf numFmtId="0" fontId="23" fillId="22" borderId="8" xfId="0" applyFont="1" applyFill="1" applyBorder="1" applyAlignment="1">
      <alignment horizontal="center" vertical="center" wrapText="1"/>
    </xf>
    <xf numFmtId="0" fontId="23" fillId="23" borderId="10" xfId="0" applyFont="1" applyFill="1" applyBorder="1" applyAlignment="1">
      <alignment horizontal="center" vertical="center" wrapText="1"/>
    </xf>
    <xf numFmtId="14" fontId="10" fillId="26" borderId="3" xfId="0" applyNumberFormat="1" applyFont="1" applyFill="1" applyBorder="1" applyAlignment="1">
      <alignment horizontal="center" vertical="center"/>
    </xf>
    <xf numFmtId="0" fontId="11" fillId="0" borderId="0" xfId="0" applyFont="1" applyAlignment="1">
      <alignment horizontal="center" vertical="center" wrapText="1"/>
    </xf>
    <xf numFmtId="0" fontId="16" fillId="11" borderId="9" xfId="0" applyFont="1" applyFill="1" applyBorder="1" applyAlignment="1">
      <alignment horizontal="center" vertical="center" wrapText="1"/>
    </xf>
    <xf numFmtId="0" fontId="45" fillId="15" borderId="3" xfId="0" applyFont="1" applyFill="1" applyBorder="1" applyAlignment="1">
      <alignment horizontal="center" vertical="center" wrapText="1"/>
    </xf>
    <xf numFmtId="0" fontId="45" fillId="21" borderId="3" xfId="0" applyFont="1" applyFill="1" applyBorder="1" applyAlignment="1">
      <alignment horizontal="center" vertical="center" wrapText="1"/>
    </xf>
    <xf numFmtId="0" fontId="45" fillId="24" borderId="3" xfId="0" applyFont="1" applyFill="1" applyBorder="1" applyAlignment="1">
      <alignment horizontal="center" vertical="center" wrapText="1"/>
    </xf>
    <xf numFmtId="14" fontId="20" fillId="0" borderId="3" xfId="0" applyNumberFormat="1" applyFont="1" applyBorder="1" applyAlignment="1">
      <alignment horizontal="center" vertical="center"/>
    </xf>
    <xf numFmtId="0" fontId="15" fillId="0" borderId="0" xfId="0" applyFont="1" applyAlignment="1">
      <alignment horizontal="center" vertical="center"/>
    </xf>
    <xf numFmtId="8" fontId="15" fillId="0" borderId="0" xfId="0" applyNumberFormat="1" applyFont="1" applyAlignment="1">
      <alignment horizontal="center"/>
    </xf>
    <xf numFmtId="0" fontId="19" fillId="0" borderId="3" xfId="0" applyFont="1" applyBorder="1" applyAlignment="1">
      <alignment horizontal="left" vertical="top" wrapText="1"/>
    </xf>
    <xf numFmtId="0" fontId="48" fillId="0" borderId="6" xfId="0" applyFont="1" applyBorder="1" applyAlignment="1">
      <alignment horizontal="left" vertical="top" wrapText="1"/>
    </xf>
    <xf numFmtId="164" fontId="47" fillId="0" borderId="3" xfId="0" applyNumberFormat="1" applyFont="1" applyBorder="1" applyAlignment="1">
      <alignment horizontal="center" vertical="center" wrapText="1"/>
    </xf>
    <xf numFmtId="164" fontId="19" fillId="0" borderId="3" xfId="0" applyNumberFormat="1" applyFont="1" applyBorder="1" applyAlignment="1">
      <alignment horizontal="center" vertical="center" wrapText="1"/>
    </xf>
    <xf numFmtId="164" fontId="19" fillId="0" borderId="3" xfId="0" applyNumberFormat="1" applyFont="1" applyBorder="1" applyAlignment="1">
      <alignment vertical="center" wrapText="1"/>
    </xf>
    <xf numFmtId="8" fontId="15" fillId="0" borderId="0" xfId="0" applyNumberFormat="1" applyFont="1"/>
    <xf numFmtId="0" fontId="46" fillId="0" borderId="3" xfId="0" applyFont="1" applyBorder="1" applyAlignment="1">
      <alignment vertical="top" wrapText="1"/>
    </xf>
    <xf numFmtId="0" fontId="0" fillId="0" borderId="0" xfId="0" applyAlignment="1">
      <alignment horizontal="center" vertical="center"/>
    </xf>
    <xf numFmtId="0" fontId="48" fillId="0" borderId="6" xfId="0" applyFont="1" applyBorder="1" applyAlignment="1">
      <alignment horizontal="left" vertical="center" wrapText="1"/>
    </xf>
    <xf numFmtId="0" fontId="45" fillId="0" borderId="6" xfId="0" applyFont="1" applyBorder="1" applyAlignment="1">
      <alignment horizontal="left" vertical="top" wrapText="1"/>
    </xf>
    <xf numFmtId="14" fontId="20" fillId="0" borderId="6" xfId="0" applyNumberFormat="1" applyFont="1" applyBorder="1" applyAlignment="1">
      <alignment horizontal="center" vertical="center"/>
    </xf>
    <xf numFmtId="0" fontId="45" fillId="0" borderId="8" xfId="0" applyFont="1" applyBorder="1" applyAlignment="1">
      <alignment horizontal="left" vertical="top" wrapText="1"/>
    </xf>
    <xf numFmtId="0" fontId="43" fillId="15" borderId="9" xfId="0" applyFont="1" applyFill="1" applyBorder="1" applyAlignment="1">
      <alignment horizontal="left" vertical="top" wrapText="1"/>
    </xf>
    <xf numFmtId="0" fontId="43" fillId="15" borderId="15" xfId="0" applyFont="1" applyFill="1" applyBorder="1" applyAlignment="1">
      <alignment horizontal="left" vertical="top" wrapText="1"/>
    </xf>
    <xf numFmtId="167" fontId="25" fillId="29" borderId="0" xfId="0" applyNumberFormat="1" applyFont="1" applyFill="1"/>
    <xf numFmtId="0" fontId="19" fillId="0" borderId="3" xfId="0" applyFont="1" applyBorder="1" applyAlignment="1">
      <alignment horizontal="center" vertical="center" wrapText="1"/>
    </xf>
    <xf numFmtId="0" fontId="15" fillId="0" borderId="0" xfId="0" applyFont="1" applyAlignment="1">
      <alignment horizontal="center" vertical="center" wrapText="1"/>
    </xf>
    <xf numFmtId="0" fontId="45" fillId="30" borderId="3" xfId="0" applyFont="1" applyFill="1" applyBorder="1" applyAlignment="1">
      <alignment horizontal="center" vertical="center" wrapText="1"/>
    </xf>
    <xf numFmtId="0" fontId="19" fillId="0" borderId="3" xfId="0" applyFont="1" applyBorder="1" applyAlignment="1">
      <alignment horizontal="center" vertical="top"/>
    </xf>
    <xf numFmtId="0" fontId="38" fillId="31" borderId="3" xfId="0" applyFont="1" applyFill="1" applyBorder="1" applyAlignment="1">
      <alignment horizontal="center" vertical="center"/>
    </xf>
    <xf numFmtId="167" fontId="25" fillId="29" borderId="0" xfId="0" applyNumberFormat="1" applyFont="1" applyFill="1" applyAlignment="1">
      <alignment horizontal="center" vertical="top" wrapText="1"/>
    </xf>
    <xf numFmtId="0" fontId="25" fillId="26" borderId="3" xfId="0" applyFont="1" applyFill="1" applyBorder="1" applyAlignment="1">
      <alignment horizontal="center" vertical="center"/>
    </xf>
    <xf numFmtId="0" fontId="25" fillId="32" borderId="0" xfId="0" applyFont="1" applyFill="1" applyAlignment="1">
      <alignment horizontal="center" vertical="center"/>
    </xf>
    <xf numFmtId="0" fontId="25" fillId="32" borderId="16" xfId="0" applyFont="1" applyFill="1" applyBorder="1" applyAlignment="1">
      <alignment horizontal="center" vertical="center"/>
    </xf>
    <xf numFmtId="0" fontId="51" fillId="26" borderId="17" xfId="0" applyFont="1" applyFill="1" applyBorder="1" applyAlignment="1">
      <alignment horizontal="right"/>
    </xf>
    <xf numFmtId="168" fontId="42" fillId="26" borderId="18" xfId="0" applyNumberFormat="1" applyFont="1" applyFill="1" applyBorder="1"/>
    <xf numFmtId="168" fontId="42" fillId="26" borderId="19" xfId="0" applyNumberFormat="1" applyFont="1" applyFill="1" applyBorder="1"/>
    <xf numFmtId="168" fontId="42" fillId="26" borderId="14" xfId="0" applyNumberFormat="1" applyFont="1" applyFill="1" applyBorder="1"/>
    <xf numFmtId="0" fontId="52" fillId="0" borderId="14" xfId="0" applyFont="1" applyBorder="1" applyAlignment="1">
      <alignment horizontal="center"/>
    </xf>
    <xf numFmtId="0" fontId="0" fillId="0" borderId="21" xfId="0" applyBorder="1"/>
    <xf numFmtId="0" fontId="0" fillId="0" borderId="22" xfId="0" applyBorder="1"/>
    <xf numFmtId="0" fontId="0" fillId="0" borderId="20" xfId="0" applyBorder="1"/>
    <xf numFmtId="0" fontId="50" fillId="33" borderId="0" xfId="0" applyFont="1" applyFill="1" applyAlignment="1">
      <alignment horizontal="center" vertical="center"/>
    </xf>
    <xf numFmtId="0" fontId="50" fillId="33" borderId="16" xfId="0" applyFont="1" applyFill="1" applyBorder="1" applyAlignment="1">
      <alignment horizontal="center" vertical="center"/>
    </xf>
    <xf numFmtId="0" fontId="50" fillId="33" borderId="24" xfId="0" applyFont="1" applyFill="1" applyBorder="1" applyAlignment="1">
      <alignment horizontal="center" vertical="center"/>
    </xf>
    <xf numFmtId="0" fontId="50" fillId="33" borderId="25" xfId="0" applyFont="1" applyFill="1" applyBorder="1" applyAlignment="1">
      <alignment horizontal="left" vertical="center"/>
    </xf>
    <xf numFmtId="168" fontId="0" fillId="0" borderId="3" xfId="0" applyNumberFormat="1" applyBorder="1"/>
    <xf numFmtId="168" fontId="0" fillId="0" borderId="26" xfId="0" applyNumberFormat="1" applyBorder="1"/>
    <xf numFmtId="168" fontId="0" fillId="0" borderId="27" xfId="0" applyNumberFormat="1" applyBorder="1"/>
    <xf numFmtId="168" fontId="0" fillId="32" borderId="3" xfId="0" applyNumberFormat="1" applyFill="1" applyBorder="1"/>
    <xf numFmtId="0" fontId="0" fillId="0" borderId="25" xfId="0" applyBorder="1"/>
    <xf numFmtId="0" fontId="0" fillId="0" borderId="16" xfId="0" applyBorder="1"/>
    <xf numFmtId="0" fontId="50" fillId="33" borderId="25" xfId="0" applyFont="1" applyFill="1" applyBorder="1" applyAlignment="1">
      <alignment horizontal="right" vertical="center"/>
    </xf>
    <xf numFmtId="168" fontId="50" fillId="33" borderId="3" xfId="0" applyNumberFormat="1" applyFont="1" applyFill="1" applyBorder="1"/>
    <xf numFmtId="168" fontId="50" fillId="33" borderId="26" xfId="0" applyNumberFormat="1" applyFont="1" applyFill="1" applyBorder="1"/>
    <xf numFmtId="168" fontId="50" fillId="33" borderId="27" xfId="0" applyNumberFormat="1" applyFont="1" applyFill="1" applyBorder="1"/>
    <xf numFmtId="0" fontId="9" fillId="0" borderId="14" xfId="0" applyFont="1" applyBorder="1" applyAlignment="1">
      <alignment horizontal="center"/>
    </xf>
    <xf numFmtId="0" fontId="0" fillId="0" borderId="24" xfId="0" applyBorder="1"/>
    <xf numFmtId="0" fontId="50" fillId="34" borderId="0" xfId="0" applyFont="1" applyFill="1" applyAlignment="1">
      <alignment horizontal="center" vertical="center"/>
    </xf>
    <xf numFmtId="0" fontId="50" fillId="34" borderId="16" xfId="0" applyFont="1" applyFill="1" applyBorder="1" applyAlignment="1">
      <alignment horizontal="center" vertical="center"/>
    </xf>
    <xf numFmtId="0" fontId="50" fillId="34" borderId="24" xfId="0" applyFont="1" applyFill="1" applyBorder="1" applyAlignment="1">
      <alignment horizontal="center" vertical="center"/>
    </xf>
    <xf numFmtId="0" fontId="50" fillId="34" borderId="25" xfId="0" applyFont="1" applyFill="1" applyBorder="1" applyAlignment="1">
      <alignment horizontal="left" vertical="center"/>
    </xf>
    <xf numFmtId="0" fontId="50" fillId="34" borderId="25" xfId="0" applyFont="1" applyFill="1" applyBorder="1" applyAlignment="1">
      <alignment horizontal="right" vertical="center"/>
    </xf>
    <xf numFmtId="169" fontId="8" fillId="34" borderId="27" xfId="0" applyNumberFormat="1" applyFont="1" applyFill="1" applyBorder="1"/>
    <xf numFmtId="0" fontId="50" fillId="25" borderId="0" xfId="0" applyFont="1" applyFill="1" applyAlignment="1">
      <alignment horizontal="center" vertical="center"/>
    </xf>
    <xf numFmtId="0" fontId="50" fillId="25" borderId="16" xfId="0" applyFont="1" applyFill="1" applyBorder="1" applyAlignment="1">
      <alignment horizontal="center" vertical="center"/>
    </xf>
    <xf numFmtId="0" fontId="50" fillId="25" borderId="24" xfId="0" applyFont="1" applyFill="1" applyBorder="1" applyAlignment="1">
      <alignment horizontal="center" vertical="center"/>
    </xf>
    <xf numFmtId="0" fontId="50" fillId="25" borderId="25" xfId="0" applyFont="1" applyFill="1" applyBorder="1" applyAlignment="1">
      <alignment horizontal="left" vertical="center"/>
    </xf>
    <xf numFmtId="0" fontId="50" fillId="25" borderId="25" xfId="0" applyFont="1" applyFill="1" applyBorder="1" applyAlignment="1">
      <alignment horizontal="right" vertical="center"/>
    </xf>
    <xf numFmtId="167" fontId="50" fillId="25" borderId="24" xfId="0" applyNumberFormat="1" applyFont="1" applyFill="1" applyBorder="1" applyAlignment="1">
      <alignment horizontal="right" vertical="center"/>
    </xf>
    <xf numFmtId="0" fontId="50" fillId="35" borderId="0" xfId="0" applyFont="1" applyFill="1" applyAlignment="1">
      <alignment horizontal="center" vertical="center"/>
    </xf>
    <xf numFmtId="0" fontId="50" fillId="35" borderId="16" xfId="0" applyFont="1" applyFill="1" applyBorder="1" applyAlignment="1">
      <alignment horizontal="center" vertical="center"/>
    </xf>
    <xf numFmtId="0" fontId="50" fillId="35" borderId="24" xfId="0" applyFont="1" applyFill="1" applyBorder="1" applyAlignment="1">
      <alignment horizontal="center" vertical="center"/>
    </xf>
    <xf numFmtId="0" fontId="50" fillId="35" borderId="25" xfId="0" applyFont="1" applyFill="1" applyBorder="1" applyAlignment="1">
      <alignment horizontal="left" vertical="center"/>
    </xf>
    <xf numFmtId="0" fontId="50" fillId="35" borderId="25" xfId="0" applyFont="1" applyFill="1" applyBorder="1" applyAlignment="1">
      <alignment horizontal="right" vertical="center"/>
    </xf>
    <xf numFmtId="167" fontId="50" fillId="35" borderId="11" xfId="0" applyNumberFormat="1" applyFont="1" applyFill="1" applyBorder="1" applyAlignment="1">
      <alignment horizontal="right" vertical="center"/>
    </xf>
    <xf numFmtId="167" fontId="50" fillId="35" borderId="28" xfId="0" applyNumberFormat="1" applyFont="1" applyFill="1" applyBorder="1" applyAlignment="1">
      <alignment horizontal="right" vertical="center"/>
    </xf>
    <xf numFmtId="167" fontId="50" fillId="35" borderId="24" xfId="0" applyNumberFormat="1" applyFont="1" applyFill="1" applyBorder="1" applyAlignment="1">
      <alignment horizontal="right" vertical="center"/>
    </xf>
    <xf numFmtId="0" fontId="50" fillId="32" borderId="25" xfId="0" applyFont="1" applyFill="1" applyBorder="1" applyAlignment="1">
      <alignment horizontal="right" vertical="center"/>
    </xf>
    <xf numFmtId="167" fontId="50" fillId="32" borderId="11" xfId="0" applyNumberFormat="1" applyFont="1" applyFill="1" applyBorder="1" applyAlignment="1">
      <alignment horizontal="right" vertical="center"/>
    </xf>
    <xf numFmtId="167" fontId="50" fillId="32" borderId="28" xfId="0" applyNumberFormat="1" applyFont="1" applyFill="1" applyBorder="1" applyAlignment="1">
      <alignment horizontal="right" vertical="center"/>
    </xf>
    <xf numFmtId="167" fontId="50" fillId="32" borderId="24" xfId="0" applyNumberFormat="1" applyFont="1" applyFill="1" applyBorder="1" applyAlignment="1">
      <alignment horizontal="right" vertical="center"/>
    </xf>
    <xf numFmtId="0" fontId="25" fillId="26" borderId="17" xfId="0" applyFont="1" applyFill="1" applyBorder="1" applyAlignment="1">
      <alignment horizontal="right"/>
    </xf>
    <xf numFmtId="168" fontId="25" fillId="26" borderId="18" xfId="0" applyNumberFormat="1" applyFont="1" applyFill="1" applyBorder="1"/>
    <xf numFmtId="168" fontId="25" fillId="26" borderId="19" xfId="0" applyNumberFormat="1" applyFont="1" applyFill="1" applyBorder="1"/>
    <xf numFmtId="168" fontId="25" fillId="26" borderId="14" xfId="0" applyNumberFormat="1" applyFont="1" applyFill="1" applyBorder="1"/>
    <xf numFmtId="170" fontId="0" fillId="0" borderId="0" xfId="0" applyNumberFormat="1"/>
    <xf numFmtId="170" fontId="8" fillId="34" borderId="3" xfId="0" applyNumberFormat="1" applyFont="1" applyFill="1" applyBorder="1"/>
    <xf numFmtId="44" fontId="50" fillId="25" borderId="11" xfId="0" applyNumberFormat="1" applyFont="1" applyFill="1" applyBorder="1" applyAlignment="1">
      <alignment horizontal="right" vertical="center"/>
    </xf>
    <xf numFmtId="0" fontId="10" fillId="0" borderId="3" xfId="0" applyFont="1" applyBorder="1" applyAlignment="1">
      <alignment horizontal="center" vertical="top"/>
    </xf>
    <xf numFmtId="0" fontId="18" fillId="0" borderId="8" xfId="0" applyFont="1" applyBorder="1" applyAlignment="1">
      <alignment horizontal="center" vertical="top"/>
    </xf>
    <xf numFmtId="0" fontId="9" fillId="0" borderId="3" xfId="0" applyFont="1" applyBorder="1" applyAlignment="1">
      <alignment horizontal="right" vertical="center"/>
    </xf>
    <xf numFmtId="0" fontId="45" fillId="0" borderId="12" xfId="0" applyFont="1" applyBorder="1" applyAlignment="1">
      <alignment horizontal="left" vertical="top" wrapText="1"/>
    </xf>
    <xf numFmtId="0" fontId="48" fillId="0" borderId="3" xfId="0" applyFont="1" applyBorder="1" applyAlignment="1">
      <alignment horizontal="left" vertical="top" wrapText="1"/>
    </xf>
    <xf numFmtId="0" fontId="18" fillId="0" borderId="9" xfId="0" applyFont="1" applyBorder="1" applyAlignment="1">
      <alignment horizontal="center" vertical="top"/>
    </xf>
    <xf numFmtId="0" fontId="9" fillId="0" borderId="6" xfId="0" applyFont="1" applyBorder="1" applyAlignment="1">
      <alignment horizontal="center" vertical="top"/>
    </xf>
    <xf numFmtId="0" fontId="9" fillId="0" borderId="6" xfId="0" applyFont="1" applyBorder="1" applyAlignment="1">
      <alignment horizontal="center" vertical="center" wrapText="1"/>
    </xf>
    <xf numFmtId="0" fontId="19" fillId="0" borderId="6" xfId="0" applyFont="1" applyBorder="1" applyAlignment="1">
      <alignment horizontal="center" vertical="top"/>
    </xf>
    <xf numFmtId="0" fontId="59" fillId="0" borderId="0" xfId="0" applyFont="1"/>
    <xf numFmtId="0" fontId="59" fillId="0" borderId="0" xfId="0" applyFont="1" applyAlignment="1">
      <alignment horizontal="right" vertical="center"/>
    </xf>
    <xf numFmtId="0" fontId="56" fillId="0" borderId="30" xfId="0" applyFont="1" applyBorder="1" applyAlignment="1" applyProtection="1">
      <alignment horizontal="center" vertical="center"/>
      <protection locked="0"/>
    </xf>
    <xf numFmtId="0" fontId="30" fillId="0" borderId="0" xfId="0" applyFont="1"/>
    <xf numFmtId="0" fontId="60" fillId="0" borderId="0" xfId="0" applyFont="1"/>
    <xf numFmtId="171" fontId="61" fillId="0" borderId="31" xfId="0" applyNumberFormat="1" applyFont="1" applyBorder="1" applyAlignment="1">
      <alignment horizontal="center" vertical="center" shrinkToFit="1"/>
    </xf>
    <xf numFmtId="171" fontId="61" fillId="0" borderId="32" xfId="0" applyNumberFormat="1" applyFont="1" applyBorder="1" applyAlignment="1">
      <alignment horizontal="center" vertical="center" shrinkToFit="1"/>
    </xf>
    <xf numFmtId="171" fontId="61" fillId="0" borderId="33" xfId="0" applyNumberFormat="1" applyFont="1" applyBorder="1" applyAlignment="1">
      <alignment horizontal="center" vertical="center" shrinkToFit="1"/>
    </xf>
    <xf numFmtId="0" fontId="62" fillId="0" borderId="0" xfId="0" applyFont="1" applyAlignment="1" applyProtection="1">
      <alignment vertical="center"/>
      <protection locked="0"/>
    </xf>
    <xf numFmtId="0" fontId="63" fillId="0" borderId="0" xfId="0" applyFont="1" applyAlignment="1" applyProtection="1">
      <alignment vertical="center"/>
      <protection locked="0"/>
    </xf>
    <xf numFmtId="0" fontId="30" fillId="0" borderId="0" xfId="0" applyFont="1" applyAlignment="1">
      <alignment horizontal="right" vertical="center"/>
    </xf>
    <xf numFmtId="0" fontId="66" fillId="0" borderId="0" xfId="0" applyFont="1" applyAlignment="1" applyProtection="1">
      <alignment vertical="center"/>
      <protection locked="0"/>
    </xf>
    <xf numFmtId="0" fontId="67" fillId="0" borderId="0" xfId="0" applyFont="1" applyProtection="1">
      <protection locked="0"/>
    </xf>
    <xf numFmtId="0" fontId="68" fillId="36" borderId="0" xfId="15" applyNumberFormat="1" applyFont="1" applyFill="1" applyAlignment="1" applyProtection="1">
      <alignment horizontal="right"/>
      <protection locked="0"/>
    </xf>
    <xf numFmtId="0" fontId="69" fillId="0" borderId="0" xfId="0" applyFont="1" applyProtection="1">
      <protection locked="0"/>
    </xf>
    <xf numFmtId="0" fontId="0" fillId="36" borderId="0" xfId="0" applyFill="1"/>
    <xf numFmtId="0" fontId="55" fillId="0" borderId="0" xfId="15" applyAlignment="1" applyProtection="1">
      <alignment horizontal="left"/>
    </xf>
    <xf numFmtId="0" fontId="70" fillId="0" borderId="35" xfId="0" applyFont="1" applyBorder="1" applyAlignment="1">
      <alignment horizontal="left" vertical="center"/>
    </xf>
    <xf numFmtId="0" fontId="70" fillId="0" borderId="35" xfId="0" applyFont="1" applyBorder="1" applyAlignment="1">
      <alignment horizontal="center" vertical="center" wrapText="1"/>
    </xf>
    <xf numFmtId="0" fontId="71" fillId="0" borderId="35" xfId="0" applyFont="1" applyBorder="1" applyAlignment="1">
      <alignment horizontal="center" vertical="center" wrapText="1"/>
    </xf>
    <xf numFmtId="0" fontId="70" fillId="0" borderId="35" xfId="0" applyFont="1" applyBorder="1" applyAlignment="1">
      <alignment horizontal="center" vertical="center"/>
    </xf>
    <xf numFmtId="0" fontId="58" fillId="0" borderId="36" xfId="0" applyFont="1" applyBorder="1" applyAlignment="1">
      <alignment horizontal="center" vertical="center" shrinkToFit="1"/>
    </xf>
    <xf numFmtId="0" fontId="58" fillId="0" borderId="37" xfId="0" applyFont="1" applyBorder="1" applyAlignment="1">
      <alignment horizontal="center" vertical="center" shrinkToFit="1"/>
    </xf>
    <xf numFmtId="0" fontId="58" fillId="0" borderId="38" xfId="0" applyFont="1" applyBorder="1" applyAlignment="1">
      <alignment horizontal="center" vertical="center" shrinkToFit="1"/>
    </xf>
    <xf numFmtId="0" fontId="57" fillId="30" borderId="39" xfId="0" applyFont="1" applyFill="1" applyBorder="1" applyAlignment="1">
      <alignment horizontal="left" vertical="center"/>
    </xf>
    <xf numFmtId="0" fontId="57" fillId="30" borderId="39" xfId="0" applyFont="1" applyFill="1" applyBorder="1" applyAlignment="1">
      <alignment vertical="center"/>
    </xf>
    <xf numFmtId="0" fontId="58" fillId="30" borderId="39" xfId="0" applyFont="1" applyFill="1" applyBorder="1" applyAlignment="1">
      <alignment vertical="center"/>
    </xf>
    <xf numFmtId="0" fontId="58" fillId="30" borderId="39" xfId="0" applyFont="1" applyFill="1" applyBorder="1" applyAlignment="1">
      <alignment horizontal="center" vertical="center"/>
    </xf>
    <xf numFmtId="174" fontId="58" fillId="30" borderId="39" xfId="0" applyNumberFormat="1" applyFont="1" applyFill="1" applyBorder="1" applyAlignment="1">
      <alignment horizontal="right" vertical="center"/>
    </xf>
    <xf numFmtId="174" fontId="58" fillId="30" borderId="39" xfId="0" applyNumberFormat="1" applyFont="1" applyFill="1" applyBorder="1" applyAlignment="1">
      <alignment horizontal="center" vertical="center"/>
    </xf>
    <xf numFmtId="1" fontId="58" fillId="30" borderId="39" xfId="8" applyNumberFormat="1" applyFont="1" applyFill="1" applyBorder="1" applyAlignment="1" applyProtection="1">
      <alignment horizontal="center" vertical="center"/>
    </xf>
    <xf numFmtId="9" fontId="58" fillId="30" borderId="39" xfId="8" applyFont="1" applyFill="1" applyBorder="1" applyAlignment="1" applyProtection="1">
      <alignment horizontal="center" vertical="center"/>
    </xf>
    <xf numFmtId="1" fontId="58" fillId="30" borderId="39" xfId="0" applyNumberFormat="1" applyFont="1" applyFill="1" applyBorder="1" applyAlignment="1">
      <alignment horizontal="center" vertical="center"/>
    </xf>
    <xf numFmtId="1" fontId="72" fillId="30" borderId="39" xfId="0" applyNumberFormat="1" applyFont="1" applyFill="1" applyBorder="1" applyAlignment="1">
      <alignment horizontal="center" vertical="center"/>
    </xf>
    <xf numFmtId="0" fontId="58" fillId="30" borderId="39" xfId="0" applyFont="1" applyFill="1" applyBorder="1" applyAlignment="1">
      <alignment horizontal="left" vertical="center"/>
    </xf>
    <xf numFmtId="0" fontId="58" fillId="30" borderId="40" xfId="0" applyFont="1" applyFill="1" applyBorder="1" applyAlignment="1">
      <alignment vertical="center"/>
    </xf>
    <xf numFmtId="0" fontId="58" fillId="0" borderId="40" xfId="0" applyFont="1" applyBorder="1" applyAlignment="1">
      <alignment horizontal="left" vertical="center"/>
    </xf>
    <xf numFmtId="0" fontId="58" fillId="0" borderId="40" xfId="0" applyFont="1" applyBorder="1" applyAlignment="1">
      <alignment vertical="center" wrapText="1"/>
    </xf>
    <xf numFmtId="0" fontId="58" fillId="0" borderId="40" xfId="0" applyFont="1" applyBorder="1" applyAlignment="1">
      <alignment vertical="center"/>
    </xf>
    <xf numFmtId="0" fontId="73" fillId="0" borderId="41" xfId="0" applyFont="1" applyBorder="1" applyAlignment="1">
      <alignment horizontal="center" vertical="center"/>
    </xf>
    <xf numFmtId="1" fontId="73" fillId="38" borderId="41" xfId="0" applyNumberFormat="1" applyFont="1" applyFill="1" applyBorder="1" applyAlignment="1">
      <alignment horizontal="center" vertical="center"/>
    </xf>
    <xf numFmtId="9" fontId="73" fillId="38" borderId="41" xfId="8" applyFont="1" applyFill="1" applyBorder="1" applyAlignment="1" applyProtection="1">
      <alignment horizontal="center" vertical="center"/>
    </xf>
    <xf numFmtId="1" fontId="73" fillId="0" borderId="41" xfId="0" applyNumberFormat="1" applyFont="1" applyBorder="1" applyAlignment="1">
      <alignment horizontal="center" vertical="center"/>
    </xf>
    <xf numFmtId="1" fontId="74" fillId="0" borderId="41" xfId="0" applyNumberFormat="1" applyFont="1" applyBorder="1" applyAlignment="1">
      <alignment horizontal="center" vertical="center"/>
    </xf>
    <xf numFmtId="9" fontId="58" fillId="0" borderId="40" xfId="0" applyNumberFormat="1" applyFont="1" applyBorder="1" applyAlignment="1">
      <alignment horizontal="left" vertical="center"/>
    </xf>
    <xf numFmtId="175" fontId="73" fillId="37" borderId="41" xfId="0" applyNumberFormat="1" applyFont="1" applyFill="1" applyBorder="1" applyAlignment="1">
      <alignment horizontal="center" vertical="center"/>
    </xf>
    <xf numFmtId="176" fontId="73" fillId="0" borderId="41" xfId="0" applyNumberFormat="1" applyFont="1" applyBorder="1" applyAlignment="1">
      <alignment horizontal="center" vertical="center"/>
    </xf>
    <xf numFmtId="9" fontId="45" fillId="10" borderId="3" xfId="8" applyFont="1" applyFill="1" applyBorder="1" applyAlignment="1">
      <alignment horizontal="center" vertical="center"/>
    </xf>
    <xf numFmtId="9" fontId="43" fillId="18" borderId="3" xfId="8" applyFont="1" applyFill="1" applyBorder="1" applyAlignment="1">
      <alignment horizontal="center" vertical="center"/>
    </xf>
    <xf numFmtId="0" fontId="23" fillId="22" borderId="3" xfId="0" applyFont="1" applyFill="1" applyBorder="1" applyAlignment="1">
      <alignment horizontal="center" vertical="center"/>
    </xf>
    <xf numFmtId="0" fontId="23" fillId="23" borderId="3" xfId="0" applyFont="1" applyFill="1" applyBorder="1" applyAlignment="1">
      <alignment horizontal="center" vertical="center"/>
    </xf>
    <xf numFmtId="0" fontId="22" fillId="0" borderId="0" xfId="0" applyFont="1" applyAlignment="1">
      <alignment horizontal="center" vertical="center"/>
    </xf>
    <xf numFmtId="9" fontId="45" fillId="27" borderId="3" xfId="8" applyFont="1" applyFill="1" applyBorder="1" applyAlignment="1">
      <alignment horizontal="center" vertical="center"/>
    </xf>
    <xf numFmtId="0" fontId="22" fillId="0" borderId="12" xfId="0" applyFont="1" applyBorder="1" applyAlignment="1">
      <alignment horizontal="center" vertical="center"/>
    </xf>
    <xf numFmtId="0" fontId="22" fillId="0" borderId="3" xfId="0" applyFont="1" applyBorder="1" applyAlignment="1">
      <alignment horizontal="center" vertical="center"/>
    </xf>
    <xf numFmtId="0" fontId="58" fillId="39" borderId="40" xfId="0" applyFont="1" applyFill="1" applyBorder="1" applyAlignment="1">
      <alignment vertical="center" wrapText="1"/>
    </xf>
    <xf numFmtId="0" fontId="73" fillId="39" borderId="41" xfId="0" applyFont="1" applyFill="1" applyBorder="1" applyAlignment="1">
      <alignment horizontal="center" vertical="center"/>
    </xf>
    <xf numFmtId="175" fontId="73" fillId="40" borderId="41" xfId="0" applyNumberFormat="1" applyFont="1" applyFill="1" applyBorder="1" applyAlignment="1">
      <alignment horizontal="center" vertical="center"/>
    </xf>
    <xf numFmtId="176" fontId="73" fillId="39" borderId="41" xfId="0" applyNumberFormat="1" applyFont="1" applyFill="1" applyBorder="1" applyAlignment="1">
      <alignment horizontal="center" vertical="center"/>
    </xf>
    <xf numFmtId="1" fontId="73" fillId="39" borderId="41" xfId="0" applyNumberFormat="1" applyFont="1" applyFill="1" applyBorder="1" applyAlignment="1">
      <alignment horizontal="center" vertical="center"/>
    </xf>
    <xf numFmtId="9" fontId="73" fillId="39" borderId="41" xfId="8" applyFont="1" applyFill="1" applyBorder="1" applyAlignment="1" applyProtection="1">
      <alignment horizontal="center" vertical="center"/>
    </xf>
    <xf numFmtId="0" fontId="79" fillId="41" borderId="40" xfId="0" applyFont="1" applyFill="1" applyBorder="1" applyAlignment="1">
      <alignment horizontal="center" vertical="center" wrapText="1"/>
    </xf>
    <xf numFmtId="0" fontId="58" fillId="41" borderId="40" xfId="0" applyFont="1" applyFill="1" applyBorder="1" applyAlignment="1">
      <alignment vertical="center"/>
    </xf>
    <xf numFmtId="0" fontId="73" fillId="41" borderId="41" xfId="0" applyFont="1" applyFill="1" applyBorder="1" applyAlignment="1">
      <alignment horizontal="center" vertical="center"/>
    </xf>
    <xf numFmtId="175" fontId="73" fillId="42" borderId="41" xfId="0" applyNumberFormat="1" applyFont="1" applyFill="1" applyBorder="1" applyAlignment="1">
      <alignment horizontal="center" vertical="center"/>
    </xf>
    <xf numFmtId="176" fontId="73" fillId="41" borderId="41" xfId="0" applyNumberFormat="1" applyFont="1" applyFill="1" applyBorder="1" applyAlignment="1">
      <alignment horizontal="center" vertical="center"/>
    </xf>
    <xf numFmtId="1" fontId="73" fillId="41" borderId="41" xfId="0" applyNumberFormat="1" applyFont="1" applyFill="1" applyBorder="1" applyAlignment="1">
      <alignment horizontal="center" vertical="center"/>
    </xf>
    <xf numFmtId="9" fontId="73" fillId="41" borderId="41" xfId="8" applyFont="1" applyFill="1" applyBorder="1" applyAlignment="1" applyProtection="1">
      <alignment horizontal="center" vertical="center"/>
    </xf>
    <xf numFmtId="9" fontId="9" fillId="0" borderId="3" xfId="0" applyNumberFormat="1" applyFont="1" applyBorder="1" applyAlignment="1">
      <alignment vertical="top"/>
    </xf>
    <xf numFmtId="0" fontId="45" fillId="0" borderId="10" xfId="0" applyFont="1" applyBorder="1" applyAlignment="1">
      <alignment horizontal="left" vertical="top" wrapText="1"/>
    </xf>
    <xf numFmtId="0" fontId="48" fillId="0" borderId="29" xfId="0" applyFont="1" applyBorder="1" applyAlignment="1">
      <alignment horizontal="left" vertical="top" wrapText="1"/>
    </xf>
    <xf numFmtId="0" fontId="48" fillId="0" borderId="42" xfId="0" applyFont="1" applyBorder="1" applyAlignment="1">
      <alignment horizontal="left" vertical="top" wrapText="1"/>
    </xf>
    <xf numFmtId="164" fontId="80" fillId="16" borderId="3" xfId="0" applyNumberFormat="1" applyFont="1" applyFill="1" applyBorder="1" applyAlignment="1">
      <alignment horizontal="right" vertical="top" wrapText="1"/>
    </xf>
    <xf numFmtId="167" fontId="25" fillId="0" borderId="0" xfId="0" applyNumberFormat="1" applyFont="1"/>
    <xf numFmtId="167" fontId="15" fillId="0" borderId="0" xfId="0" applyNumberFormat="1" applyFont="1" applyAlignment="1">
      <alignment horizontal="center" vertical="center" wrapText="1"/>
    </xf>
    <xf numFmtId="0" fontId="1" fillId="0" borderId="0" xfId="0" applyFont="1"/>
    <xf numFmtId="164" fontId="47" fillId="16" borderId="3" xfId="0" applyNumberFormat="1" applyFont="1" applyFill="1" applyBorder="1" applyAlignment="1">
      <alignment horizontal="right" vertical="top" wrapText="1"/>
    </xf>
    <xf numFmtId="164" fontId="81" fillId="0" borderId="3" xfId="0" applyNumberFormat="1" applyFont="1" applyBorder="1" applyAlignment="1">
      <alignment horizontal="right" vertical="top" wrapText="1"/>
    </xf>
    <xf numFmtId="0" fontId="42" fillId="0" borderId="0" xfId="0" applyFont="1"/>
    <xf numFmtId="0" fontId="50" fillId="43" borderId="25" xfId="0" applyFont="1" applyFill="1" applyBorder="1" applyAlignment="1">
      <alignment horizontal="left" vertical="center"/>
    </xf>
    <xf numFmtId="0" fontId="50" fillId="43" borderId="0" xfId="0" applyFont="1" applyFill="1" applyAlignment="1">
      <alignment horizontal="center" vertical="center"/>
    </xf>
    <xf numFmtId="0" fontId="50" fillId="43" borderId="16" xfId="0" applyFont="1" applyFill="1" applyBorder="1" applyAlignment="1">
      <alignment horizontal="center" vertical="center"/>
    </xf>
    <xf numFmtId="0" fontId="50" fillId="43" borderId="25" xfId="0" applyFont="1" applyFill="1" applyBorder="1" applyAlignment="1">
      <alignment horizontal="right" vertical="center"/>
    </xf>
    <xf numFmtId="170" fontId="50" fillId="43" borderId="3" xfId="0" applyNumberFormat="1" applyFont="1" applyFill="1" applyBorder="1"/>
    <xf numFmtId="0" fontId="10" fillId="2" borderId="5" xfId="0" applyFont="1" applyFill="1" applyBorder="1" applyAlignment="1">
      <alignment horizontal="center" vertical="center"/>
    </xf>
    <xf numFmtId="0" fontId="23" fillId="8" borderId="5" xfId="0" applyFont="1" applyFill="1" applyBorder="1"/>
    <xf numFmtId="9" fontId="45" fillId="0" borderId="3" xfId="8" applyFont="1" applyFill="1" applyBorder="1" applyAlignment="1">
      <alignment horizontal="left" vertical="top"/>
    </xf>
    <xf numFmtId="9" fontId="43" fillId="18" borderId="3" xfId="8" applyFont="1" applyFill="1" applyBorder="1" applyAlignment="1">
      <alignment horizontal="left" vertical="top"/>
    </xf>
    <xf numFmtId="0" fontId="18" fillId="11" borderId="8" xfId="0" applyFont="1" applyFill="1" applyBorder="1" applyAlignment="1">
      <alignment horizontal="left" vertical="top"/>
    </xf>
    <xf numFmtId="0" fontId="23" fillId="22" borderId="3" xfId="0" applyFont="1" applyFill="1" applyBorder="1" applyAlignment="1">
      <alignment horizontal="left" vertical="top"/>
    </xf>
    <xf numFmtId="9" fontId="45" fillId="27" borderId="3" xfId="8" applyFont="1" applyFill="1" applyBorder="1" applyAlignment="1">
      <alignment horizontal="left" vertical="top"/>
    </xf>
    <xf numFmtId="9" fontId="45" fillId="0" borderId="3" xfId="8" applyFont="1" applyFill="1" applyBorder="1" applyAlignment="1">
      <alignment horizontal="left" vertical="top" wrapText="1"/>
    </xf>
    <xf numFmtId="0" fontId="48" fillId="44" borderId="6" xfId="0" applyFont="1" applyFill="1" applyBorder="1" applyAlignment="1">
      <alignment horizontal="left" vertical="top" wrapText="1"/>
    </xf>
    <xf numFmtId="0" fontId="48" fillId="45" borderId="6" xfId="0" applyFont="1" applyFill="1" applyBorder="1" applyAlignment="1">
      <alignment horizontal="left" vertical="top" wrapText="1"/>
    </xf>
    <xf numFmtId="0" fontId="86" fillId="0" borderId="0" xfId="0" applyFont="1" applyAlignment="1">
      <alignment horizontal="center" vertical="center"/>
    </xf>
    <xf numFmtId="0" fontId="87" fillId="9" borderId="3" xfId="0" applyFont="1" applyFill="1" applyBorder="1" applyAlignment="1">
      <alignment horizontal="center" vertical="center"/>
    </xf>
    <xf numFmtId="0" fontId="79" fillId="11" borderId="8" xfId="0" applyFont="1" applyFill="1" applyBorder="1" applyAlignment="1">
      <alignment horizontal="center" vertical="top"/>
    </xf>
    <xf numFmtId="0" fontId="86" fillId="17" borderId="3" xfId="0" applyFont="1" applyFill="1" applyBorder="1" applyAlignment="1">
      <alignment horizontal="center" vertical="top" wrapText="1"/>
    </xf>
    <xf numFmtId="0" fontId="58" fillId="0" borderId="3" xfId="0" applyFont="1" applyBorder="1" applyAlignment="1">
      <alignment horizontal="center" vertical="center" wrapText="1"/>
    </xf>
    <xf numFmtId="0" fontId="58" fillId="0" borderId="3" xfId="0" applyFont="1" applyBorder="1" applyAlignment="1">
      <alignment horizontal="center" vertical="top" wrapText="1"/>
    </xf>
    <xf numFmtId="0" fontId="88" fillId="22" borderId="3" xfId="0" applyFont="1" applyFill="1" applyBorder="1" applyAlignment="1">
      <alignment horizontal="center" vertical="top" wrapText="1"/>
    </xf>
    <xf numFmtId="0" fontId="86" fillId="28" borderId="3" xfId="0" applyFont="1" applyFill="1" applyBorder="1" applyAlignment="1">
      <alignment horizontal="center" vertical="center" wrapText="1"/>
    </xf>
    <xf numFmtId="0" fontId="86" fillId="12" borderId="3" xfId="0" applyFont="1" applyFill="1" applyBorder="1" applyAlignment="1">
      <alignment horizontal="center" vertical="center" wrapText="1"/>
    </xf>
    <xf numFmtId="0" fontId="88" fillId="23" borderId="3" xfId="0" applyFont="1" applyFill="1" applyBorder="1" applyAlignment="1">
      <alignment horizontal="center" vertical="top" wrapText="1"/>
    </xf>
    <xf numFmtId="0" fontId="86" fillId="0" borderId="12" xfId="0" applyFont="1" applyBorder="1" applyAlignment="1">
      <alignment horizontal="center" vertical="center"/>
    </xf>
    <xf numFmtId="0" fontId="86" fillId="0" borderId="3" xfId="0" applyFont="1" applyBorder="1" applyAlignment="1">
      <alignment horizontal="center" vertical="center"/>
    </xf>
    <xf numFmtId="9" fontId="45" fillId="0" borderId="8" xfId="8" applyFont="1" applyFill="1" applyBorder="1" applyAlignment="1">
      <alignment vertical="top" wrapText="1"/>
    </xf>
    <xf numFmtId="0" fontId="21" fillId="0" borderId="31" xfId="0" applyFont="1" applyBorder="1" applyAlignment="1">
      <alignment horizontal="center" vertical="center"/>
    </xf>
    <xf numFmtId="0" fontId="21" fillId="0" borderId="32" xfId="0" applyFont="1" applyBorder="1" applyAlignment="1">
      <alignment horizontal="center" vertical="center"/>
    </xf>
    <xf numFmtId="0" fontId="21" fillId="0" borderId="33" xfId="0" applyFont="1" applyBorder="1" applyAlignment="1">
      <alignment horizontal="center" vertical="center"/>
    </xf>
    <xf numFmtId="173" fontId="56" fillId="0" borderId="31" xfId="0" applyNumberFormat="1" applyFont="1" applyBorder="1" applyAlignment="1">
      <alignment horizontal="center" vertical="center"/>
    </xf>
    <xf numFmtId="173" fontId="56" fillId="0" borderId="32" xfId="0" applyNumberFormat="1" applyFont="1" applyBorder="1" applyAlignment="1">
      <alignment horizontal="center" vertical="center"/>
    </xf>
    <xf numFmtId="173" fontId="56" fillId="0" borderId="33" xfId="0" applyNumberFormat="1" applyFont="1" applyBorder="1" applyAlignment="1">
      <alignment horizontal="center" vertical="center"/>
    </xf>
    <xf numFmtId="0" fontId="64" fillId="0" borderId="0" xfId="15" applyFont="1" applyBorder="1" applyAlignment="1" applyProtection="1">
      <alignment horizontal="left" vertical="center"/>
    </xf>
    <xf numFmtId="172" fontId="56" fillId="0" borderId="34" xfId="0" applyNumberFormat="1" applyFont="1" applyBorder="1" applyAlignment="1" applyProtection="1">
      <alignment horizontal="center" vertical="center" shrinkToFit="1"/>
      <protection locked="0"/>
    </xf>
    <xf numFmtId="172" fontId="56" fillId="0" borderId="30" xfId="0" applyNumberFormat="1" applyFont="1" applyBorder="1" applyAlignment="1" applyProtection="1">
      <alignment horizontal="center" vertical="center" shrinkToFit="1"/>
      <protection locked="0"/>
    </xf>
    <xf numFmtId="0" fontId="49" fillId="0" borderId="20" xfId="0" applyFont="1" applyBorder="1" applyAlignment="1">
      <alignment horizontal="center" vertical="center"/>
    </xf>
    <xf numFmtId="0" fontId="49" fillId="0" borderId="23" xfId="0" applyFont="1" applyBorder="1" applyAlignment="1">
      <alignment horizontal="center" vertical="center"/>
    </xf>
    <xf numFmtId="0" fontId="54" fillId="0" borderId="20" xfId="0" applyFont="1" applyBorder="1" applyAlignment="1">
      <alignment horizontal="center" vertical="center"/>
    </xf>
    <xf numFmtId="0" fontId="54" fillId="0" borderId="23" xfId="0" applyFont="1" applyBorder="1" applyAlignment="1">
      <alignment horizontal="center" vertical="center"/>
    </xf>
    <xf numFmtId="0" fontId="53" fillId="0" borderId="20" xfId="0" applyFont="1" applyBorder="1" applyAlignment="1">
      <alignment horizontal="center" vertical="center"/>
    </xf>
    <xf numFmtId="0" fontId="53" fillId="0" borderId="23" xfId="0" applyFont="1" applyBorder="1" applyAlignment="1">
      <alignment horizontal="center" vertical="center"/>
    </xf>
    <xf numFmtId="0" fontId="58" fillId="0" borderId="8" xfId="0" applyFont="1" applyBorder="1" applyAlignment="1">
      <alignment horizontal="center" vertical="center" wrapText="1"/>
    </xf>
    <xf numFmtId="0" fontId="58" fillId="0" borderId="12" xfId="0" applyFont="1" applyBorder="1" applyAlignment="1">
      <alignment horizontal="center" vertical="center" wrapText="1"/>
    </xf>
    <xf numFmtId="9" fontId="45" fillId="0" borderId="13" xfId="8" applyFont="1" applyFill="1" applyBorder="1" applyAlignment="1">
      <alignment horizontal="left" vertical="top" wrapText="1"/>
    </xf>
    <xf numFmtId="9" fontId="45" fillId="0" borderId="12" xfId="8" applyFont="1" applyFill="1" applyBorder="1" applyAlignment="1">
      <alignment horizontal="left" vertical="top" wrapText="1"/>
    </xf>
    <xf numFmtId="9" fontId="45" fillId="10" borderId="8" xfId="8" applyFont="1" applyFill="1" applyBorder="1" applyAlignment="1">
      <alignment horizontal="left" vertical="top" wrapText="1"/>
    </xf>
    <xf numFmtId="9" fontId="45" fillId="10" borderId="13" xfId="8" applyFont="1" applyFill="1" applyBorder="1" applyAlignment="1">
      <alignment horizontal="left" vertical="top"/>
    </xf>
    <xf numFmtId="9" fontId="45" fillId="10" borderId="12" xfId="8" applyFont="1" applyFill="1" applyBorder="1" applyAlignment="1">
      <alignment horizontal="left" vertical="top"/>
    </xf>
    <xf numFmtId="9" fontId="45" fillId="0" borderId="8" xfId="8" applyFont="1" applyFill="1" applyBorder="1" applyAlignment="1">
      <alignment horizontal="left" vertical="top" wrapText="1"/>
    </xf>
    <xf numFmtId="9" fontId="45" fillId="0" borderId="12" xfId="8" applyFont="1" applyFill="1" applyBorder="1" applyAlignment="1">
      <alignment horizontal="left" vertical="top"/>
    </xf>
  </cellXfs>
  <cellStyles count="16">
    <cellStyle name="Attività" xfId="1" xr:uid="{00000000-0005-0000-0000-000001000000}"/>
    <cellStyle name="Collegamento ipertestuale" xfId="15" builtinId="8"/>
    <cellStyle name="Data" xfId="2" xr:uid="{00000000-0005-0000-0000-000003000000}"/>
    <cellStyle name="Data 2" xfId="3" xr:uid="{00000000-0005-0000-0000-000004000000}"/>
    <cellStyle name="Inizio progetto" xfId="4" xr:uid="{00000000-0005-0000-0000-000005000000}"/>
    <cellStyle name="Nome" xfId="5" xr:uid="{00000000-0005-0000-0000-000006000000}"/>
    <cellStyle name="Normale" xfId="0" builtinId="0"/>
    <cellStyle name="Normale 2" xfId="11" xr:uid="{9F7E47F3-DD12-41F7-A265-B2AC1569A753}"/>
    <cellStyle name="Normale 3" xfId="6" xr:uid="{00000000-0005-0000-0000-000008000000}"/>
    <cellStyle name="Normale 3 2" xfId="7" xr:uid="{00000000-0005-0000-0000-000009000000}"/>
    <cellStyle name="Normale 4" xfId="12" xr:uid="{8A94E697-3AB1-4420-BF53-30560544FF8F}"/>
    <cellStyle name="Normale 5" xfId="13" xr:uid="{DE686C63-246C-45CC-9461-FB5C0086EF5A}"/>
    <cellStyle name="Percentuale" xfId="8" builtinId="5"/>
    <cellStyle name="Percentuale 2" xfId="9" xr:uid="{00000000-0005-0000-0000-00000B000000}"/>
    <cellStyle name="Percentuale 3" xfId="14" xr:uid="{12AC14B9-97A2-4D76-9E93-B04555C943D0}"/>
    <cellStyle name="zTestoNascosto" xfId="10" xr:uid="{00000000-0005-0000-0000-000010000000}"/>
  </cellStyles>
  <dxfs count="143">
    <dxf>
      <font>
        <color theme="0"/>
      </font>
      <fill>
        <patternFill patternType="solid">
          <fgColor theme="9" tint="-0.499984740745262"/>
          <bgColor theme="9" tint="-0.499984740745262"/>
        </patternFill>
      </fill>
    </dxf>
    <dxf>
      <font>
        <color theme="0"/>
      </font>
      <fill>
        <patternFill patternType="solid">
          <fgColor rgb="FFC00000"/>
          <bgColor rgb="FFC00000"/>
        </patternFill>
      </fill>
    </dxf>
    <dxf>
      <font>
        <color rgb="FF9C6500"/>
      </font>
      <fill>
        <patternFill patternType="solid">
          <fgColor rgb="FFFFEB9C"/>
          <bgColor rgb="FFFFEB9C"/>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5"/>
      </font>
      <fill>
        <patternFill patternType="solid">
          <fgColor theme="7" tint="0.79998168889431442"/>
          <bgColor theme="7" tint="0.79998168889431442"/>
        </patternFill>
      </fill>
    </dxf>
    <dxf>
      <font>
        <color theme="0"/>
      </font>
      <fill>
        <patternFill patternType="solid">
          <fgColor rgb="FFC00000"/>
          <bgColor rgb="FFC00000"/>
        </patternFill>
      </fill>
    </dxf>
    <dxf>
      <font>
        <color rgb="FFC00000"/>
      </font>
      <fill>
        <patternFill patternType="solid">
          <fgColor rgb="FFFF9999"/>
          <bgColor rgb="FFFF9999"/>
        </patternFill>
      </fill>
    </dxf>
    <dxf>
      <font>
        <color theme="0"/>
      </font>
      <fill>
        <patternFill patternType="solid">
          <fgColor theme="9" tint="-0.499984740745262"/>
          <bgColor theme="9" tint="-0.499984740745262"/>
        </patternFill>
      </fill>
    </dxf>
    <dxf>
      <font>
        <color rgb="FF9C6500"/>
      </font>
      <fill>
        <patternFill patternType="solid">
          <fgColor rgb="FFFFEB9C"/>
          <bgColor rgb="FFFFEB9C"/>
        </patternFill>
      </fill>
    </dxf>
    <dxf>
      <font>
        <color theme="5"/>
      </font>
      <fill>
        <patternFill patternType="solid">
          <fgColor theme="7" tint="0.79998168889431442"/>
          <bgColor theme="7" tint="0.79998168889431442"/>
        </patternFill>
      </fill>
    </dxf>
    <dxf>
      <font>
        <color rgb="FFC00000"/>
      </font>
      <fill>
        <patternFill patternType="solid">
          <fgColor rgb="FFFF9999"/>
          <bgColor rgb="FFFF9999"/>
        </patternFill>
      </fill>
    </dxf>
    <dxf>
      <font>
        <color rgb="FF9C6500"/>
      </font>
      <fill>
        <patternFill patternType="solid">
          <fgColor rgb="FFFFEB9C"/>
          <bgColor rgb="FFFFEB9C"/>
        </patternFill>
      </fill>
    </dxf>
    <dxf>
      <font>
        <color theme="5"/>
      </font>
      <fill>
        <patternFill patternType="solid">
          <fgColor theme="7" tint="0.79998168889431442"/>
          <bgColor theme="7" tint="0.79998168889431442"/>
        </patternFill>
      </fill>
    </dxf>
    <dxf>
      <font>
        <color rgb="FFC00000"/>
      </font>
      <fill>
        <patternFill patternType="solid">
          <fgColor rgb="FFFF9999"/>
          <bgColor rgb="FFFF9999"/>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theme="9" tint="-0.499984740745262"/>
          <bgColor theme="9" tint="-0.499984740745262"/>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C00000"/>
      </font>
      <fill>
        <patternFill patternType="solid">
          <fgColor rgb="FFFF9999"/>
          <bgColor rgb="FFFF9999"/>
        </patternFill>
      </fill>
    </dxf>
    <dxf>
      <font>
        <color theme="0"/>
      </font>
      <fill>
        <patternFill patternType="solid">
          <fgColor theme="9" tint="-0.499984740745262"/>
          <bgColor theme="9" tint="-0.499984740745262"/>
        </patternFill>
      </fill>
    </dxf>
    <dxf>
      <font>
        <color theme="5"/>
      </font>
      <fill>
        <patternFill patternType="solid">
          <fgColor theme="7" tint="0.79998168889431442"/>
          <bgColor theme="7" tint="0.79998168889431442"/>
        </patternFill>
      </fill>
    </dxf>
    <dxf>
      <font>
        <color rgb="FFC00000"/>
      </font>
      <fill>
        <patternFill patternType="solid">
          <fgColor rgb="FFFF9999"/>
          <bgColor rgb="FFFF9999"/>
        </patternFill>
      </fill>
    </dxf>
    <dxf>
      <font>
        <color theme="0"/>
      </font>
      <fill>
        <patternFill patternType="solid">
          <fgColor theme="9" tint="-0.499984740745262"/>
          <bgColor theme="9" tint="-0.499984740745262"/>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rgb="FF9C6500"/>
      </font>
      <fill>
        <patternFill patternType="solid">
          <fgColor rgb="FFFFEB9C"/>
          <bgColor rgb="FFFFEB9C"/>
        </patternFill>
      </fill>
    </dxf>
    <dxf>
      <font>
        <color theme="0"/>
      </font>
      <fill>
        <patternFill patternType="solid">
          <fgColor rgb="FFC00000"/>
          <bgColor rgb="FFC00000"/>
        </patternFill>
      </fill>
    </dxf>
    <dxf>
      <font>
        <color rgb="FF9C6500"/>
      </font>
      <fill>
        <patternFill patternType="solid">
          <fgColor rgb="FFFFEB9C"/>
          <bgColor rgb="FFFFEB9C"/>
        </patternFill>
      </fill>
    </dxf>
    <dxf>
      <font>
        <color theme="5"/>
      </font>
      <fill>
        <patternFill patternType="solid">
          <fgColor theme="7" tint="0.79998168889431442"/>
          <bgColor theme="7" tint="0.79998168889431442"/>
        </patternFill>
      </fill>
    </dxf>
    <dxf>
      <font>
        <color rgb="FF9C6500"/>
      </font>
      <fill>
        <patternFill patternType="solid">
          <fgColor rgb="FFFFEB9C"/>
          <bgColor rgb="FFFFEB9C"/>
        </patternFill>
      </fill>
    </dxf>
    <dxf>
      <font>
        <color theme="5"/>
      </font>
      <fill>
        <patternFill patternType="solid">
          <fgColor theme="7" tint="0.79998168889431442"/>
          <bgColor theme="7" tint="0.79998168889431442"/>
        </patternFill>
      </fill>
    </dxf>
    <dxf>
      <font>
        <color rgb="FFC00000"/>
      </font>
      <fill>
        <patternFill patternType="solid">
          <fgColor rgb="FFFF9999"/>
          <bgColor rgb="FFFF9999"/>
        </patternFill>
      </fill>
    </dxf>
    <dxf>
      <font>
        <color theme="0"/>
      </font>
      <fill>
        <patternFill patternType="solid">
          <fgColor theme="9" tint="-0.499984740745262"/>
          <bgColor theme="9" tint="-0.499984740745262"/>
        </patternFill>
      </fill>
    </dxf>
    <dxf>
      <font>
        <color theme="0"/>
      </font>
      <fill>
        <patternFill patternType="solid">
          <fgColor rgb="FFC00000"/>
          <bgColor rgb="FFC00000"/>
        </patternFill>
      </fill>
    </dxf>
    <dxf>
      <font>
        <color theme="0"/>
      </font>
      <fill>
        <patternFill patternType="solid">
          <fgColor theme="9" tint="-0.499984740745262"/>
          <bgColor theme="9" tint="-0.499984740745262"/>
        </patternFill>
      </fill>
    </dxf>
    <dxf>
      <font>
        <color theme="0"/>
      </font>
      <fill>
        <patternFill patternType="solid">
          <fgColor rgb="FFC00000"/>
          <bgColor rgb="FFC00000"/>
        </patternFill>
      </fill>
    </dxf>
    <dxf>
      <font>
        <color rgb="FF9C6500"/>
      </font>
      <fill>
        <patternFill patternType="solid">
          <fgColor rgb="FFFFEB9C"/>
          <bgColor rgb="FFFFEB9C"/>
        </patternFill>
      </fill>
    </dxf>
    <dxf>
      <font>
        <color rgb="FFC00000"/>
      </font>
      <fill>
        <patternFill patternType="solid">
          <fgColor rgb="FFFF9999"/>
          <bgColor rgb="FFFF9999"/>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rgb="FF9C6500"/>
      </font>
      <fill>
        <patternFill patternType="solid">
          <fgColor rgb="FFFFEB9C"/>
          <bgColor rgb="FFFFEB9C"/>
        </patternFill>
      </fill>
    </dxf>
    <dxf>
      <font>
        <color theme="5"/>
      </font>
      <fill>
        <patternFill patternType="solid">
          <fgColor theme="7" tint="0.79998168889431442"/>
          <bgColor theme="7" tint="0.79998168889431442"/>
        </patternFill>
      </fill>
    </dxf>
    <dxf>
      <font>
        <color rgb="FF9C6500"/>
      </font>
      <fill>
        <patternFill patternType="solid">
          <fgColor rgb="FFFFEB9C"/>
          <bgColor rgb="FFFFEB9C"/>
        </patternFill>
      </fill>
    </dxf>
    <dxf>
      <font>
        <color theme="0"/>
      </font>
      <fill>
        <patternFill patternType="solid">
          <fgColor rgb="FFC00000"/>
          <bgColor rgb="FFC00000"/>
        </patternFill>
      </fill>
    </dxf>
    <dxf>
      <font>
        <color theme="0"/>
      </font>
      <fill>
        <patternFill patternType="solid">
          <fgColor theme="9" tint="-0.499984740745262"/>
          <bgColor theme="9" tint="-0.499984740745262"/>
        </patternFill>
      </fill>
    </dxf>
    <dxf>
      <font>
        <color rgb="FFC00000"/>
      </font>
      <fill>
        <patternFill patternType="solid">
          <fgColor rgb="FFFF9999"/>
          <bgColor rgb="FFFF9999"/>
        </patternFill>
      </fill>
    </dxf>
    <dxf>
      <font>
        <color theme="5"/>
      </font>
      <fill>
        <patternFill patternType="solid">
          <fgColor theme="7" tint="0.79998168889431442"/>
          <bgColor theme="7" tint="0.79998168889431442"/>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theme="9" tint="-0.499984740745262"/>
          <bgColor theme="9" tint="-0.499984740745262"/>
        </patternFill>
      </fill>
    </dxf>
    <dxf>
      <font>
        <color rgb="FFC00000"/>
      </font>
      <fill>
        <patternFill patternType="solid">
          <fgColor rgb="FFFF9999"/>
          <bgColor rgb="FFFF9999"/>
        </patternFill>
      </fill>
    </dxf>
    <dxf>
      <font>
        <color theme="5"/>
      </font>
      <fill>
        <patternFill patternType="solid">
          <fgColor theme="7" tint="0.79998168889431442"/>
          <bgColor theme="7" tint="0.79998168889431442"/>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rgb="FFC00000"/>
      </font>
      <fill>
        <patternFill patternType="solid">
          <fgColor rgb="FFFF9999"/>
          <bgColor rgb="FFFF9999"/>
        </patternFill>
      </fill>
    </dxf>
    <dxf>
      <font>
        <color theme="0"/>
      </font>
      <fill>
        <patternFill patternType="solid">
          <fgColor theme="9" tint="-0.499984740745262"/>
          <bgColor theme="9" tint="-0.499984740745262"/>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5"/>
      </font>
      <fill>
        <patternFill patternType="solid">
          <fgColor theme="7" tint="0.79998168889431442"/>
          <bgColor theme="7" tint="0.79998168889431442"/>
        </patternFill>
      </fill>
    </dxf>
    <dxf>
      <font>
        <color rgb="FF9C6500"/>
      </font>
      <fill>
        <patternFill patternType="solid">
          <fgColor rgb="FFFFEB9C"/>
          <bgColor rgb="FFFFEB9C"/>
        </patternFill>
      </fill>
    </dxf>
    <dxf>
      <font>
        <color theme="0"/>
      </font>
      <fill>
        <patternFill patternType="solid">
          <fgColor rgb="FFC00000"/>
          <bgColor rgb="FFC00000"/>
        </patternFill>
      </fill>
    </dxf>
    <dxf>
      <font>
        <color theme="5"/>
      </font>
      <fill>
        <patternFill patternType="solid">
          <fgColor theme="7" tint="0.79998168889431442"/>
          <bgColor theme="7" tint="0.79998168889431442"/>
        </patternFill>
      </fill>
    </dxf>
    <dxf>
      <font>
        <color rgb="FF9C6500"/>
      </font>
      <fill>
        <patternFill patternType="solid">
          <fgColor rgb="FFFFEB9C"/>
          <bgColor rgb="FFFFEB9C"/>
        </patternFill>
      </fill>
    </dxf>
    <dxf>
      <font>
        <color theme="0"/>
      </font>
      <fill>
        <patternFill patternType="solid">
          <fgColor rgb="FFC00000"/>
          <bgColor rgb="FFC00000"/>
        </patternFill>
      </fill>
    </dxf>
    <dxf>
      <font>
        <color rgb="FF9C6500"/>
      </font>
      <fill>
        <patternFill patternType="solid">
          <fgColor rgb="FFFFEB9C"/>
          <bgColor rgb="FFFFEB9C"/>
        </patternFill>
      </fill>
    </dxf>
    <dxf>
      <font>
        <color theme="5"/>
      </font>
      <fill>
        <patternFill patternType="solid">
          <fgColor theme="7" tint="0.79998168889431442"/>
          <bgColor theme="7" tint="0.79998168889431442"/>
        </patternFill>
      </fill>
    </dxf>
    <dxf>
      <font>
        <color rgb="FFC00000"/>
      </font>
      <fill>
        <patternFill patternType="solid">
          <fgColor rgb="FFFF9999"/>
          <bgColor rgb="FFFF9999"/>
        </patternFill>
      </fill>
    </dxf>
    <dxf>
      <font>
        <color theme="0"/>
      </font>
      <fill>
        <patternFill patternType="solid">
          <fgColor theme="9" tint="-0.499984740745262"/>
          <bgColor theme="9" tint="-0.499984740745262"/>
        </patternFill>
      </fill>
    </dxf>
    <dxf>
      <font>
        <color theme="0"/>
      </font>
      <fill>
        <patternFill patternType="solid">
          <fgColor rgb="FFC00000"/>
          <bgColor rgb="FFC00000"/>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theme="5"/>
      </font>
      <fill>
        <patternFill patternType="solid">
          <fgColor theme="7" tint="0.79998168889431442"/>
          <bgColor theme="7" tint="0.79998168889431442"/>
        </patternFill>
      </fill>
    </dxf>
    <dxf>
      <font>
        <color rgb="FFC00000"/>
      </font>
      <fill>
        <patternFill patternType="solid">
          <fgColor rgb="FFFF9999"/>
          <bgColor rgb="FFFF9999"/>
        </patternFill>
      </fill>
    </dxf>
    <dxf>
      <font>
        <color rgb="FF9C6500"/>
      </font>
      <fill>
        <patternFill patternType="solid">
          <fgColor rgb="FFFFEB9C"/>
          <bgColor rgb="FFFFEB9C"/>
        </patternFill>
      </fill>
    </dxf>
    <dxf>
      <font>
        <color theme="0"/>
      </font>
      <fill>
        <patternFill patternType="solid">
          <fgColor rgb="FFC00000"/>
          <bgColor rgb="FFC00000"/>
        </patternFill>
      </fill>
    </dxf>
    <dxf>
      <font>
        <color rgb="FFC00000"/>
      </font>
      <fill>
        <patternFill patternType="solid">
          <fgColor rgb="FFFF9999"/>
          <bgColor rgb="FFFF9999"/>
        </patternFill>
      </fill>
    </dxf>
    <dxf>
      <font>
        <color rgb="FF9C6500"/>
      </font>
      <fill>
        <patternFill patternType="solid">
          <fgColor rgb="FFFFEB9C"/>
          <bgColor rgb="FFFFEB9C"/>
        </patternFill>
      </fill>
    </dxf>
    <dxf>
      <font>
        <color theme="0"/>
      </font>
      <fill>
        <patternFill patternType="solid">
          <fgColor theme="9" tint="-0.499984740745262"/>
          <bgColor theme="9" tint="-0.499984740745262"/>
        </patternFill>
      </fill>
    </dxf>
    <dxf>
      <font>
        <color theme="0"/>
      </font>
      <fill>
        <patternFill patternType="solid">
          <fgColor theme="9" tint="-0.499984740745262"/>
          <bgColor theme="9" tint="-0.499984740745262"/>
        </patternFill>
      </fill>
    </dxf>
    <dxf>
      <font>
        <color rgb="FFC00000"/>
      </font>
      <fill>
        <patternFill patternType="solid">
          <fgColor rgb="FFFF9999"/>
          <bgColor rgb="FFFF9999"/>
        </patternFill>
      </fill>
    </dxf>
    <dxf>
      <font>
        <color theme="5"/>
      </font>
      <fill>
        <patternFill patternType="solid">
          <fgColor theme="7" tint="0.79998168889431442"/>
          <bgColor theme="7" tint="0.79998168889431442"/>
        </patternFill>
      </fill>
    </dxf>
    <dxf>
      <font>
        <color rgb="FF9C6500"/>
      </font>
      <fill>
        <patternFill patternType="solid">
          <fgColor rgb="FFFFEB9C"/>
          <bgColor rgb="FFFFEB9C"/>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theme="9" tint="-0.499984740745262"/>
          <bgColor theme="9" tint="-0.499984740745262"/>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rgb="FFC00000"/>
      </font>
      <fill>
        <patternFill patternType="solid">
          <fgColor rgb="FFFF9999"/>
          <bgColor rgb="FFFF9999"/>
        </patternFill>
      </fill>
    </dxf>
    <dxf>
      <font>
        <color theme="5"/>
      </font>
      <fill>
        <patternFill patternType="solid">
          <fgColor theme="7" tint="0.79998168889431442"/>
          <bgColor theme="7" tint="0.79998168889431442"/>
        </patternFill>
      </fill>
    </dxf>
    <dxf>
      <font>
        <color theme="0"/>
      </font>
      <fill>
        <patternFill patternType="solid">
          <fgColor theme="9" tint="-0.499984740745262"/>
          <bgColor theme="9" tint="-0.499984740745262"/>
        </patternFill>
      </fill>
    </dxf>
    <dxf>
      <font>
        <color rgb="FF9C6500"/>
      </font>
      <fill>
        <patternFill patternType="solid">
          <fgColor rgb="FFFFEB9C"/>
          <bgColor rgb="FFFFEB9C"/>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theme="9" tint="-0.499984740745262"/>
          <bgColor theme="9" tint="-0.499984740745262"/>
        </patternFill>
      </fill>
    </dxf>
    <dxf>
      <font>
        <color rgb="FFC00000"/>
      </font>
      <fill>
        <patternFill patternType="solid">
          <fgColor rgb="FFFF9999"/>
          <bgColor rgb="FFFF9999"/>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theme="5"/>
      </font>
      <fill>
        <patternFill patternType="solid">
          <fgColor theme="7" tint="0.79998168889431442"/>
          <bgColor theme="7" tint="0.79998168889431442"/>
        </patternFill>
      </fill>
    </dxf>
    <dxf>
      <font>
        <color rgb="FF006100"/>
      </font>
      <fill>
        <patternFill patternType="solid">
          <fgColor rgb="FFC6EFCE"/>
          <bgColor rgb="FFC6EFCE"/>
        </patternFill>
      </fill>
    </dxf>
    <dxf>
      <font>
        <color rgb="FFC00000"/>
      </font>
      <fill>
        <patternFill patternType="solid">
          <fgColor rgb="FFFF9999"/>
          <bgColor rgb="FFFF9999"/>
        </patternFill>
      </fill>
    </dxf>
    <dxf>
      <font>
        <color theme="5"/>
      </font>
      <fill>
        <patternFill patternType="solid">
          <fgColor theme="7" tint="0.79998168889431442"/>
          <bgColor theme="7" tint="0.79998168889431442"/>
        </patternFill>
      </fill>
    </dxf>
    <dxf>
      <font>
        <color rgb="FF9C6500"/>
      </font>
      <fill>
        <patternFill patternType="solid">
          <fgColor rgb="FFFFEB9C"/>
          <bgColor rgb="FFFFEB9C"/>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theme="9" tint="-0.499984740745262"/>
          <bgColor theme="9" tint="-0.499984740745262"/>
        </patternFill>
      </fill>
    </dxf>
    <dxf>
      <font>
        <color rgb="FFC00000"/>
      </font>
      <fill>
        <patternFill patternType="solid">
          <fgColor rgb="FFFF9999"/>
          <bgColor rgb="FFFF9999"/>
        </patternFill>
      </fill>
    </dxf>
    <dxf>
      <font>
        <color theme="5"/>
      </font>
      <fill>
        <patternFill patternType="solid">
          <fgColor theme="7" tint="0.79998168889431442"/>
          <bgColor theme="7" tint="0.79998168889431442"/>
        </patternFill>
      </fill>
    </dxf>
    <dxf>
      <font>
        <color rgb="FF9C6500"/>
      </font>
      <fill>
        <patternFill patternType="solid">
          <fgColor rgb="FFFFEB9C"/>
          <bgColor rgb="FFFFEB9C"/>
        </patternFill>
      </fill>
    </dxf>
    <dxf>
      <font>
        <color theme="0"/>
      </font>
      <fill>
        <patternFill patternType="solid">
          <fgColor rgb="FFC00000"/>
          <bgColor rgb="FFC00000"/>
        </patternFill>
      </fill>
    </dxf>
    <dxf>
      <font>
        <color rgb="FF9C6500"/>
      </font>
      <fill>
        <patternFill patternType="solid">
          <fgColor rgb="FFFFEB9C"/>
          <bgColor rgb="FFFFEB9C"/>
        </patternFill>
      </fill>
    </dxf>
    <dxf>
      <font>
        <color theme="0"/>
      </font>
      <fill>
        <patternFill patternType="solid">
          <fgColor theme="9" tint="-0.499984740745262"/>
          <bgColor theme="9" tint="-0.499984740745262"/>
        </patternFill>
      </fill>
    </dxf>
    <dxf>
      <font>
        <color rgb="FFC00000"/>
      </font>
      <fill>
        <patternFill patternType="solid">
          <fgColor rgb="FFFF9999"/>
          <bgColor rgb="FFFF9999"/>
        </patternFill>
      </fill>
    </dxf>
    <dxf>
      <font>
        <color theme="0"/>
      </font>
      <fill>
        <patternFill patternType="solid">
          <fgColor theme="9" tint="-0.499984740745262"/>
          <bgColor theme="9" tint="-0.499984740745262"/>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theme="5"/>
      </font>
      <fill>
        <patternFill patternType="solid">
          <fgColor theme="7" tint="0.79998168889431442"/>
          <bgColor theme="7" tint="0.79998168889431442"/>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theme="0"/>
      </font>
      <fill>
        <patternFill patternType="solid">
          <fgColor rgb="FFC00000"/>
          <bgColor rgb="FFC00000"/>
        </patternFill>
      </fill>
    </dxf>
    <dxf>
      <font>
        <color theme="5"/>
      </font>
      <fill>
        <patternFill patternType="solid">
          <fgColor theme="7" tint="0.79998168889431442"/>
          <bgColor theme="7" tint="0.79998168889431442"/>
        </patternFill>
      </fill>
    </dxf>
    <dxf>
      <font>
        <color rgb="FFC00000"/>
      </font>
      <fill>
        <patternFill patternType="solid">
          <fgColor rgb="FFFF9999"/>
          <bgColor rgb="FFFF9999"/>
        </patternFill>
      </fill>
    </dxf>
    <dxf>
      <font>
        <color theme="0"/>
      </font>
      <fill>
        <patternFill patternType="solid">
          <fgColor theme="9" tint="-0.499984740745262"/>
          <bgColor theme="9" tint="-0.499984740745262"/>
        </patternFill>
      </fill>
    </dxf>
    <dxf>
      <font>
        <color theme="0"/>
      </font>
      <fill>
        <patternFill patternType="solid">
          <fgColor rgb="FFC00000"/>
          <bgColor rgb="FFC00000"/>
        </patternFill>
      </fill>
    </dxf>
    <dxf>
      <font>
        <color rgb="FF9C6500"/>
      </font>
      <fill>
        <patternFill patternType="solid">
          <fgColor rgb="FFFFEB9C"/>
          <bgColor rgb="FFFFEB9C"/>
        </patternFill>
      </fill>
    </dxf>
    <dxf>
      <font>
        <color rgb="FFC00000"/>
      </font>
      <fill>
        <patternFill patternType="solid">
          <fgColor rgb="FFFF9999"/>
          <bgColor rgb="FFFF9999"/>
        </patternFill>
      </fill>
    </dxf>
    <dxf>
      <font>
        <color theme="0"/>
      </font>
      <fill>
        <patternFill patternType="solid">
          <fgColor theme="9" tint="-0.499984740745262"/>
          <bgColor theme="9" tint="-0.499984740745262"/>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5"/>
      </font>
      <fill>
        <patternFill patternType="solid">
          <fgColor theme="7" tint="0.79998168889431442"/>
          <bgColor theme="7" tint="0.79998168889431442"/>
        </patternFill>
      </fill>
    </dxf>
    <dxf>
      <font>
        <color rgb="FF9C6500"/>
      </font>
      <fill>
        <patternFill patternType="solid">
          <fgColor rgb="FFFFEB9C"/>
          <bgColor rgb="FFFFEB9C"/>
        </patternFill>
      </fill>
    </dxf>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s>
  <tableStyles count="0" defaultTableStyle="TableStyleMedium2" defaultPivotStyle="PivotStyleLight16"/>
  <colors>
    <mruColors>
      <color rgb="FFCCECFF"/>
      <color rgb="FFA1B0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trlProps/ctrlProp1.xml><?xml version="1.0" encoding="utf-8"?>
<formControlPr xmlns="http://schemas.microsoft.com/office/spreadsheetml/2009/9/main" objectType="Scroll" dx="22" fmlaLink="$H$4" horiz="1" max="100" min="1" page="0" val="54"/>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24</xdr:col>
          <xdr:colOff>133350</xdr:colOff>
          <xdr:row>2</xdr:row>
          <xdr:rowOff>114300</xdr:rowOff>
        </xdr:to>
        <xdr:sp macro="" textlink="">
          <xdr:nvSpPr>
            <xdr:cNvPr id="9217" name="Scroll Bar 1" hidden="1">
              <a:extLst>
                <a:ext uri="{63B3BB69-23CF-44E3-9099-C40C66FF867C}">
                  <a14:compatExt spid="_x0000_s9217"/>
                </a:ext>
                <a:ext uri="{FF2B5EF4-FFF2-40B4-BE49-F238E27FC236}">
                  <a16:creationId xmlns:a16="http://schemas.microsoft.com/office/drawing/2014/main" id="{00000000-0008-0000-0100-00000124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www.vertex42.com/ExcelTemplates/excel-gantt-chart.html" TargetMode="External"/><Relationship Id="rId6" Type="http://schemas.openxmlformats.org/officeDocument/2006/relationships/comments" Target="../comments1.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61"/>
  <sheetViews>
    <sheetView zoomScale="110" zoomScaleNormal="110" workbookViewId="0">
      <selection activeCell="J11" sqref="J11"/>
    </sheetView>
  </sheetViews>
  <sheetFormatPr defaultRowHeight="15" x14ac:dyDescent="0.25"/>
  <cols>
    <col min="1" max="1" width="10" customWidth="1"/>
    <col min="2" max="2" width="35.7109375" customWidth="1"/>
    <col min="3" max="3" width="8.140625" customWidth="1"/>
    <col min="4" max="5" width="18.5703125" bestFit="1" customWidth="1"/>
    <col min="6" max="6" width="16.7109375" bestFit="1" customWidth="1"/>
    <col min="7" max="7" width="12.28515625" customWidth="1"/>
    <col min="8" max="8" width="16.140625" bestFit="1" customWidth="1"/>
    <col min="9" max="9" width="14.28515625" bestFit="1" customWidth="1"/>
    <col min="10" max="10" width="15.28515625" bestFit="1" customWidth="1"/>
    <col min="11" max="11" width="25.140625" customWidth="1"/>
    <col min="12" max="12" width="15.28515625" bestFit="1" customWidth="1"/>
    <col min="14" max="14" width="21.7109375" bestFit="1" customWidth="1"/>
  </cols>
  <sheetData>
    <row r="1" spans="2:12" ht="26.45" customHeight="1" x14ac:dyDescent="0.35">
      <c r="B1" s="5"/>
      <c r="C1" s="6"/>
      <c r="D1" s="36"/>
      <c r="E1" s="36"/>
      <c r="F1" s="36"/>
      <c r="G1" s="64"/>
      <c r="H1" s="36"/>
      <c r="I1" s="64"/>
      <c r="J1" s="7"/>
      <c r="K1" s="8"/>
    </row>
    <row r="2" spans="2:12" s="11" customFormat="1" ht="25.5" x14ac:dyDescent="0.25">
      <c r="B2" s="121" t="s">
        <v>246</v>
      </c>
      <c r="C2" s="38"/>
      <c r="D2" s="58" t="s">
        <v>219</v>
      </c>
      <c r="E2" s="58">
        <v>2024</v>
      </c>
      <c r="F2" s="58" t="s">
        <v>218</v>
      </c>
      <c r="G2" s="65"/>
      <c r="H2" s="59" t="s">
        <v>228</v>
      </c>
      <c r="I2" s="111"/>
      <c r="J2" s="59" t="s">
        <v>275</v>
      </c>
      <c r="K2" s="40"/>
    </row>
    <row r="3" spans="2:12" s="11" customFormat="1" ht="14.25" customHeight="1" x14ac:dyDescent="0.25">
      <c r="B3" s="37"/>
      <c r="C3" s="38"/>
      <c r="D3" s="41"/>
      <c r="E3" s="41"/>
      <c r="F3" s="41"/>
      <c r="G3" s="39"/>
      <c r="H3" s="39"/>
      <c r="I3" s="39"/>
      <c r="K3" s="40"/>
    </row>
    <row r="4" spans="2:12" s="11" customFormat="1" ht="15.75" x14ac:dyDescent="0.25">
      <c r="B4" s="42" t="s">
        <v>1</v>
      </c>
      <c r="C4" s="43"/>
      <c r="D4" s="44" t="e">
        <f>SUM(D5,D6:D7)</f>
        <v>#REF!</v>
      </c>
      <c r="E4" s="44" t="e">
        <f>SUM(E5,E6:E7)</f>
        <v>#REF!</v>
      </c>
      <c r="F4" s="44">
        <f>SUM(F5,F6:F7)</f>
        <v>1190108</v>
      </c>
      <c r="G4" s="45"/>
      <c r="H4" s="44" t="e">
        <f>SUM(H5,H6:H7)</f>
        <v>#REF!</v>
      </c>
      <c r="I4" s="45"/>
      <c r="J4" s="318">
        <f>SUM(J5:J7)</f>
        <v>1500204.5</v>
      </c>
      <c r="K4" s="46"/>
    </row>
    <row r="5" spans="2:12" s="11" customFormat="1" ht="15.75" x14ac:dyDescent="0.25">
      <c r="B5" s="57" t="s">
        <v>226</v>
      </c>
      <c r="C5" s="43"/>
      <c r="D5" s="61" t="e">
        <f>SUMIF(Gantt!$H$4:$H$34,"Sviluppo software",Gantt!#REF!)</f>
        <v>#REF!</v>
      </c>
      <c r="E5" s="61" t="e">
        <f>SUMIF(Gantt!$H$4:$H$34,"Sviluppo software",Gantt!#REF!)</f>
        <v>#REF!</v>
      </c>
      <c r="F5" s="61">
        <f>SUMIF(Gantt!$H$4:$H$34,"Sviluppo software",Gantt!G4:G34)</f>
        <v>535108</v>
      </c>
      <c r="G5" s="47"/>
      <c r="H5" s="62" t="e">
        <f t="shared" ref="H5:H13" si="0">SUM(D5:F5)</f>
        <v>#REF!</v>
      </c>
      <c r="I5" s="47"/>
      <c r="J5" s="62">
        <v>360008</v>
      </c>
      <c r="K5" s="156" t="e">
        <f>J5-H5</f>
        <v>#REF!</v>
      </c>
    </row>
    <row r="6" spans="2:12" s="11" customFormat="1" ht="15.75" x14ac:dyDescent="0.25">
      <c r="B6" s="57" t="s">
        <v>2</v>
      </c>
      <c r="C6" s="43"/>
      <c r="D6" s="61" t="e">
        <f>SUMIF(Gantt!$H$4:$H$34,"MEV",Gantt!#REF!)</f>
        <v>#REF!</v>
      </c>
      <c r="E6" s="61" t="e">
        <f>SUMIF(Gantt!$H$4:$H$34,"MEV",Gantt!#REF!)</f>
        <v>#REF!</v>
      </c>
      <c r="F6" s="61">
        <f>SUMIF(Gantt!$H$4:$H$34,"MEV",Gantt!G4:G34)</f>
        <v>380000</v>
      </c>
      <c r="G6" s="47"/>
      <c r="H6" s="62" t="e">
        <f t="shared" si="0"/>
        <v>#REF!</v>
      </c>
      <c r="I6" s="47"/>
      <c r="J6" s="62">
        <v>489486</v>
      </c>
      <c r="K6" s="156" t="e">
        <f t="shared" ref="K6:K9" si="1">J6-H6</f>
        <v>#REF!</v>
      </c>
    </row>
    <row r="7" spans="2:12" s="11" customFormat="1" ht="15.75" x14ac:dyDescent="0.25">
      <c r="B7" s="57" t="s">
        <v>224</v>
      </c>
      <c r="C7" s="43"/>
      <c r="D7" s="61" t="e">
        <f>SUMIF(Gantt!$H$4:$H$34,"Conduzione Applicativa(Consumo)",Gantt!#REF!)</f>
        <v>#REF!</v>
      </c>
      <c r="E7" s="61" t="e">
        <f>SUMIF(Gantt!$H$4:$H$34,"Conduzione Applicativa(Consumo)",Gantt!#REF!)</f>
        <v>#REF!</v>
      </c>
      <c r="F7" s="61">
        <f>SUMIF(Gantt!$H$4:$H$34,"Conduzione Applicativa(Consumo)",Gantt!G4:G34)</f>
        <v>275000</v>
      </c>
      <c r="G7" s="45"/>
      <c r="H7" s="62" t="e">
        <f t="shared" si="0"/>
        <v>#REF!</v>
      </c>
      <c r="I7" s="45"/>
      <c r="J7" s="62">
        <f>887592-236881.5</f>
        <v>650710.5</v>
      </c>
      <c r="K7" s="156" t="e">
        <f t="shared" si="1"/>
        <v>#REF!</v>
      </c>
    </row>
    <row r="8" spans="2:12" s="11" customFormat="1" ht="15.75" x14ac:dyDescent="0.25">
      <c r="B8" s="42" t="s">
        <v>339</v>
      </c>
      <c r="C8" s="43"/>
      <c r="D8" s="44" t="e">
        <f>SUMIF(Gantt!$H$4:$H$34,"Supp. Spec. App. (Consumo)",Gantt!#REF!)</f>
        <v>#REF!</v>
      </c>
      <c r="E8" s="44" t="e">
        <f>SUMIF(Gantt!$H$4:$H$34,"Supp. Spec. App. (Consumo)",Gantt!#REF!)</f>
        <v>#REF!</v>
      </c>
      <c r="F8" s="44">
        <f>SUMIF(Gantt!$H$4:$H$34,"Supp. Spec. App. (Consumo)",Gantt!G4:G34)</f>
        <v>48176</v>
      </c>
      <c r="G8" s="49"/>
      <c r="H8" s="44" t="e">
        <f t="shared" si="0"/>
        <v>#REF!</v>
      </c>
      <c r="I8" s="49"/>
      <c r="J8" s="62">
        <v>91094</v>
      </c>
      <c r="K8" s="156" t="e">
        <f t="shared" si="1"/>
        <v>#REF!</v>
      </c>
      <c r="L8" s="162"/>
    </row>
    <row r="9" spans="2:12" s="11" customFormat="1" ht="15.75" x14ac:dyDescent="0.25">
      <c r="B9" s="42" t="s">
        <v>4</v>
      </c>
      <c r="C9" s="43"/>
      <c r="D9" s="44" t="e">
        <f>SUMIF(Gantt!$H$4:$H$34,"Servizi Desk(Canone)",Gantt!#REF!)</f>
        <v>#REF!</v>
      </c>
      <c r="E9" s="44" t="e">
        <f>SUMIF(Gantt!$H$4:$H$34,"Servizi Desk(Canone)",Gantt!#REF!)</f>
        <v>#REF!</v>
      </c>
      <c r="F9" s="44">
        <f>SUMIF(Gantt!$H$4:$H$34,"Servizi Desk(Canone)",Gantt!G4:G34)</f>
        <v>35000</v>
      </c>
      <c r="G9" s="45"/>
      <c r="H9" s="44" t="e">
        <f t="shared" si="0"/>
        <v>#REF!</v>
      </c>
      <c r="I9" s="45"/>
      <c r="J9" s="62">
        <v>84997.5</v>
      </c>
      <c r="K9" s="156" t="e">
        <f t="shared" si="1"/>
        <v>#REF!</v>
      </c>
    </row>
    <row r="10" spans="2:12" s="11" customFormat="1" ht="15.75" x14ac:dyDescent="0.25">
      <c r="B10" s="50"/>
      <c r="C10" s="43"/>
      <c r="D10" s="51"/>
      <c r="E10" s="52"/>
      <c r="F10" s="52"/>
      <c r="G10" s="53"/>
      <c r="H10" s="53"/>
      <c r="I10" s="53"/>
      <c r="K10" s="40"/>
    </row>
    <row r="11" spans="2:12" s="11" customFormat="1" ht="15.75" x14ac:dyDescent="0.25">
      <c r="B11" s="60" t="s">
        <v>247</v>
      </c>
      <c r="C11" s="38"/>
      <c r="D11" s="44" t="e">
        <f>D4+D8+D9</f>
        <v>#REF!</v>
      </c>
      <c r="E11" s="44" t="e">
        <f t="shared" ref="E11:F11" si="2">E4+E8+E9</f>
        <v>#REF!</v>
      </c>
      <c r="F11" s="44">
        <f t="shared" si="2"/>
        <v>1273284</v>
      </c>
      <c r="G11" s="53"/>
      <c r="H11" s="44" t="e">
        <f>SUM(D11:F11)</f>
        <v>#REF!</v>
      </c>
      <c r="I11" s="53"/>
      <c r="J11" s="318">
        <f>SUM(J5:J9)</f>
        <v>1676296</v>
      </c>
      <c r="K11" s="38"/>
    </row>
    <row r="12" spans="2:12" s="11" customFormat="1" ht="15.75" x14ac:dyDescent="0.25">
      <c r="B12" s="37"/>
      <c r="C12" s="38"/>
      <c r="D12" s="43"/>
      <c r="E12" s="43"/>
      <c r="F12" s="43"/>
      <c r="G12" s="43"/>
      <c r="H12" s="43"/>
      <c r="I12" s="43"/>
      <c r="J12" s="140" t="e">
        <f>H13-H11</f>
        <v>#REF!</v>
      </c>
      <c r="K12" s="46" t="s">
        <v>249</v>
      </c>
    </row>
    <row r="13" spans="2:12" s="11" customFormat="1" ht="15.75" x14ac:dyDescent="0.25">
      <c r="B13" s="54" t="s">
        <v>5</v>
      </c>
      <c r="C13" s="38"/>
      <c r="D13" s="48">
        <v>484872</v>
      </c>
      <c r="E13" s="48">
        <v>788379</v>
      </c>
      <c r="F13" s="48">
        <v>403045</v>
      </c>
      <c r="G13" s="55"/>
      <c r="H13" s="48">
        <f t="shared" si="0"/>
        <v>1676296</v>
      </c>
      <c r="I13" s="55"/>
      <c r="K13" s="40"/>
    </row>
    <row r="14" spans="2:12" ht="15" customHeight="1" x14ac:dyDescent="0.25">
      <c r="B14" s="5"/>
      <c r="C14" s="6"/>
      <c r="D14" s="2"/>
      <c r="E14" s="13"/>
      <c r="F14" s="2"/>
      <c r="G14" s="2"/>
      <c r="H14" s="2"/>
      <c r="I14" s="2"/>
      <c r="J14" s="56"/>
      <c r="K14" s="7"/>
    </row>
    <row r="15" spans="2:12" x14ac:dyDescent="0.25">
      <c r="D15" s="56"/>
      <c r="E15" s="56"/>
      <c r="F15" s="56"/>
      <c r="H15" s="56"/>
    </row>
    <row r="16" spans="2:12" x14ac:dyDescent="0.25">
      <c r="D16" s="56"/>
      <c r="E16" s="56"/>
    </row>
    <row r="17" spans="2:11" hidden="1" x14ac:dyDescent="0.25">
      <c r="B17" s="67" t="s">
        <v>227</v>
      </c>
      <c r="C17" s="66"/>
    </row>
    <row r="18" spans="2:11" ht="15.75" hidden="1" x14ac:dyDescent="0.25">
      <c r="B18" s="68" t="s">
        <v>221</v>
      </c>
      <c r="C18" s="66"/>
      <c r="D18" s="62">
        <v>180000</v>
      </c>
      <c r="E18" s="62">
        <v>150012</v>
      </c>
      <c r="F18" s="62">
        <v>29996</v>
      </c>
      <c r="H18" s="62">
        <f>SUM(D18:F18)</f>
        <v>360008</v>
      </c>
      <c r="J18" s="56" t="e">
        <f>H18-H5</f>
        <v>#REF!</v>
      </c>
    </row>
    <row r="19" spans="2:11" ht="15.75" hidden="1" x14ac:dyDescent="0.25">
      <c r="B19" s="68" t="s">
        <v>220</v>
      </c>
      <c r="C19" s="66"/>
      <c r="D19" s="62">
        <v>200000</v>
      </c>
      <c r="E19" s="62">
        <v>209997</v>
      </c>
      <c r="F19" s="62">
        <v>79489</v>
      </c>
      <c r="H19" s="62">
        <f t="shared" ref="H19:H24" si="3">SUM(D19:F19)</f>
        <v>489486</v>
      </c>
      <c r="J19" s="56" t="e">
        <f>H19-H6</f>
        <v>#REF!</v>
      </c>
    </row>
    <row r="20" spans="2:11" ht="15.75" hidden="1" x14ac:dyDescent="0.25">
      <c r="B20" s="68" t="s">
        <v>224</v>
      </c>
      <c r="C20" s="66"/>
      <c r="D20" s="62">
        <v>104872</v>
      </c>
      <c r="E20" s="62">
        <v>350452</v>
      </c>
      <c r="F20" s="62">
        <v>220268</v>
      </c>
      <c r="H20" s="62">
        <f t="shared" si="3"/>
        <v>675592</v>
      </c>
      <c r="J20" s="56" t="e">
        <f>H20-H7</f>
        <v>#REF!</v>
      </c>
    </row>
    <row r="21" spans="2:11" ht="15.75" hidden="1" x14ac:dyDescent="0.25">
      <c r="B21" s="68" t="s">
        <v>222</v>
      </c>
      <c r="C21" s="66"/>
      <c r="D21" s="62">
        <v>0</v>
      </c>
      <c r="E21" s="62">
        <v>42918</v>
      </c>
      <c r="F21" s="62">
        <v>38292</v>
      </c>
      <c r="H21" s="62">
        <f t="shared" si="3"/>
        <v>81210</v>
      </c>
      <c r="J21" s="56" t="e">
        <f>H21-H8</f>
        <v>#REF!</v>
      </c>
    </row>
    <row r="22" spans="2:11" ht="15.75" hidden="1" x14ac:dyDescent="0.25">
      <c r="B22" s="68" t="s">
        <v>223</v>
      </c>
      <c r="C22" s="66"/>
      <c r="D22" s="62">
        <v>0</v>
      </c>
      <c r="E22" s="62">
        <v>35000</v>
      </c>
      <c r="F22" s="62">
        <v>35000</v>
      </c>
      <c r="H22" s="62">
        <f t="shared" si="3"/>
        <v>70000</v>
      </c>
      <c r="J22" s="56" t="e">
        <f>H22-H9</f>
        <v>#REF!</v>
      </c>
    </row>
    <row r="23" spans="2:11" ht="9.75" hidden="1" customHeight="1" x14ac:dyDescent="0.25">
      <c r="D23" s="62"/>
      <c r="E23" s="62"/>
      <c r="F23" s="62"/>
      <c r="H23" s="62"/>
      <c r="J23" s="10"/>
    </row>
    <row r="24" spans="2:11" ht="23.25" hidden="1" x14ac:dyDescent="0.25">
      <c r="D24" s="62">
        <f>SUM(D18:D22)</f>
        <v>484872</v>
      </c>
      <c r="E24" s="62">
        <f>SUM(E18:E22)</f>
        <v>788379</v>
      </c>
      <c r="F24" s="62">
        <f>SUM(F18:F22)</f>
        <v>403045</v>
      </c>
      <c r="H24" s="62">
        <f t="shared" si="3"/>
        <v>1676296</v>
      </c>
      <c r="J24" s="10"/>
    </row>
    <row r="25" spans="2:11" s="1" customFormat="1" ht="23.25" x14ac:dyDescent="0.35">
      <c r="B25" s="3"/>
      <c r="C25" s="4"/>
      <c r="D25" s="2"/>
      <c r="E25" s="13"/>
      <c r="F25" s="2"/>
      <c r="G25" s="2"/>
      <c r="H25" s="2"/>
      <c r="J25" s="10"/>
    </row>
    <row r="26" spans="2:11" s="1" customFormat="1" ht="23.25" x14ac:dyDescent="0.35">
      <c r="B26" s="3"/>
      <c r="C26" s="4"/>
      <c r="D26" s="2"/>
      <c r="E26" s="120"/>
      <c r="F26" s="2"/>
      <c r="G26" s="2"/>
      <c r="H26" s="2"/>
      <c r="J26" s="10"/>
    </row>
    <row r="27" spans="2:11" s="11" customFormat="1" ht="25.5" customHeight="1" x14ac:dyDescent="0.25">
      <c r="B27" s="155"/>
      <c r="C27" s="38"/>
      <c r="D27" s="176" t="s">
        <v>219</v>
      </c>
      <c r="E27" s="176" t="s">
        <v>254</v>
      </c>
      <c r="F27" s="176" t="s">
        <v>255</v>
      </c>
      <c r="G27" s="176" t="s">
        <v>256</v>
      </c>
      <c r="H27" s="58" t="s">
        <v>257</v>
      </c>
      <c r="I27" s="58" t="s">
        <v>258</v>
      </c>
      <c r="J27" s="58" t="s">
        <v>259</v>
      </c>
      <c r="K27" s="40"/>
    </row>
    <row r="28" spans="2:11" s="11" customFormat="1" ht="14.25" customHeight="1" x14ac:dyDescent="0.25">
      <c r="B28" s="37"/>
      <c r="C28" s="38"/>
      <c r="D28" s="41"/>
      <c r="E28" s="41"/>
      <c r="F28" s="41"/>
      <c r="G28" s="41"/>
      <c r="H28" s="41"/>
      <c r="I28" s="41"/>
      <c r="J28" s="41"/>
      <c r="K28" s="40"/>
    </row>
    <row r="29" spans="2:11" s="11" customFormat="1" ht="15.75" x14ac:dyDescent="0.25">
      <c r="B29" s="42" t="s">
        <v>1</v>
      </c>
      <c r="C29" s="43"/>
      <c r="D29" s="44" t="e">
        <f>SUM(D30,D31:D32)</f>
        <v>#REF!</v>
      </c>
      <c r="E29" s="44" t="e">
        <f t="shared" ref="E29:J29" si="4">SUM(E30,E31:E32)</f>
        <v>#REF!</v>
      </c>
      <c r="F29" s="44" t="e">
        <f t="shared" si="4"/>
        <v>#REF!</v>
      </c>
      <c r="G29" s="44" t="e">
        <f t="shared" si="4"/>
        <v>#REF!</v>
      </c>
      <c r="H29" s="44" t="e">
        <f t="shared" si="4"/>
        <v>#REF!</v>
      </c>
      <c r="I29" s="44" t="e">
        <f t="shared" si="4"/>
        <v>#REF!</v>
      </c>
      <c r="J29" s="44" t="e">
        <f t="shared" si="4"/>
        <v>#REF!</v>
      </c>
      <c r="K29" s="46"/>
    </row>
    <row r="30" spans="2:11" s="11" customFormat="1" ht="15.75" x14ac:dyDescent="0.25">
      <c r="B30" s="57" t="s">
        <v>226</v>
      </c>
      <c r="C30" s="43"/>
      <c r="D30" s="61" t="e">
        <f>SUMIFS(Gantt!#REF!,Gantt!$H$4:$H$34,"Sviluppo software",Gantt!#REF!,"IV TRIMESTRE 2023")</f>
        <v>#REF!</v>
      </c>
      <c r="E30" s="61" t="e">
        <f>SUMIFS(Gantt!#REF!,Gantt!$H$4:$H$34,"Sviluppo software",Gantt!#REF!,"I TRIMESTRE 2024")</f>
        <v>#REF!</v>
      </c>
      <c r="F30" s="61" t="e">
        <f>SUMIFS(Gantt!#REF!,Gantt!$H$4:$H$34,"Sviluppo software",Gantt!#REF!,"II TRIMESTRE 2024")</f>
        <v>#REF!</v>
      </c>
      <c r="G30" s="61" t="e">
        <f>SUMIFS(Gantt!#REF!,Gantt!$H$4:$H$34,"Sviluppo software",Gantt!#REF!,"III TRIMESTRE 2024")</f>
        <v>#REF!</v>
      </c>
      <c r="H30" s="61" t="e">
        <f>SUMIFS(Gantt!#REF!,Gantt!$H$4:$H$34,"Sviluppo software",Gantt!#REF!,"IV TRIMESTRE 2024")</f>
        <v>#REF!</v>
      </c>
      <c r="I30" s="61" t="e">
        <f>SUMIFS(Gantt!$G$4:$G$34,Gantt!$H$4:$H$34,"Sviluppo software",Gantt!#REF!,"I TRIMESTRE 2025")</f>
        <v>#REF!</v>
      </c>
      <c r="J30" s="61" t="e">
        <f>SUMIFS(Gantt!$G$4:$G$34,Gantt!$H$4:$H$34,"Sviluppo software",Gantt!#REF!,"II TRIMESTRE 2025")</f>
        <v>#REF!</v>
      </c>
      <c r="K30" s="40"/>
    </row>
    <row r="31" spans="2:11" s="11" customFormat="1" ht="15.75" x14ac:dyDescent="0.25">
      <c r="B31" s="57" t="s">
        <v>2</v>
      </c>
      <c r="C31" s="43"/>
      <c r="D31" s="61" t="e">
        <f>SUMIFS(Gantt!#REF!,Gantt!$H$4:$H$34,"MEV",Gantt!#REF!,"IV TRIMESTRE 2023")</f>
        <v>#REF!</v>
      </c>
      <c r="E31" s="61" t="e">
        <f>SUMIFS(Gantt!#REF!,Gantt!$H$4:$H$34,"MEV",Gantt!#REF!,"I TRIMESTRE 2024")</f>
        <v>#REF!</v>
      </c>
      <c r="F31" s="61" t="e">
        <f>SUMIFS(Gantt!#REF!,Gantt!$H$4:$H$34,"MEV",Gantt!#REF!,"II TRIMESTRE 2024")</f>
        <v>#REF!</v>
      </c>
      <c r="G31" s="61" t="e">
        <f>SUMIFS(Gantt!#REF!,Gantt!$H$4:$H$34,"MEV",Gantt!#REF!,"III TRIMESTRE 2024")</f>
        <v>#REF!</v>
      </c>
      <c r="H31" s="61" t="e">
        <f>SUMIFS(Gantt!#REF!,Gantt!$H$4:$H$34,"MEV",Gantt!#REF!,"IV TRIMESTRE 2024")</f>
        <v>#REF!</v>
      </c>
      <c r="I31" s="61" t="e">
        <f>SUMIFS(Gantt!$G$4:$G$34,Gantt!$H$4:$H$34,"MEV",Gantt!#REF!,"I TRIMESTRE 2025")</f>
        <v>#REF!</v>
      </c>
      <c r="J31" s="61" t="e">
        <f>SUMIFS(Gantt!$G$4:$G$34,Gantt!$H$4:$H$34,"MEV",Gantt!#REF!,"II TRIMESTRE 2025")</f>
        <v>#REF!</v>
      </c>
      <c r="K31" s="40"/>
    </row>
    <row r="32" spans="2:11" s="11" customFormat="1" ht="15.75" x14ac:dyDescent="0.25">
      <c r="B32" s="57" t="s">
        <v>224</v>
      </c>
      <c r="C32" s="43"/>
      <c r="D32" s="61" t="e">
        <f>SUMIFS(Gantt!#REF!,Gantt!$H$4:$H$34,"Conduzione applicativa(consumo)",Gantt!#REF!,"2023")</f>
        <v>#REF!</v>
      </c>
      <c r="E32" s="61" t="e">
        <f>SUMIFS(Gantt!#REF!,Gantt!$H$4:$H$34,"Conduzione applicativa(consumo)",Gantt!#REF!,"I TRIMESTRE 2024")</f>
        <v>#REF!</v>
      </c>
      <c r="F32" s="61" t="e">
        <f>SUMIFS(Gantt!#REF!,Gantt!$H$4:$H$34,"Conduzione applicativa(consumo)",Gantt!#REF!,"II TRIMESTRE 2024")</f>
        <v>#REF!</v>
      </c>
      <c r="G32" s="61" t="e">
        <f>SUMIFS(Gantt!#REF!,Gantt!$H$4:$H$34,"Conduzione applicativa(consumo)",Gantt!#REF!,"III TRIMESTRE 2024")</f>
        <v>#REF!</v>
      </c>
      <c r="H32" s="61" t="e">
        <f>SUMIFS(Gantt!#REF!,Gantt!$H$4:$H$34,"Conduzione applicativa(consumo)",Gantt!#REF!,"IV TRIMESTRE 2024")</f>
        <v>#REF!</v>
      </c>
      <c r="I32" s="61" t="e">
        <f>SUMIFS(Gantt!$G$4:$G$34,Gantt!$H$4:$H$34,"Conduzione applicativa(consumo)",Gantt!#REF!,"I TRIMESTRE 2025")</f>
        <v>#REF!</v>
      </c>
      <c r="J32" s="61" t="e">
        <f>SUMIFS(Gantt!$G$4:$G$34,Gantt!$H$4:$H$34,"Conduzione applicativa(consumo)",Gantt!#REF!,"II TRIMESTRE 2025")</f>
        <v>#REF!</v>
      </c>
      <c r="K32" s="40"/>
    </row>
    <row r="33" spans="2:13" s="11" customFormat="1" ht="15.75" x14ac:dyDescent="0.25">
      <c r="B33" s="42" t="s">
        <v>3</v>
      </c>
      <c r="C33" s="43"/>
      <c r="D33" s="44" t="e">
        <f>SUMIFS(Gantt!#REF!,Gantt!$H$4:$H$34,"Supp. Spec. App. (Consumo)",Gantt!#REF!,"2023")</f>
        <v>#REF!</v>
      </c>
      <c r="E33" s="44" t="e">
        <f>SUMIFS(Gantt!#REF!,Gantt!$H$4:$H$34,"Supp. Spec. App. (Consumo)",Gantt!#REF!,"I TRIMESTRE 2024")</f>
        <v>#REF!</v>
      </c>
      <c r="F33" s="44" t="e">
        <f>SUMIFS(Gantt!#REF!,Gantt!$H$4:$H$34,"Supp. Spec. App. (Consumo)",Gantt!#REF!,"II TRIMESTRE 2024")</f>
        <v>#REF!</v>
      </c>
      <c r="G33" s="44" t="e">
        <f>SUMIFS(Gantt!#REF!,Gantt!$H$4:$H$34,"Supp. Spec. App. (Consumo)",Gantt!#REF!,"III TRIMESTRE 2024")</f>
        <v>#REF!</v>
      </c>
      <c r="H33" s="44" t="e">
        <f>SUMIFS(Gantt!#REF!,Gantt!$H$4:$H$34,"Supp. Spec. App. (Consumo)",Gantt!#REF!,"IV TRIMESTRE 2024")</f>
        <v>#REF!</v>
      </c>
      <c r="I33" s="44" t="e">
        <f>SUMIFS(Gantt!$G$4:$G$34,Gantt!$H$4:$H$34,"Supp. Spec. App. (Consumo)",Gantt!#REF!,"I TRIMESTRE 2025")</f>
        <v>#REF!</v>
      </c>
      <c r="J33" s="44" t="e">
        <f>SUMIFS(Gantt!$G$4:$G$34,Gantt!$H$4:$H$34,"Supp. Spec. App. (Consumo)",Gantt!#REF!,"II TRIMESTRE 2025")</f>
        <v>#REF!</v>
      </c>
      <c r="K33" s="40"/>
    </row>
    <row r="34" spans="2:13" s="11" customFormat="1" ht="15.75" x14ac:dyDescent="0.25">
      <c r="B34" s="42" t="s">
        <v>4</v>
      </c>
      <c r="C34" s="43"/>
      <c r="D34" s="44" t="e">
        <f>SUMIFS(Gantt!#REF!,Gantt!$H$4:$H$34,"Servizi Desk(Canone)",Gantt!#REF!,"IV TRIMESTRE 2023")</f>
        <v>#REF!</v>
      </c>
      <c r="E34" s="44" t="e">
        <f>SUMIFS(Gantt!#REF!,Gantt!$H$4:$H$34,"Servizi Desk(Canone)",Gantt!#REF!,"I TRIMESTRE 2024")</f>
        <v>#REF!</v>
      </c>
      <c r="F34" s="44" t="e">
        <f>SUMIFS(Gantt!#REF!,Gantt!$H$4:$H$34,"Servizi Desk(Canone)",Gantt!#REF!,"II TRIMESTRE 2024")</f>
        <v>#REF!</v>
      </c>
      <c r="G34" s="44" t="e">
        <f>SUMIFS(Gantt!#REF!,Gantt!$H$4:$H$34,"Servizi Desk(Canone)",Gantt!#REF!,"III TRIMESTRE 2024")</f>
        <v>#REF!</v>
      </c>
      <c r="H34" s="44" t="e">
        <f>SUMIFS(Gantt!#REF!,Gantt!$H$4:$H$34,"Servizi Desk(Canone)",Gantt!#REF!,"IV TRIMESTRE 2024")</f>
        <v>#REF!</v>
      </c>
      <c r="I34" s="44" t="e">
        <f>SUMIFS(Gantt!$G$4:$G$34,Gantt!$H$4:$H$34,"Servizi Desk(Canone)",Gantt!#REF!,"I TRIMESTRE 2025")</f>
        <v>#REF!</v>
      </c>
      <c r="J34" s="44" t="e">
        <f>SUMIFS(Gantt!$G$4:$G$34,Gantt!$H$4:$H$34,"Servizi Desk(Canone)",Gantt!#REF!,"II TRIMESTRE 2025")</f>
        <v>#REF!</v>
      </c>
      <c r="K34" s="40"/>
    </row>
    <row r="35" spans="2:13" s="11" customFormat="1" ht="15.75" x14ac:dyDescent="0.25">
      <c r="B35" s="50"/>
      <c r="C35" s="43"/>
      <c r="D35" s="51"/>
      <c r="E35" s="52"/>
      <c r="F35" s="52"/>
      <c r="G35" s="52"/>
      <c r="H35" s="52"/>
      <c r="I35" s="52"/>
      <c r="J35" s="52"/>
      <c r="K35" s="40"/>
    </row>
    <row r="36" spans="2:13" s="11" customFormat="1" ht="15.75" x14ac:dyDescent="0.25">
      <c r="B36" s="60" t="s">
        <v>245</v>
      </c>
      <c r="C36" s="38"/>
      <c r="D36" s="44" t="e">
        <f>D29+D33+D34</f>
        <v>#REF!</v>
      </c>
      <c r="E36" s="44" t="e">
        <f>E29+E33+E34</f>
        <v>#REF!</v>
      </c>
      <c r="F36" s="44" t="e">
        <f>F29+F33+F34</f>
        <v>#REF!</v>
      </c>
      <c r="G36" s="44" t="e">
        <f t="shared" ref="G36:J36" si="5">G29+G33+G34</f>
        <v>#REF!</v>
      </c>
      <c r="H36" s="44" t="e">
        <f t="shared" si="5"/>
        <v>#REF!</v>
      </c>
      <c r="I36" s="44" t="e">
        <f t="shared" si="5"/>
        <v>#REF!</v>
      </c>
      <c r="J36" s="44" t="e">
        <f t="shared" si="5"/>
        <v>#REF!</v>
      </c>
      <c r="K36" s="177" t="s">
        <v>0</v>
      </c>
      <c r="L36" s="171" t="e">
        <f>SUM(D36:J36)</f>
        <v>#REF!</v>
      </c>
    </row>
    <row r="37" spans="2:13" s="11" customFormat="1" ht="15.75" x14ac:dyDescent="0.25">
      <c r="B37" s="37"/>
      <c r="C37" s="38"/>
      <c r="D37" s="43"/>
      <c r="E37" s="43"/>
      <c r="F37" s="43"/>
      <c r="G37" s="43"/>
      <c r="H37" s="43"/>
      <c r="I37" s="43"/>
      <c r="J37" s="87"/>
      <c r="K37" s="40"/>
    </row>
    <row r="38" spans="2:13" ht="26.25" x14ac:dyDescent="0.35">
      <c r="B38" s="5"/>
      <c r="C38" s="6"/>
      <c r="D38" s="173"/>
      <c r="E38" s="173"/>
      <c r="F38" s="173"/>
      <c r="G38" s="43"/>
      <c r="H38" s="2"/>
      <c r="I38" s="7"/>
      <c r="J38" s="10"/>
      <c r="K38" s="11"/>
      <c r="L38" s="1"/>
    </row>
    <row r="39" spans="2:13" ht="26.25" x14ac:dyDescent="0.35">
      <c r="C39" s="6"/>
      <c r="D39" s="319" t="e">
        <f>D29</f>
        <v>#REF!</v>
      </c>
      <c r="E39" s="319" t="e">
        <f>E29</f>
        <v>#REF!</v>
      </c>
      <c r="F39" s="173"/>
      <c r="G39" s="173"/>
      <c r="H39" s="173"/>
      <c r="I39" s="173"/>
      <c r="J39" s="173"/>
      <c r="K39" s="10"/>
      <c r="L39" s="9"/>
      <c r="M39" s="1"/>
    </row>
    <row r="40" spans="2:13" ht="23.25" x14ac:dyDescent="0.35">
      <c r="B40" s="319" t="e">
        <f>SUM(D40:E40)</f>
        <v>#REF!</v>
      </c>
      <c r="C40" s="320" t="s">
        <v>360</v>
      </c>
      <c r="D40" s="319" t="e">
        <f>D39</f>
        <v>#REF!</v>
      </c>
      <c r="E40" s="319" t="e">
        <f>E32</f>
        <v>#REF!</v>
      </c>
      <c r="F40" s="319"/>
      <c r="G40" s="319"/>
      <c r="H40" s="319"/>
      <c r="J40" s="319"/>
      <c r="K40" s="10"/>
      <c r="L40" s="9"/>
      <c r="M40" s="1"/>
    </row>
    <row r="41" spans="2:13" ht="23.25" x14ac:dyDescent="0.35">
      <c r="B41" s="5"/>
      <c r="C41" s="320" t="s">
        <v>18</v>
      </c>
      <c r="D41" s="319"/>
      <c r="E41" s="319" t="e">
        <f>E30</f>
        <v>#REF!</v>
      </c>
      <c r="F41" s="319" t="e">
        <f>F29</f>
        <v>#REF!</v>
      </c>
      <c r="G41" s="319" t="e">
        <f t="shared" ref="G41:J41" si="6">G29</f>
        <v>#REF!</v>
      </c>
      <c r="H41" s="319" t="e">
        <f t="shared" si="6"/>
        <v>#REF!</v>
      </c>
      <c r="I41" s="319" t="e">
        <f t="shared" si="6"/>
        <v>#REF!</v>
      </c>
      <c r="J41" s="319" t="e">
        <f t="shared" si="6"/>
        <v>#REF!</v>
      </c>
      <c r="K41" s="10"/>
      <c r="L41" s="9"/>
      <c r="M41" s="1"/>
    </row>
    <row r="42" spans="2:13" ht="26.25" x14ac:dyDescent="0.35">
      <c r="B42" s="5"/>
      <c r="C42" s="6"/>
      <c r="D42" s="2"/>
      <c r="E42" s="2"/>
      <c r="F42" s="2"/>
      <c r="G42" s="2"/>
      <c r="H42" s="2"/>
      <c r="I42" s="14"/>
      <c r="J42" s="10"/>
      <c r="K42" s="10"/>
      <c r="L42" s="9"/>
      <c r="M42" s="1"/>
    </row>
    <row r="43" spans="2:13" ht="26.25" x14ac:dyDescent="0.35">
      <c r="B43" s="5"/>
      <c r="C43" s="6"/>
      <c r="D43" s="2"/>
      <c r="E43" s="2"/>
      <c r="F43" s="2"/>
      <c r="G43" s="2"/>
      <c r="H43" s="2"/>
      <c r="I43" s="14"/>
      <c r="J43" s="10"/>
      <c r="K43" s="10"/>
      <c r="L43" s="9"/>
      <c r="M43" s="1"/>
    </row>
    <row r="44" spans="2:13" ht="26.25" x14ac:dyDescent="0.35">
      <c r="B44" s="5"/>
      <c r="C44" s="6"/>
      <c r="D44" s="2"/>
      <c r="E44" s="2"/>
      <c r="F44" s="2"/>
      <c r="G44" s="2"/>
      <c r="H44" s="2"/>
      <c r="I44" s="14"/>
      <c r="J44" s="10"/>
      <c r="K44" s="10"/>
      <c r="L44" s="9"/>
      <c r="M44" s="1"/>
    </row>
    <row r="45" spans="2:13" ht="26.25" x14ac:dyDescent="0.35">
      <c r="B45" s="5"/>
      <c r="C45" s="6"/>
      <c r="D45" s="2"/>
      <c r="E45" s="2"/>
      <c r="F45" s="2"/>
      <c r="G45" s="2"/>
      <c r="H45" s="2"/>
      <c r="I45" s="14"/>
      <c r="J45" s="10"/>
      <c r="K45" s="10"/>
      <c r="L45" s="9"/>
      <c r="M45" s="1"/>
    </row>
    <row r="46" spans="2:13" ht="26.25" x14ac:dyDescent="0.35">
      <c r="B46" s="5"/>
      <c r="C46" s="6"/>
      <c r="D46" s="2"/>
      <c r="E46" s="2"/>
      <c r="F46" s="2"/>
      <c r="G46" s="2"/>
      <c r="H46" s="2"/>
      <c r="I46" s="14"/>
      <c r="J46" s="10"/>
      <c r="K46" s="10"/>
      <c r="L46" s="9"/>
      <c r="M46" s="1"/>
    </row>
    <row r="47" spans="2:13" ht="26.25" x14ac:dyDescent="0.35">
      <c r="B47" s="5"/>
      <c r="C47" s="6"/>
      <c r="D47" s="2"/>
      <c r="E47" s="2"/>
      <c r="F47" s="2"/>
      <c r="G47" s="2"/>
      <c r="H47" s="2"/>
      <c r="I47" s="14"/>
      <c r="J47" s="10"/>
      <c r="K47" s="10"/>
      <c r="L47" s="9"/>
      <c r="M47" s="1"/>
    </row>
    <row r="48" spans="2:13" ht="26.25" x14ac:dyDescent="0.35">
      <c r="B48" s="5"/>
      <c r="C48" s="6"/>
      <c r="D48" s="2"/>
      <c r="E48" s="2"/>
      <c r="F48" s="2"/>
      <c r="G48" s="2"/>
      <c r="H48" s="2"/>
      <c r="I48" s="14"/>
      <c r="J48" s="10"/>
      <c r="K48" s="10"/>
      <c r="L48" s="9"/>
      <c r="M48" s="1"/>
    </row>
    <row r="49" spans="2:13" ht="26.25" x14ac:dyDescent="0.35">
      <c r="B49" s="5"/>
      <c r="C49" s="6"/>
      <c r="D49" s="2"/>
      <c r="E49" s="2"/>
      <c r="F49" s="2"/>
      <c r="G49" s="2"/>
      <c r="H49" s="2"/>
      <c r="I49" s="14"/>
      <c r="J49" s="10"/>
      <c r="K49" s="10"/>
      <c r="L49" s="9"/>
      <c r="M49" s="1"/>
    </row>
    <row r="50" spans="2:13" ht="26.25" x14ac:dyDescent="0.35">
      <c r="B50" s="5"/>
      <c r="C50" s="6"/>
      <c r="D50" s="2"/>
      <c r="E50" s="2"/>
      <c r="F50" s="2"/>
      <c r="G50" s="2"/>
      <c r="H50" s="2"/>
      <c r="I50" s="14"/>
      <c r="J50" s="10"/>
      <c r="K50" s="10"/>
      <c r="L50" s="9"/>
      <c r="M50" s="1"/>
    </row>
    <row r="51" spans="2:13" ht="26.25" x14ac:dyDescent="0.35">
      <c r="B51" s="5"/>
      <c r="C51" s="6"/>
      <c r="D51" s="2"/>
      <c r="E51" s="2"/>
      <c r="F51" s="2"/>
      <c r="G51" s="2"/>
      <c r="H51" s="2"/>
      <c r="I51" s="14"/>
      <c r="J51" s="10"/>
      <c r="K51" s="10"/>
      <c r="L51" s="9"/>
      <c r="M51" s="1"/>
    </row>
    <row r="52" spans="2:13" ht="26.25" x14ac:dyDescent="0.35">
      <c r="B52" s="5"/>
      <c r="C52" s="6"/>
      <c r="D52" s="2"/>
      <c r="E52" s="2"/>
      <c r="F52" s="2"/>
      <c r="G52" s="2"/>
      <c r="H52" s="2"/>
      <c r="I52" s="14"/>
      <c r="J52" s="10"/>
      <c r="K52" s="10"/>
      <c r="L52" s="9"/>
      <c r="M52" s="1"/>
    </row>
    <row r="53" spans="2:13" ht="26.25" x14ac:dyDescent="0.35">
      <c r="B53" s="5"/>
      <c r="C53" s="6"/>
      <c r="D53" s="2"/>
      <c r="E53" s="2"/>
      <c r="F53" s="2"/>
      <c r="G53" s="2"/>
      <c r="H53" s="2"/>
      <c r="I53" s="14"/>
      <c r="J53" s="10"/>
      <c r="K53" s="10"/>
      <c r="L53" s="9"/>
      <c r="M53" s="1"/>
    </row>
    <row r="54" spans="2:13" ht="26.25" x14ac:dyDescent="0.35">
      <c r="B54" s="5"/>
      <c r="C54" s="6"/>
      <c r="D54" s="2"/>
      <c r="E54" s="2"/>
      <c r="F54" s="2"/>
      <c r="G54" s="2"/>
      <c r="H54" s="2"/>
      <c r="I54" s="14"/>
      <c r="J54" s="10"/>
      <c r="K54" s="10"/>
      <c r="L54" s="9"/>
      <c r="M54" s="1"/>
    </row>
    <row r="55" spans="2:13" ht="26.25" x14ac:dyDescent="0.35">
      <c r="B55" s="5"/>
      <c r="C55" s="6"/>
      <c r="D55" s="2"/>
      <c r="E55" s="2"/>
      <c r="F55" s="2"/>
      <c r="G55" s="2"/>
      <c r="H55" s="2"/>
      <c r="I55" s="14"/>
      <c r="J55" s="10"/>
      <c r="K55" s="10"/>
      <c r="L55" s="9"/>
      <c r="M55" s="1"/>
    </row>
    <row r="56" spans="2:13" ht="26.25" x14ac:dyDescent="0.35">
      <c r="B56" s="5"/>
      <c r="C56" s="6"/>
      <c r="D56" s="2"/>
      <c r="E56" s="2"/>
      <c r="F56" s="2"/>
      <c r="G56" s="2"/>
      <c r="H56" s="2"/>
      <c r="I56" s="14"/>
      <c r="J56" s="10"/>
      <c r="K56" s="10"/>
      <c r="L56" s="9"/>
      <c r="M56" s="1"/>
    </row>
    <row r="57" spans="2:13" ht="26.25" x14ac:dyDescent="0.35">
      <c r="B57" s="5"/>
      <c r="C57" s="6"/>
      <c r="D57" s="2"/>
      <c r="E57" s="2"/>
      <c r="F57" s="2"/>
      <c r="G57" s="2"/>
      <c r="H57" s="2"/>
      <c r="I57" s="14"/>
      <c r="J57" s="10"/>
      <c r="K57" s="10"/>
      <c r="L57" s="9"/>
      <c r="M57" s="1"/>
    </row>
    <row r="58" spans="2:13" ht="26.25" x14ac:dyDescent="0.35">
      <c r="B58" s="5"/>
      <c r="C58" s="6"/>
      <c r="D58" s="2"/>
      <c r="E58" s="2"/>
      <c r="F58" s="2"/>
      <c r="G58" s="2"/>
      <c r="H58" s="2"/>
      <c r="I58" s="14"/>
      <c r="J58" s="10"/>
      <c r="K58" s="10"/>
      <c r="L58" s="9"/>
      <c r="M58" s="1"/>
    </row>
    <row r="59" spans="2:13" ht="26.25" x14ac:dyDescent="0.35">
      <c r="B59" s="5"/>
      <c r="C59" s="6"/>
      <c r="D59" s="2"/>
      <c r="E59" s="2"/>
      <c r="F59" s="2"/>
      <c r="G59" s="2"/>
      <c r="H59" s="2"/>
      <c r="I59" s="14"/>
      <c r="J59" s="10"/>
      <c r="K59" s="10"/>
      <c r="L59" s="9"/>
      <c r="M59" s="1"/>
    </row>
    <row r="60" spans="2:13" ht="26.25" x14ac:dyDescent="0.35">
      <c r="B60" s="5"/>
      <c r="C60" s="6"/>
      <c r="D60" s="2"/>
      <c r="E60" s="2"/>
      <c r="F60" s="2"/>
      <c r="G60" s="2"/>
      <c r="H60" s="2"/>
      <c r="I60" s="14"/>
      <c r="J60" s="10"/>
      <c r="K60" s="10"/>
      <c r="L60" s="9"/>
      <c r="M60" s="1"/>
    </row>
    <row r="61" spans="2:13" ht="26.25" x14ac:dyDescent="0.35">
      <c r="B61" s="5"/>
      <c r="C61" s="6"/>
      <c r="D61" s="2"/>
      <c r="E61" s="2"/>
      <c r="F61" s="2"/>
      <c r="G61" s="2"/>
      <c r="H61" s="2"/>
      <c r="I61" s="14"/>
      <c r="J61" s="10"/>
      <c r="K61" s="10"/>
      <c r="L61" s="9"/>
      <c r="M61" s="1"/>
    </row>
  </sheetData>
  <pageMargins left="0.7" right="0.7" top="0.75" bottom="0.75" header="0.3" footer="0.3"/>
  <pageSetup paperSize="9" orientation="portrait" r:id="rId1"/>
  <headerFooter>
    <oddFooter>&amp;C&amp;1#&amp;"Calibri"&amp;10&amp;K000000Company General Use</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049F6-4324-4846-8250-D3CE5EF3F005}">
  <dimension ref="A1:BU53"/>
  <sheetViews>
    <sheetView topLeftCell="A32" workbookViewId="0">
      <selection activeCell="B47" sqref="B47:I47"/>
    </sheetView>
  </sheetViews>
  <sheetFormatPr defaultRowHeight="15" x14ac:dyDescent="0.25"/>
  <cols>
    <col min="2" max="2" width="73.140625" customWidth="1"/>
    <col min="3" max="3" width="16" hidden="1" customWidth="1"/>
    <col min="5" max="5" width="11" bestFit="1" customWidth="1"/>
    <col min="6" max="6" width="12.140625" customWidth="1"/>
    <col min="10" max="10" width="4.7109375" customWidth="1"/>
    <col min="11" max="28" width="2.7109375" bestFit="1" customWidth="1"/>
    <col min="29" max="31" width="1.85546875" bestFit="1" customWidth="1"/>
    <col min="32" max="32" width="2.42578125" bestFit="1" customWidth="1"/>
    <col min="33" max="33" width="1.85546875" bestFit="1" customWidth="1"/>
    <col min="34" max="34" width="2.5703125" bestFit="1" customWidth="1"/>
    <col min="35" max="37" width="1.85546875" bestFit="1" customWidth="1"/>
    <col min="38" max="59" width="2.7109375" bestFit="1" customWidth="1"/>
    <col min="60" max="60" width="2.42578125" bestFit="1" customWidth="1"/>
    <col min="61" max="61" width="1.85546875" bestFit="1" customWidth="1"/>
    <col min="62" max="62" width="2.5703125" bestFit="1" customWidth="1"/>
    <col min="63" max="66" width="1.85546875" bestFit="1" customWidth="1"/>
    <col min="67" max="67" width="2.42578125" bestFit="1" customWidth="1"/>
    <col min="68" max="68" width="1.85546875" bestFit="1" customWidth="1"/>
    <col min="69" max="69" width="2.5703125" bestFit="1" customWidth="1"/>
    <col min="70" max="73" width="1.85546875" bestFit="1" customWidth="1"/>
  </cols>
  <sheetData>
    <row r="1" spans="1:73" ht="30" customHeight="1" x14ac:dyDescent="0.25">
      <c r="A1" s="253" t="s">
        <v>351</v>
      </c>
      <c r="B1" s="254"/>
      <c r="C1" s="254"/>
      <c r="D1" s="254"/>
      <c r="E1" s="254"/>
      <c r="F1" s="254"/>
      <c r="I1" s="255"/>
      <c r="K1" s="358" t="s">
        <v>347</v>
      </c>
      <c r="L1" s="358"/>
      <c r="M1" s="358"/>
      <c r="N1" s="358"/>
      <c r="O1" s="358"/>
      <c r="P1" s="358"/>
      <c r="Q1" s="358"/>
      <c r="R1" s="358"/>
      <c r="S1" s="358"/>
      <c r="T1" s="358"/>
      <c r="U1" s="358"/>
      <c r="V1" s="358"/>
      <c r="W1" s="358"/>
      <c r="X1" s="358"/>
      <c r="Y1" s="358"/>
      <c r="Z1" s="358"/>
      <c r="AA1" s="358"/>
      <c r="AB1" s="358"/>
      <c r="AC1" s="358"/>
      <c r="AD1" s="358"/>
      <c r="AE1" s="358"/>
    </row>
    <row r="2" spans="1:73" ht="18" customHeight="1" x14ac:dyDescent="0.25">
      <c r="A2" s="256"/>
      <c r="B2" s="257"/>
      <c r="C2" s="257"/>
      <c r="D2" s="258"/>
      <c r="E2" s="259"/>
      <c r="F2" s="259"/>
      <c r="H2" s="260"/>
    </row>
    <row r="3" spans="1:73" x14ac:dyDescent="0.25">
      <c r="A3" s="256"/>
      <c r="B3" s="248"/>
      <c r="H3" s="260"/>
      <c r="K3" s="261"/>
      <c r="L3" s="261"/>
      <c r="M3" s="261"/>
      <c r="N3" s="261"/>
      <c r="O3" s="261"/>
      <c r="P3" s="261"/>
      <c r="Q3" s="261"/>
      <c r="R3" s="261"/>
      <c r="S3" s="261"/>
      <c r="T3" s="261"/>
      <c r="U3" s="261"/>
      <c r="V3" s="261"/>
      <c r="W3" s="261"/>
      <c r="X3" s="261"/>
      <c r="Y3" s="261"/>
      <c r="Z3" s="261"/>
      <c r="AA3" s="261"/>
    </row>
    <row r="4" spans="1:73" ht="17.25" customHeight="1" x14ac:dyDescent="0.25">
      <c r="A4" s="245"/>
      <c r="B4" s="246" t="s">
        <v>352</v>
      </c>
      <c r="C4" s="360">
        <v>45231</v>
      </c>
      <c r="D4" s="360"/>
      <c r="E4" s="360"/>
      <c r="F4" s="245"/>
      <c r="G4" s="246" t="s">
        <v>345</v>
      </c>
      <c r="H4" s="247">
        <v>54</v>
      </c>
      <c r="I4" s="248"/>
      <c r="J4" s="249"/>
      <c r="K4" s="352" t="str">
        <f>"Week "&amp;(K6-($C$4-WEEKDAY($C$4,1)+2))/7+1</f>
        <v>Week 54</v>
      </c>
      <c r="L4" s="353"/>
      <c r="M4" s="353"/>
      <c r="N4" s="353"/>
      <c r="O4" s="353"/>
      <c r="P4" s="353"/>
      <c r="Q4" s="354"/>
      <c r="R4" s="352" t="str">
        <f>"Week "&amp;(R6-($C$4-WEEKDAY($C$4,1)+2))/7+1</f>
        <v>Week 55</v>
      </c>
      <c r="S4" s="353"/>
      <c r="T4" s="353"/>
      <c r="U4" s="353"/>
      <c r="V4" s="353"/>
      <c r="W4" s="353"/>
      <c r="X4" s="354"/>
      <c r="Y4" s="352" t="str">
        <f>"Week "&amp;(Y6-($C$4-WEEKDAY($C$4,1)+2))/7+1</f>
        <v>Week 56</v>
      </c>
      <c r="Z4" s="353"/>
      <c r="AA4" s="353"/>
      <c r="AB4" s="353"/>
      <c r="AC4" s="353"/>
      <c r="AD4" s="353"/>
      <c r="AE4" s="354"/>
      <c r="AF4" s="352" t="str">
        <f>"Week "&amp;(AF6-($C$4-WEEKDAY($C$4,1)+2))/7+1</f>
        <v>Week 57</v>
      </c>
      <c r="AG4" s="353"/>
      <c r="AH4" s="353"/>
      <c r="AI4" s="353"/>
      <c r="AJ4" s="353"/>
      <c r="AK4" s="353"/>
      <c r="AL4" s="354"/>
      <c r="AM4" s="352" t="str">
        <f>"Week "&amp;(AM6-($C$4-WEEKDAY($C$4,1)+2))/7+1</f>
        <v>Week 58</v>
      </c>
      <c r="AN4" s="353"/>
      <c r="AO4" s="353"/>
      <c r="AP4" s="353"/>
      <c r="AQ4" s="353"/>
      <c r="AR4" s="353"/>
      <c r="AS4" s="354"/>
      <c r="AT4" s="352" t="str">
        <f>"Week "&amp;(AT6-($C$4-WEEKDAY($C$4,1)+2))/7+1</f>
        <v>Week 59</v>
      </c>
      <c r="AU4" s="353"/>
      <c r="AV4" s="353"/>
      <c r="AW4" s="353"/>
      <c r="AX4" s="353"/>
      <c r="AY4" s="353"/>
      <c r="AZ4" s="354"/>
      <c r="BA4" s="352" t="str">
        <f>"Week "&amp;(BA6-($C$4-WEEKDAY($C$4,1)+2))/7+1</f>
        <v>Week 60</v>
      </c>
      <c r="BB4" s="353"/>
      <c r="BC4" s="353"/>
      <c r="BD4" s="353"/>
      <c r="BE4" s="353"/>
      <c r="BF4" s="353"/>
      <c r="BG4" s="354"/>
      <c r="BH4" s="352" t="str">
        <f>"Week "&amp;(BH6-($C$4-WEEKDAY($C$4,1)+2))/7+1</f>
        <v>Week 61</v>
      </c>
      <c r="BI4" s="353"/>
      <c r="BJ4" s="353"/>
      <c r="BK4" s="353"/>
      <c r="BL4" s="353"/>
      <c r="BM4" s="353"/>
      <c r="BN4" s="354"/>
      <c r="BO4" s="352" t="str">
        <f>"Week "&amp;(BO6-($C$4-WEEKDAY($C$4,1)+2))/7+1</f>
        <v>Week 62</v>
      </c>
      <c r="BP4" s="353"/>
      <c r="BQ4" s="353"/>
      <c r="BR4" s="353"/>
      <c r="BS4" s="353"/>
      <c r="BT4" s="353"/>
      <c r="BU4" s="354"/>
    </row>
    <row r="5" spans="1:73" ht="17.25" customHeight="1" x14ac:dyDescent="0.25">
      <c r="A5" s="245"/>
      <c r="B5" s="246" t="s">
        <v>346</v>
      </c>
      <c r="C5" s="359"/>
      <c r="D5" s="359"/>
      <c r="E5" s="359"/>
      <c r="F5" s="245"/>
      <c r="G5" s="245"/>
      <c r="H5" s="245"/>
      <c r="I5" s="245"/>
      <c r="J5" s="249"/>
      <c r="K5" s="355">
        <f>K6</f>
        <v>45600</v>
      </c>
      <c r="L5" s="356"/>
      <c r="M5" s="356"/>
      <c r="N5" s="356"/>
      <c r="O5" s="356"/>
      <c r="P5" s="356"/>
      <c r="Q5" s="357"/>
      <c r="R5" s="355">
        <f>R6</f>
        <v>45607</v>
      </c>
      <c r="S5" s="356"/>
      <c r="T5" s="356"/>
      <c r="U5" s="356"/>
      <c r="V5" s="356"/>
      <c r="W5" s="356"/>
      <c r="X5" s="357"/>
      <c r="Y5" s="355">
        <f>Y6</f>
        <v>45614</v>
      </c>
      <c r="Z5" s="356"/>
      <c r="AA5" s="356"/>
      <c r="AB5" s="356"/>
      <c r="AC5" s="356"/>
      <c r="AD5" s="356"/>
      <c r="AE5" s="357"/>
      <c r="AF5" s="355">
        <f>AF6</f>
        <v>45621</v>
      </c>
      <c r="AG5" s="356"/>
      <c r="AH5" s="356"/>
      <c r="AI5" s="356"/>
      <c r="AJ5" s="356"/>
      <c r="AK5" s="356"/>
      <c r="AL5" s="357"/>
      <c r="AM5" s="355">
        <f>AM6</f>
        <v>45628</v>
      </c>
      <c r="AN5" s="356"/>
      <c r="AO5" s="356"/>
      <c r="AP5" s="356"/>
      <c r="AQ5" s="356"/>
      <c r="AR5" s="356"/>
      <c r="AS5" s="357"/>
      <c r="AT5" s="355">
        <f>AT6</f>
        <v>45635</v>
      </c>
      <c r="AU5" s="356"/>
      <c r="AV5" s="356"/>
      <c r="AW5" s="356"/>
      <c r="AX5" s="356"/>
      <c r="AY5" s="356"/>
      <c r="AZ5" s="357"/>
      <c r="BA5" s="355">
        <f>BA6</f>
        <v>45642</v>
      </c>
      <c r="BB5" s="356"/>
      <c r="BC5" s="356"/>
      <c r="BD5" s="356"/>
      <c r="BE5" s="356"/>
      <c r="BF5" s="356"/>
      <c r="BG5" s="357"/>
      <c r="BH5" s="355">
        <f>BH6</f>
        <v>45649</v>
      </c>
      <c r="BI5" s="356"/>
      <c r="BJ5" s="356"/>
      <c r="BK5" s="356"/>
      <c r="BL5" s="356"/>
      <c r="BM5" s="356"/>
      <c r="BN5" s="357"/>
      <c r="BO5" s="355">
        <f>BO6</f>
        <v>45656</v>
      </c>
      <c r="BP5" s="356"/>
      <c r="BQ5" s="356"/>
      <c r="BR5" s="356"/>
      <c r="BS5" s="356"/>
      <c r="BT5" s="356"/>
      <c r="BU5" s="357"/>
    </row>
    <row r="6" spans="1:73" x14ac:dyDescent="0.25">
      <c r="A6" s="249"/>
      <c r="B6" s="249"/>
      <c r="C6" s="249"/>
      <c r="D6" s="249"/>
      <c r="E6" s="249"/>
      <c r="F6" s="249"/>
      <c r="G6" s="249"/>
      <c r="H6" s="249"/>
      <c r="I6" s="249"/>
      <c r="J6" s="249"/>
      <c r="K6" s="250">
        <f>C4-WEEKDAY(C4,1)+2+7*(H4-1)</f>
        <v>45600</v>
      </c>
      <c r="L6" s="251">
        <f t="shared" ref="L6:BN6" si="0">K6+1</f>
        <v>45601</v>
      </c>
      <c r="M6" s="251">
        <f t="shared" si="0"/>
        <v>45602</v>
      </c>
      <c r="N6" s="251">
        <f t="shared" si="0"/>
        <v>45603</v>
      </c>
      <c r="O6" s="251">
        <f t="shared" si="0"/>
        <v>45604</v>
      </c>
      <c r="P6" s="251">
        <f t="shared" si="0"/>
        <v>45605</v>
      </c>
      <c r="Q6" s="252">
        <f t="shared" si="0"/>
        <v>45606</v>
      </c>
      <c r="R6" s="250">
        <f t="shared" si="0"/>
        <v>45607</v>
      </c>
      <c r="S6" s="251">
        <f t="shared" si="0"/>
        <v>45608</v>
      </c>
      <c r="T6" s="251">
        <f t="shared" si="0"/>
        <v>45609</v>
      </c>
      <c r="U6" s="251">
        <f t="shared" si="0"/>
        <v>45610</v>
      </c>
      <c r="V6" s="251">
        <f t="shared" si="0"/>
        <v>45611</v>
      </c>
      <c r="W6" s="251">
        <f t="shared" si="0"/>
        <v>45612</v>
      </c>
      <c r="X6" s="252">
        <f t="shared" si="0"/>
        <v>45613</v>
      </c>
      <c r="Y6" s="250">
        <f t="shared" si="0"/>
        <v>45614</v>
      </c>
      <c r="Z6" s="251">
        <f t="shared" si="0"/>
        <v>45615</v>
      </c>
      <c r="AA6" s="251">
        <f t="shared" si="0"/>
        <v>45616</v>
      </c>
      <c r="AB6" s="251">
        <f t="shared" si="0"/>
        <v>45617</v>
      </c>
      <c r="AC6" s="251">
        <f t="shared" si="0"/>
        <v>45618</v>
      </c>
      <c r="AD6" s="251">
        <f t="shared" si="0"/>
        <v>45619</v>
      </c>
      <c r="AE6" s="252">
        <f t="shared" si="0"/>
        <v>45620</v>
      </c>
      <c r="AF6" s="250">
        <f t="shared" si="0"/>
        <v>45621</v>
      </c>
      <c r="AG6" s="251">
        <f t="shared" si="0"/>
        <v>45622</v>
      </c>
      <c r="AH6" s="251">
        <f t="shared" si="0"/>
        <v>45623</v>
      </c>
      <c r="AI6" s="251">
        <f t="shared" si="0"/>
        <v>45624</v>
      </c>
      <c r="AJ6" s="251">
        <f t="shared" si="0"/>
        <v>45625</v>
      </c>
      <c r="AK6" s="251">
        <f t="shared" si="0"/>
        <v>45626</v>
      </c>
      <c r="AL6" s="252">
        <f t="shared" si="0"/>
        <v>45627</v>
      </c>
      <c r="AM6" s="250">
        <f t="shared" si="0"/>
        <v>45628</v>
      </c>
      <c r="AN6" s="251">
        <f t="shared" si="0"/>
        <v>45629</v>
      </c>
      <c r="AO6" s="251">
        <f t="shared" si="0"/>
        <v>45630</v>
      </c>
      <c r="AP6" s="251">
        <f t="shared" si="0"/>
        <v>45631</v>
      </c>
      <c r="AQ6" s="251">
        <f t="shared" si="0"/>
        <v>45632</v>
      </c>
      <c r="AR6" s="251">
        <f t="shared" si="0"/>
        <v>45633</v>
      </c>
      <c r="AS6" s="252">
        <f t="shared" si="0"/>
        <v>45634</v>
      </c>
      <c r="AT6" s="250">
        <f t="shared" si="0"/>
        <v>45635</v>
      </c>
      <c r="AU6" s="251">
        <f t="shared" si="0"/>
        <v>45636</v>
      </c>
      <c r="AV6" s="251">
        <f t="shared" si="0"/>
        <v>45637</v>
      </c>
      <c r="AW6" s="251">
        <f t="shared" si="0"/>
        <v>45638</v>
      </c>
      <c r="AX6" s="251">
        <f t="shared" si="0"/>
        <v>45639</v>
      </c>
      <c r="AY6" s="251">
        <f t="shared" si="0"/>
        <v>45640</v>
      </c>
      <c r="AZ6" s="252">
        <f t="shared" si="0"/>
        <v>45641</v>
      </c>
      <c r="BA6" s="250">
        <f t="shared" si="0"/>
        <v>45642</v>
      </c>
      <c r="BB6" s="251">
        <f t="shared" si="0"/>
        <v>45643</v>
      </c>
      <c r="BC6" s="251">
        <f t="shared" si="0"/>
        <v>45644</v>
      </c>
      <c r="BD6" s="251">
        <f t="shared" si="0"/>
        <v>45645</v>
      </c>
      <c r="BE6" s="251">
        <f t="shared" si="0"/>
        <v>45646</v>
      </c>
      <c r="BF6" s="251">
        <f t="shared" si="0"/>
        <v>45647</v>
      </c>
      <c r="BG6" s="252">
        <f t="shared" si="0"/>
        <v>45648</v>
      </c>
      <c r="BH6" s="250">
        <f t="shared" si="0"/>
        <v>45649</v>
      </c>
      <c r="BI6" s="251">
        <f t="shared" si="0"/>
        <v>45650</v>
      </c>
      <c r="BJ6" s="251">
        <f t="shared" si="0"/>
        <v>45651</v>
      </c>
      <c r="BK6" s="251">
        <f t="shared" si="0"/>
        <v>45652</v>
      </c>
      <c r="BL6" s="251">
        <f t="shared" si="0"/>
        <v>45653</v>
      </c>
      <c r="BM6" s="251">
        <f t="shared" si="0"/>
        <v>45654</v>
      </c>
      <c r="BN6" s="252">
        <f t="shared" si="0"/>
        <v>45655</v>
      </c>
      <c r="BO6" s="250">
        <f t="shared" ref="BO6" si="1">BN6+1</f>
        <v>45656</v>
      </c>
      <c r="BP6" s="251">
        <f t="shared" ref="BP6" si="2">BO6+1</f>
        <v>45657</v>
      </c>
      <c r="BQ6" s="251">
        <f t="shared" ref="BQ6" si="3">BP6+1</f>
        <v>45658</v>
      </c>
      <c r="BR6" s="251">
        <f t="shared" ref="BR6" si="4">BQ6+1</f>
        <v>45659</v>
      </c>
      <c r="BS6" s="251">
        <f t="shared" ref="BS6" si="5">BR6+1</f>
        <v>45660</v>
      </c>
      <c r="BT6" s="251">
        <f t="shared" ref="BT6" si="6">BS6+1</f>
        <v>45661</v>
      </c>
      <c r="BU6" s="252">
        <f t="shared" ref="BU6" si="7">BT6+1</f>
        <v>45662</v>
      </c>
    </row>
    <row r="7" spans="1:73" s="248" customFormat="1" ht="36.75" thickBot="1" x14ac:dyDescent="0.25">
      <c r="A7" s="262" t="s">
        <v>348</v>
      </c>
      <c r="B7" s="262" t="s">
        <v>349</v>
      </c>
      <c r="C7" s="263" t="s">
        <v>350</v>
      </c>
      <c r="D7" s="264" t="s">
        <v>353</v>
      </c>
      <c r="E7" s="265" t="s">
        <v>354</v>
      </c>
      <c r="F7" s="265" t="s">
        <v>355</v>
      </c>
      <c r="G7" s="263" t="s">
        <v>356</v>
      </c>
      <c r="H7" s="263" t="s">
        <v>357</v>
      </c>
      <c r="I7" s="263" t="s">
        <v>358</v>
      </c>
      <c r="J7" s="263"/>
      <c r="K7" s="266" t="str">
        <f t="shared" ref="K7:BN7" si="8">CHOOSE(WEEKDAY(K6,1),"S","M","T","W","T","F","S")</f>
        <v>M</v>
      </c>
      <c r="L7" s="267" t="str">
        <f t="shared" si="8"/>
        <v>T</v>
      </c>
      <c r="M7" s="267" t="str">
        <f t="shared" si="8"/>
        <v>W</v>
      </c>
      <c r="N7" s="267" t="str">
        <f t="shared" si="8"/>
        <v>T</v>
      </c>
      <c r="O7" s="267" t="str">
        <f t="shared" si="8"/>
        <v>F</v>
      </c>
      <c r="P7" s="267" t="str">
        <f t="shared" si="8"/>
        <v>S</v>
      </c>
      <c r="Q7" s="268" t="str">
        <f t="shared" si="8"/>
        <v>S</v>
      </c>
      <c r="R7" s="266" t="str">
        <f t="shared" si="8"/>
        <v>M</v>
      </c>
      <c r="S7" s="267" t="str">
        <f t="shared" si="8"/>
        <v>T</v>
      </c>
      <c r="T7" s="267" t="str">
        <f t="shared" si="8"/>
        <v>W</v>
      </c>
      <c r="U7" s="267" t="str">
        <f t="shared" si="8"/>
        <v>T</v>
      </c>
      <c r="V7" s="267" t="str">
        <f t="shared" si="8"/>
        <v>F</v>
      </c>
      <c r="W7" s="267" t="str">
        <f t="shared" si="8"/>
        <v>S</v>
      </c>
      <c r="X7" s="268" t="str">
        <f t="shared" si="8"/>
        <v>S</v>
      </c>
      <c r="Y7" s="266" t="str">
        <f t="shared" si="8"/>
        <v>M</v>
      </c>
      <c r="Z7" s="267" t="str">
        <f t="shared" si="8"/>
        <v>T</v>
      </c>
      <c r="AA7" s="267" t="str">
        <f t="shared" si="8"/>
        <v>W</v>
      </c>
      <c r="AB7" s="267" t="str">
        <f t="shared" si="8"/>
        <v>T</v>
      </c>
      <c r="AC7" s="267" t="str">
        <f t="shared" si="8"/>
        <v>F</v>
      </c>
      <c r="AD7" s="267" t="str">
        <f t="shared" si="8"/>
        <v>S</v>
      </c>
      <c r="AE7" s="268" t="str">
        <f t="shared" si="8"/>
        <v>S</v>
      </c>
      <c r="AF7" s="266" t="str">
        <f t="shared" si="8"/>
        <v>M</v>
      </c>
      <c r="AG7" s="267" t="str">
        <f t="shared" si="8"/>
        <v>T</v>
      </c>
      <c r="AH7" s="267" t="str">
        <f t="shared" si="8"/>
        <v>W</v>
      </c>
      <c r="AI7" s="267" t="str">
        <f t="shared" si="8"/>
        <v>T</v>
      </c>
      <c r="AJ7" s="267" t="str">
        <f t="shared" si="8"/>
        <v>F</v>
      </c>
      <c r="AK7" s="267" t="str">
        <f t="shared" si="8"/>
        <v>S</v>
      </c>
      <c r="AL7" s="268" t="str">
        <f t="shared" si="8"/>
        <v>S</v>
      </c>
      <c r="AM7" s="266" t="str">
        <f t="shared" si="8"/>
        <v>M</v>
      </c>
      <c r="AN7" s="267" t="str">
        <f t="shared" si="8"/>
        <v>T</v>
      </c>
      <c r="AO7" s="267" t="str">
        <f t="shared" si="8"/>
        <v>W</v>
      </c>
      <c r="AP7" s="267" t="str">
        <f t="shared" si="8"/>
        <v>T</v>
      </c>
      <c r="AQ7" s="267" t="str">
        <f t="shared" si="8"/>
        <v>F</v>
      </c>
      <c r="AR7" s="267" t="str">
        <f t="shared" si="8"/>
        <v>S</v>
      </c>
      <c r="AS7" s="268" t="str">
        <f t="shared" si="8"/>
        <v>S</v>
      </c>
      <c r="AT7" s="266" t="str">
        <f t="shared" si="8"/>
        <v>M</v>
      </c>
      <c r="AU7" s="267" t="str">
        <f t="shared" si="8"/>
        <v>T</v>
      </c>
      <c r="AV7" s="267" t="str">
        <f t="shared" si="8"/>
        <v>W</v>
      </c>
      <c r="AW7" s="267" t="str">
        <f t="shared" si="8"/>
        <v>T</v>
      </c>
      <c r="AX7" s="267" t="str">
        <f t="shared" si="8"/>
        <v>F</v>
      </c>
      <c r="AY7" s="267" t="str">
        <f t="shared" si="8"/>
        <v>S</v>
      </c>
      <c r="AZ7" s="268" t="str">
        <f t="shared" si="8"/>
        <v>S</v>
      </c>
      <c r="BA7" s="266" t="str">
        <f t="shared" si="8"/>
        <v>M</v>
      </c>
      <c r="BB7" s="267" t="str">
        <f t="shared" si="8"/>
        <v>T</v>
      </c>
      <c r="BC7" s="267" t="str">
        <f t="shared" si="8"/>
        <v>W</v>
      </c>
      <c r="BD7" s="267" t="str">
        <f t="shared" si="8"/>
        <v>T</v>
      </c>
      <c r="BE7" s="267" t="str">
        <f t="shared" si="8"/>
        <v>F</v>
      </c>
      <c r="BF7" s="267" t="str">
        <f t="shared" si="8"/>
        <v>S</v>
      </c>
      <c r="BG7" s="268" t="str">
        <f t="shared" si="8"/>
        <v>S</v>
      </c>
      <c r="BH7" s="266" t="str">
        <f t="shared" si="8"/>
        <v>M</v>
      </c>
      <c r="BI7" s="267" t="str">
        <f t="shared" si="8"/>
        <v>T</v>
      </c>
      <c r="BJ7" s="267" t="str">
        <f t="shared" si="8"/>
        <v>W</v>
      </c>
      <c r="BK7" s="267" t="str">
        <f t="shared" si="8"/>
        <v>T</v>
      </c>
      <c r="BL7" s="267" t="str">
        <f t="shared" si="8"/>
        <v>F</v>
      </c>
      <c r="BM7" s="267" t="str">
        <f t="shared" si="8"/>
        <v>S</v>
      </c>
      <c r="BN7" s="268" t="str">
        <f t="shared" si="8"/>
        <v>S</v>
      </c>
      <c r="BO7" s="266" t="str">
        <f t="shared" ref="BO7:BU7" si="9">CHOOSE(WEEKDAY(BO6,1),"S","M","T","W","T","F","S")</f>
        <v>M</v>
      </c>
      <c r="BP7" s="267" t="str">
        <f t="shared" si="9"/>
        <v>T</v>
      </c>
      <c r="BQ7" s="267" t="str">
        <f t="shared" si="9"/>
        <v>W</v>
      </c>
      <c r="BR7" s="267" t="str">
        <f t="shared" si="9"/>
        <v>T</v>
      </c>
      <c r="BS7" s="267" t="str">
        <f t="shared" si="9"/>
        <v>F</v>
      </c>
      <c r="BT7" s="267" t="str">
        <f t="shared" si="9"/>
        <v>S</v>
      </c>
      <c r="BU7" s="268" t="str">
        <f t="shared" si="9"/>
        <v>S</v>
      </c>
    </row>
    <row r="8" spans="1:73" s="280" customFormat="1" ht="18.75" x14ac:dyDescent="0.25">
      <c r="A8" s="269" t="str">
        <f>IF(ISERROR(VALUE(SUBSTITUTE(prevWBS,".",""))),"1",IF(ISERROR(FIND("`",SUBSTITUTE(prevWBS,".","`",1))),TEXT(VALUE(prevWBS)+1,"#"),TEXT(VALUE(LEFT(prevWBS,FIND("`",SUBSTITUTE(prevWBS,".","`",1))-1))+1,"#")))</f>
        <v>1</v>
      </c>
      <c r="B8" s="270" t="str">
        <f>Gantt!C4</f>
        <v>SERVIZI APPLICATIVI - ATTIVITA' DI CARATTERE PROGETTUALE
(Sviluppo SW + MEV+Supporto Specialistico Operativo)</v>
      </c>
      <c r="C8" s="271"/>
      <c r="D8" s="272"/>
      <c r="E8" s="273"/>
      <c r="F8" s="274" t="str">
        <f>IF(ISBLANK(E8)," - ",IF(G8=0,E8,E8+G8-1))</f>
        <v xml:space="preserve"> - </v>
      </c>
      <c r="G8" s="275"/>
      <c r="H8" s="276"/>
      <c r="I8" s="277" t="str">
        <f t="shared" ref="I8:I17" si="10">IF(OR(F8=0,E8=0)," - ",NETWORKDAYS(E8,F8))</f>
        <v xml:space="preserve"> - </v>
      </c>
      <c r="J8" s="278"/>
      <c r="K8" s="279"/>
      <c r="L8" s="279"/>
      <c r="M8" s="279"/>
      <c r="N8" s="279"/>
      <c r="O8" s="279"/>
      <c r="P8" s="279"/>
      <c r="Q8" s="279"/>
      <c r="R8" s="279"/>
      <c r="S8" s="279"/>
      <c r="T8" s="279"/>
      <c r="U8" s="279"/>
      <c r="V8" s="279"/>
      <c r="W8" s="279"/>
      <c r="X8" s="279"/>
      <c r="Y8" s="279"/>
      <c r="Z8" s="279"/>
      <c r="AA8" s="279"/>
      <c r="AB8" s="279"/>
      <c r="AC8" s="279"/>
      <c r="AD8" s="279"/>
      <c r="AE8" s="279"/>
      <c r="AF8" s="279"/>
      <c r="AG8" s="279"/>
      <c r="AH8" s="279"/>
      <c r="AI8" s="279"/>
      <c r="AJ8" s="279"/>
      <c r="AK8" s="279"/>
      <c r="AL8" s="279"/>
      <c r="AM8" s="279"/>
      <c r="AN8" s="279"/>
      <c r="AO8" s="279"/>
      <c r="AP8" s="279"/>
      <c r="AQ8" s="279"/>
      <c r="AR8" s="279"/>
      <c r="AS8" s="279"/>
      <c r="AT8" s="279"/>
      <c r="AU8" s="279"/>
      <c r="AV8" s="279"/>
      <c r="AW8" s="279"/>
      <c r="AX8" s="279"/>
      <c r="AY8" s="279"/>
      <c r="AZ8" s="279"/>
      <c r="BA8" s="279"/>
      <c r="BB8" s="279"/>
      <c r="BC8" s="279"/>
      <c r="BD8" s="279"/>
      <c r="BE8" s="279"/>
      <c r="BF8" s="279"/>
      <c r="BG8" s="279"/>
      <c r="BH8" s="279"/>
      <c r="BI8" s="279"/>
      <c r="BJ8" s="279"/>
      <c r="BK8" s="279"/>
      <c r="BL8" s="279"/>
      <c r="BM8" s="279"/>
      <c r="BN8" s="279"/>
      <c r="BO8" s="279"/>
      <c r="BP8" s="279"/>
      <c r="BQ8" s="279"/>
      <c r="BR8" s="279"/>
      <c r="BS8" s="279"/>
      <c r="BT8" s="279"/>
      <c r="BU8" s="279"/>
    </row>
    <row r="9" spans="1:73" s="283" customFormat="1" ht="18.75" x14ac:dyDescent="0.25">
      <c r="A9" s="281" t="e">
        <f>Gantt!#REF!</f>
        <v>#REF!</v>
      </c>
      <c r="B9" s="282" t="e">
        <f>Gantt!#REF!</f>
        <v>#REF!</v>
      </c>
      <c r="D9" s="284"/>
      <c r="E9" s="290" t="e">
        <f>Gantt!#REF!</f>
        <v>#REF!</v>
      </c>
      <c r="F9" s="291" t="e">
        <f>Gantt!#REF!</f>
        <v>#REF!</v>
      </c>
      <c r="G9" s="285" t="e">
        <f>F9-E9</f>
        <v>#REF!</v>
      </c>
      <c r="H9" s="286" t="e">
        <f>Gantt!#REF!</f>
        <v>#REF!</v>
      </c>
      <c r="I9" s="287" t="e">
        <f t="shared" si="10"/>
        <v>#REF!</v>
      </c>
      <c r="J9" s="288"/>
      <c r="K9" s="281"/>
      <c r="L9" s="281"/>
      <c r="M9" s="281"/>
      <c r="N9" s="281"/>
      <c r="O9" s="281"/>
      <c r="P9" s="281"/>
      <c r="Q9" s="281"/>
      <c r="R9" s="281"/>
      <c r="S9" s="281"/>
      <c r="T9" s="281"/>
      <c r="U9" s="281"/>
      <c r="V9" s="281"/>
      <c r="W9" s="281"/>
      <c r="X9" s="281"/>
      <c r="Y9" s="281"/>
      <c r="Z9" s="281"/>
      <c r="AA9" s="281"/>
      <c r="AB9" s="281"/>
      <c r="AC9" s="281"/>
      <c r="AD9" s="281"/>
      <c r="AE9" s="281"/>
      <c r="AF9" s="281"/>
      <c r="AG9" s="281"/>
      <c r="AH9" s="281"/>
      <c r="AI9" s="281"/>
      <c r="AJ9" s="281"/>
      <c r="AK9" s="281"/>
      <c r="AL9" s="281"/>
      <c r="AM9" s="281"/>
      <c r="AN9" s="281"/>
      <c r="AO9" s="281"/>
      <c r="AP9" s="281"/>
      <c r="AQ9" s="281"/>
      <c r="AR9" s="281"/>
      <c r="AS9" s="281"/>
      <c r="AT9" s="281"/>
      <c r="AU9" s="281"/>
      <c r="AV9" s="281"/>
      <c r="AW9" s="281"/>
      <c r="AX9" s="281"/>
      <c r="AY9" s="281"/>
      <c r="AZ9" s="281"/>
      <c r="BA9" s="281"/>
      <c r="BB9" s="281"/>
      <c r="BC9" s="281"/>
      <c r="BD9" s="281"/>
      <c r="BE9" s="281"/>
      <c r="BF9" s="281"/>
      <c r="BG9" s="281"/>
      <c r="BH9" s="281"/>
      <c r="BI9" s="281"/>
      <c r="BJ9" s="281"/>
      <c r="BK9" s="281"/>
      <c r="BL9" s="281"/>
      <c r="BM9" s="281"/>
      <c r="BN9" s="281"/>
      <c r="BO9" s="281"/>
      <c r="BP9" s="281"/>
      <c r="BQ9" s="281"/>
      <c r="BR9" s="281"/>
      <c r="BS9" s="281"/>
      <c r="BT9" s="281"/>
      <c r="BU9" s="281"/>
    </row>
    <row r="10" spans="1:73" s="283" customFormat="1" ht="18.75" x14ac:dyDescent="0.25">
      <c r="A10" s="281">
        <f>Gantt!A5</f>
        <v>1</v>
      </c>
      <c r="B10" s="306" t="str">
        <f>Gantt!C5</f>
        <v>GARI BASE</v>
      </c>
      <c r="C10" s="307"/>
      <c r="D10" s="308"/>
      <c r="E10" s="309"/>
      <c r="F10" s="310"/>
      <c r="G10" s="311"/>
      <c r="H10" s="312"/>
      <c r="I10" s="311"/>
      <c r="J10" s="288"/>
      <c r="K10" s="281"/>
      <c r="L10" s="281"/>
      <c r="M10" s="281"/>
      <c r="N10" s="281"/>
      <c r="O10" s="281"/>
      <c r="P10" s="281"/>
      <c r="Q10" s="281"/>
      <c r="R10" s="281"/>
      <c r="S10" s="281"/>
      <c r="T10" s="281"/>
      <c r="U10" s="281"/>
      <c r="V10" s="281"/>
      <c r="W10" s="281"/>
      <c r="X10" s="281"/>
      <c r="Y10" s="281"/>
      <c r="Z10" s="281"/>
      <c r="AA10" s="281"/>
      <c r="AB10" s="281"/>
      <c r="AC10" s="281"/>
      <c r="AD10" s="281"/>
      <c r="AE10" s="281"/>
      <c r="AF10" s="281"/>
      <c r="AG10" s="281"/>
      <c r="AH10" s="281"/>
      <c r="AI10" s="281"/>
      <c r="AJ10" s="281"/>
      <c r="AK10" s="281"/>
      <c r="AL10" s="281"/>
      <c r="AM10" s="281"/>
      <c r="AN10" s="281"/>
      <c r="AO10" s="281"/>
      <c r="AP10" s="281"/>
      <c r="AQ10" s="281"/>
      <c r="AR10" s="281"/>
      <c r="AS10" s="281"/>
      <c r="AT10" s="281"/>
      <c r="AU10" s="281"/>
      <c r="AV10" s="281"/>
      <c r="AW10" s="281"/>
      <c r="AX10" s="281"/>
      <c r="AY10" s="281"/>
      <c r="AZ10" s="281"/>
      <c r="BA10" s="281"/>
      <c r="BB10" s="281"/>
      <c r="BC10" s="281"/>
      <c r="BD10" s="281"/>
      <c r="BE10" s="281"/>
      <c r="BF10" s="281"/>
      <c r="BG10" s="281"/>
      <c r="BH10" s="281"/>
      <c r="BI10" s="281"/>
      <c r="BJ10" s="281"/>
      <c r="BK10" s="281"/>
      <c r="BL10" s="281"/>
      <c r="BM10" s="281"/>
      <c r="BN10" s="281"/>
      <c r="BO10" s="281"/>
      <c r="BP10" s="281"/>
      <c r="BQ10" s="281"/>
      <c r="BR10" s="281"/>
      <c r="BS10" s="281"/>
      <c r="BT10" s="281"/>
      <c r="BU10" s="281"/>
    </row>
    <row r="11" spans="1:73" s="283" customFormat="1" ht="25.5" customHeight="1" x14ac:dyDescent="0.25">
      <c r="A11" s="281" t="e">
        <f>Gantt!#REF!</f>
        <v>#REF!</v>
      </c>
      <c r="B11" s="282" t="e">
        <f>Gantt!#REF!</f>
        <v>#REF!</v>
      </c>
      <c r="D11" s="284"/>
      <c r="E11" s="290" t="e">
        <f>Gantt!#REF!</f>
        <v>#REF!</v>
      </c>
      <c r="F11" s="291" t="e">
        <f>Gantt!#REF!</f>
        <v>#REF!</v>
      </c>
      <c r="G11" s="285" t="e">
        <f t="shared" ref="G11:G52" si="11">F11-E11</f>
        <v>#REF!</v>
      </c>
      <c r="H11" s="286" t="e">
        <f>Gantt!#REF!</f>
        <v>#REF!</v>
      </c>
      <c r="I11" s="287" t="e">
        <f t="shared" si="10"/>
        <v>#REF!</v>
      </c>
      <c r="J11" s="288"/>
      <c r="K11" s="281"/>
      <c r="L11" s="281"/>
      <c r="M11" s="289"/>
      <c r="N11" s="281"/>
      <c r="O11" s="281"/>
      <c r="P11" s="281"/>
      <c r="Q11" s="281"/>
      <c r="R11" s="281"/>
      <c r="S11" s="281"/>
      <c r="T11" s="281"/>
      <c r="U11" s="281"/>
      <c r="V11" s="281"/>
      <c r="W11" s="281"/>
      <c r="X11" s="281"/>
      <c r="Y11" s="281"/>
      <c r="Z11" s="281"/>
      <c r="AA11" s="281"/>
      <c r="AB11" s="281"/>
      <c r="AC11" s="281"/>
      <c r="AD11" s="281"/>
      <c r="AE11" s="281"/>
      <c r="AF11" s="281"/>
      <c r="AG11" s="281"/>
      <c r="AH11" s="281"/>
      <c r="AI11" s="281"/>
      <c r="AJ11" s="281"/>
      <c r="AK11" s="281"/>
      <c r="AL11" s="281"/>
      <c r="AM11" s="281"/>
      <c r="AN11" s="281"/>
      <c r="AO11" s="281"/>
      <c r="AP11" s="281"/>
      <c r="AQ11" s="281"/>
      <c r="AR11" s="281"/>
      <c r="AS11" s="281"/>
      <c r="AT11" s="281"/>
      <c r="AU11" s="281"/>
      <c r="AV11" s="281"/>
      <c r="AW11" s="281"/>
      <c r="AX11" s="281"/>
      <c r="AY11" s="281"/>
      <c r="AZ11" s="281"/>
      <c r="BA11" s="281"/>
      <c r="BB11" s="281"/>
      <c r="BC11" s="281"/>
      <c r="BD11" s="281"/>
      <c r="BE11" s="281"/>
      <c r="BF11" s="281"/>
      <c r="BG11" s="281"/>
      <c r="BH11" s="281"/>
      <c r="BI11" s="281"/>
      <c r="BJ11" s="281"/>
      <c r="BK11" s="281"/>
      <c r="BL11" s="281"/>
      <c r="BM11" s="281"/>
      <c r="BN11" s="281"/>
      <c r="BO11" s="281"/>
      <c r="BP11" s="281"/>
      <c r="BQ11" s="281"/>
      <c r="BR11" s="281"/>
      <c r="BS11" s="281"/>
      <c r="BT11" s="281"/>
      <c r="BU11" s="281"/>
    </row>
    <row r="12" spans="1:73" s="283" customFormat="1" ht="25.5" customHeight="1" x14ac:dyDescent="0.25">
      <c r="A12" s="281" t="str">
        <f>Gantt!A6</f>
        <v>1.2</v>
      </c>
      <c r="B12" s="282" t="str">
        <f>Gantt!C6</f>
        <v xml:space="preserve">Sviluppo funzionalità di Interlavoro con il sistema SIAN per importare il Piano colturale Grafico AGEA, compendiato dagli attributi catastali alfanumerici e altre informazioni legate alle consistenze aziendali funzionali alla gestione GARI
Con acquisizione dei dati di fascicolo necessari ai procedimenti del GARI se e come esposti da AGEA. </v>
      </c>
      <c r="D12" s="284"/>
      <c r="E12" s="290">
        <f>Gantt!M6</f>
        <v>0</v>
      </c>
      <c r="F12" s="291">
        <f>Gantt!P6</f>
        <v>0</v>
      </c>
      <c r="G12" s="285">
        <f t="shared" si="11"/>
        <v>0</v>
      </c>
      <c r="H12" s="286">
        <f>Gantt!L6</f>
        <v>0</v>
      </c>
      <c r="I12" s="287" t="str">
        <f t="shared" si="10"/>
        <v xml:space="preserve"> - </v>
      </c>
      <c r="J12" s="288"/>
      <c r="K12" s="281"/>
      <c r="L12" s="281"/>
      <c r="M12" s="281"/>
      <c r="N12" s="281"/>
      <c r="O12" s="281"/>
      <c r="P12" s="281"/>
      <c r="Q12" s="281"/>
      <c r="R12" s="281"/>
      <c r="S12" s="281"/>
      <c r="T12" s="281"/>
      <c r="U12" s="281"/>
      <c r="V12" s="281"/>
      <c r="W12" s="281"/>
      <c r="X12" s="281"/>
      <c r="Y12" s="281"/>
      <c r="Z12" s="281"/>
      <c r="AA12" s="281"/>
      <c r="AB12" s="281"/>
      <c r="AC12" s="281"/>
      <c r="AD12" s="281"/>
      <c r="AE12" s="281"/>
      <c r="AF12" s="281"/>
      <c r="AG12" s="281"/>
      <c r="AH12" s="281"/>
      <c r="AI12" s="281"/>
      <c r="AJ12" s="281"/>
      <c r="AK12" s="281"/>
      <c r="AL12" s="281"/>
      <c r="AM12" s="281"/>
      <c r="AN12" s="281"/>
      <c r="AO12" s="281"/>
      <c r="AP12" s="281"/>
      <c r="AQ12" s="281"/>
      <c r="AR12" s="281"/>
      <c r="AS12" s="281"/>
      <c r="AT12" s="281"/>
      <c r="AU12" s="281"/>
      <c r="AV12" s="281"/>
      <c r="AW12" s="281"/>
      <c r="AX12" s="281"/>
      <c r="AY12" s="281"/>
      <c r="AZ12" s="281"/>
      <c r="BA12" s="281"/>
      <c r="BB12" s="281"/>
      <c r="BC12" s="281"/>
      <c r="BD12" s="281"/>
      <c r="BE12" s="281"/>
      <c r="BF12" s="281"/>
      <c r="BG12" s="281"/>
      <c r="BH12" s="281"/>
      <c r="BI12" s="281"/>
      <c r="BJ12" s="281"/>
      <c r="BK12" s="281"/>
      <c r="BL12" s="281"/>
      <c r="BM12" s="281"/>
      <c r="BN12" s="281"/>
      <c r="BO12" s="281"/>
      <c r="BP12" s="281"/>
      <c r="BQ12" s="281"/>
      <c r="BR12" s="281"/>
      <c r="BS12" s="281"/>
      <c r="BT12" s="281"/>
      <c r="BU12" s="281"/>
    </row>
    <row r="13" spans="1:73" s="283" customFormat="1" ht="25.5" customHeight="1" x14ac:dyDescent="0.25">
      <c r="A13" s="281" t="str">
        <f>Gantt!A7</f>
        <v>1.3</v>
      </c>
      <c r="B13" s="282" t="str">
        <f>Gantt!C7</f>
        <v>Implementazione del modulo GARI-GIS  per la gestione( nel contesto GIS) i dati importati dal SIAN relativi al PCG (nuovo sistema di riferimento wgs84)</v>
      </c>
      <c r="D13" s="284"/>
      <c r="E13" s="290">
        <f>Gantt!M7</f>
        <v>0</v>
      </c>
      <c r="F13" s="291">
        <f>Gantt!P7</f>
        <v>0</v>
      </c>
      <c r="G13" s="285">
        <f t="shared" si="11"/>
        <v>0</v>
      </c>
      <c r="H13" s="286">
        <f>Gantt!L7</f>
        <v>0</v>
      </c>
      <c r="I13" s="287" t="str">
        <f t="shared" si="10"/>
        <v xml:space="preserve"> - </v>
      </c>
      <c r="J13" s="288"/>
      <c r="K13" s="281"/>
      <c r="L13" s="281"/>
      <c r="M13" s="281"/>
      <c r="N13" s="281"/>
      <c r="O13" s="281"/>
      <c r="P13" s="281"/>
      <c r="Q13" s="281"/>
      <c r="R13" s="281"/>
      <c r="S13" s="281"/>
      <c r="T13" s="281"/>
      <c r="U13" s="281"/>
      <c r="V13" s="281"/>
      <c r="W13" s="281"/>
      <c r="X13" s="281"/>
      <c r="Y13" s="281"/>
      <c r="Z13" s="281"/>
      <c r="AA13" s="281"/>
      <c r="AB13" s="281"/>
      <c r="AC13" s="281"/>
      <c r="AD13" s="281"/>
      <c r="AE13" s="281"/>
      <c r="AF13" s="281"/>
      <c r="AG13" s="281"/>
      <c r="AH13" s="281"/>
      <c r="AI13" s="281"/>
      <c r="AJ13" s="281"/>
      <c r="AK13" s="281"/>
      <c r="AL13" s="281"/>
      <c r="AM13" s="281"/>
      <c r="AN13" s="281"/>
      <c r="AO13" s="281"/>
      <c r="AP13" s="281"/>
      <c r="AQ13" s="281"/>
      <c r="AR13" s="281"/>
      <c r="AS13" s="281"/>
      <c r="AT13" s="281"/>
      <c r="AU13" s="281"/>
      <c r="AV13" s="281"/>
      <c r="AW13" s="281"/>
      <c r="AX13" s="281"/>
      <c r="AY13" s="281"/>
      <c r="AZ13" s="281"/>
      <c r="BA13" s="281"/>
      <c r="BB13" s="281"/>
      <c r="BC13" s="281"/>
      <c r="BD13" s="281"/>
      <c r="BE13" s="281"/>
      <c r="BF13" s="281"/>
      <c r="BG13" s="281"/>
      <c r="BH13" s="281"/>
      <c r="BI13" s="281"/>
      <c r="BJ13" s="281"/>
      <c r="BK13" s="281"/>
      <c r="BL13" s="281"/>
      <c r="BM13" s="281"/>
      <c r="BN13" s="281"/>
      <c r="BO13" s="281"/>
      <c r="BP13" s="281"/>
      <c r="BQ13" s="281"/>
      <c r="BR13" s="281"/>
      <c r="BS13" s="281"/>
      <c r="BT13" s="281"/>
      <c r="BU13" s="281"/>
    </row>
    <row r="14" spans="1:73" s="283" customFormat="1" ht="25.5" customHeight="1" x14ac:dyDescent="0.25">
      <c r="A14" s="281" t="str">
        <f>Gantt!A8</f>
        <v>1.4</v>
      </c>
      <c r="B14" s="282" t="str">
        <f>Gantt!C8</f>
        <v>Gestione delle Anagrafiche (risorse , macchine, analisi terreno etc)</v>
      </c>
      <c r="D14" s="284"/>
      <c r="E14" s="290">
        <f>Gantt!M8</f>
        <v>0</v>
      </c>
      <c r="F14" s="291">
        <f>Gantt!P8</f>
        <v>0</v>
      </c>
      <c r="G14" s="285">
        <f t="shared" si="11"/>
        <v>0</v>
      </c>
      <c r="H14" s="286">
        <f>Gantt!L8</f>
        <v>0</v>
      </c>
      <c r="I14" s="287" t="str">
        <f t="shared" si="10"/>
        <v xml:space="preserve"> - </v>
      </c>
      <c r="J14" s="288"/>
      <c r="K14" s="281"/>
      <c r="L14" s="281"/>
      <c r="M14" s="281"/>
      <c r="N14" s="281"/>
      <c r="O14" s="281"/>
      <c r="P14" s="281"/>
      <c r="Q14" s="281"/>
      <c r="R14" s="281"/>
      <c r="S14" s="281"/>
      <c r="T14" s="281"/>
      <c r="U14" s="281"/>
      <c r="V14" s="281"/>
      <c r="W14" s="281"/>
      <c r="X14" s="281"/>
      <c r="Y14" s="281"/>
      <c r="Z14" s="281"/>
      <c r="AA14" s="281"/>
      <c r="AB14" s="281"/>
      <c r="AC14" s="281"/>
      <c r="AD14" s="281"/>
      <c r="AE14" s="281"/>
      <c r="AF14" s="281"/>
      <c r="AG14" s="281"/>
      <c r="AH14" s="281"/>
      <c r="AI14" s="281"/>
      <c r="AJ14" s="281"/>
      <c r="AK14" s="281"/>
      <c r="AL14" s="281"/>
      <c r="AM14" s="281"/>
      <c r="AN14" s="281"/>
      <c r="AO14" s="281"/>
      <c r="AP14" s="281"/>
      <c r="AQ14" s="281"/>
      <c r="AR14" s="281"/>
      <c r="AS14" s="281"/>
      <c r="AT14" s="281"/>
      <c r="AU14" s="281"/>
      <c r="AV14" s="281"/>
      <c r="AW14" s="281"/>
      <c r="AX14" s="281"/>
      <c r="AY14" s="281"/>
      <c r="AZ14" s="281"/>
      <c r="BA14" s="281"/>
      <c r="BB14" s="281"/>
      <c r="BC14" s="281"/>
      <c r="BD14" s="281"/>
      <c r="BE14" s="281"/>
      <c r="BF14" s="281"/>
      <c r="BG14" s="281"/>
      <c r="BH14" s="281"/>
      <c r="BI14" s="281"/>
      <c r="BJ14" s="281"/>
      <c r="BK14" s="281"/>
      <c r="BL14" s="281"/>
      <c r="BM14" s="281"/>
      <c r="BN14" s="281"/>
      <c r="BO14" s="281"/>
      <c r="BP14" s="281"/>
      <c r="BQ14" s="281"/>
      <c r="BR14" s="281"/>
      <c r="BS14" s="281"/>
      <c r="BT14" s="281"/>
      <c r="BU14" s="281"/>
    </row>
    <row r="15" spans="1:73" s="283" customFormat="1" ht="25.5" customHeight="1" x14ac:dyDescent="0.25">
      <c r="A15" s="281" t="str">
        <f>Gantt!A9</f>
        <v>1.5</v>
      </c>
      <c r="B15" s="282" t="str">
        <f>Gantt!C9</f>
        <v>Implementazione del Modulo di Gestione dei documenti funzionale ai moduli GARI (Evolutive, installazione, configurazione/setting e profilazione utenza)</v>
      </c>
      <c r="D15" s="284"/>
      <c r="E15" s="290">
        <f>Gantt!M9</f>
        <v>0</v>
      </c>
      <c r="F15" s="291">
        <f>Gantt!P9</f>
        <v>0</v>
      </c>
      <c r="G15" s="285">
        <f t="shared" si="11"/>
        <v>0</v>
      </c>
      <c r="H15" s="286">
        <f>Gantt!L9</f>
        <v>0</v>
      </c>
      <c r="I15" s="287" t="str">
        <f t="shared" si="10"/>
        <v xml:space="preserve"> - </v>
      </c>
      <c r="J15" s="288"/>
      <c r="K15" s="281"/>
      <c r="L15" s="281"/>
      <c r="M15" s="281"/>
      <c r="N15" s="281"/>
      <c r="O15" s="281"/>
      <c r="P15" s="281"/>
      <c r="Q15" s="281"/>
      <c r="R15" s="281"/>
      <c r="S15" s="281"/>
      <c r="T15" s="281"/>
      <c r="U15" s="281"/>
      <c r="V15" s="281"/>
      <c r="W15" s="281"/>
      <c r="X15" s="281"/>
      <c r="Y15" s="281"/>
      <c r="Z15" s="281"/>
      <c r="AA15" s="281"/>
      <c r="AB15" s="281"/>
      <c r="AC15" s="281"/>
      <c r="AD15" s="281"/>
      <c r="AE15" s="281"/>
      <c r="AF15" s="281"/>
      <c r="AG15" s="281"/>
      <c r="AH15" s="281"/>
      <c r="AI15" s="281"/>
      <c r="AJ15" s="281"/>
      <c r="AK15" s="281"/>
      <c r="AL15" s="281"/>
      <c r="AM15" s="281"/>
      <c r="AN15" s="281"/>
      <c r="AO15" s="281"/>
      <c r="AP15" s="281"/>
      <c r="AQ15" s="281"/>
      <c r="AR15" s="281"/>
      <c r="AS15" s="281"/>
      <c r="AT15" s="281"/>
      <c r="AU15" s="281"/>
      <c r="AV15" s="281"/>
      <c r="AW15" s="281"/>
      <c r="AX15" s="281"/>
      <c r="AY15" s="281"/>
      <c r="AZ15" s="281"/>
      <c r="BA15" s="281"/>
      <c r="BB15" s="281"/>
      <c r="BC15" s="281"/>
      <c r="BD15" s="281"/>
      <c r="BE15" s="281"/>
      <c r="BF15" s="281"/>
      <c r="BG15" s="281"/>
      <c r="BH15" s="281"/>
      <c r="BI15" s="281"/>
      <c r="BJ15" s="281"/>
      <c r="BK15" s="281"/>
      <c r="BL15" s="281"/>
      <c r="BM15" s="281"/>
      <c r="BN15" s="281"/>
      <c r="BO15" s="281"/>
      <c r="BP15" s="281"/>
      <c r="BQ15" s="281"/>
      <c r="BR15" s="281"/>
      <c r="BS15" s="281"/>
      <c r="BT15" s="281"/>
      <c r="BU15" s="281"/>
    </row>
    <row r="16" spans="1:73" s="283" customFormat="1" ht="25.5" customHeight="1" x14ac:dyDescent="0.25">
      <c r="A16" s="281">
        <f>Gantt!A10</f>
        <v>2</v>
      </c>
      <c r="B16" s="306" t="str">
        <f>Gantt!C10</f>
        <v>GARI PA - UMA</v>
      </c>
      <c r="C16" s="307"/>
      <c r="D16" s="308"/>
      <c r="E16" s="309"/>
      <c r="F16" s="310"/>
      <c r="G16" s="311"/>
      <c r="H16" s="312"/>
      <c r="I16" s="311"/>
      <c r="J16" s="288"/>
      <c r="K16" s="281"/>
      <c r="L16" s="281"/>
      <c r="M16" s="281"/>
      <c r="N16" s="281"/>
      <c r="O16" s="281"/>
      <c r="P16" s="281"/>
      <c r="Q16" s="281"/>
      <c r="R16" s="281"/>
      <c r="S16" s="281"/>
      <c r="T16" s="281"/>
      <c r="U16" s="281"/>
      <c r="V16" s="281"/>
      <c r="W16" s="281"/>
      <c r="X16" s="281"/>
      <c r="Y16" s="281"/>
      <c r="Z16" s="281"/>
      <c r="AA16" s="281"/>
      <c r="AB16" s="281"/>
      <c r="AC16" s="281"/>
      <c r="AD16" s="281"/>
      <c r="AE16" s="281"/>
      <c r="AF16" s="281"/>
      <c r="AG16" s="281"/>
      <c r="AH16" s="281"/>
      <c r="AI16" s="281"/>
      <c r="AJ16" s="281"/>
      <c r="AK16" s="281"/>
      <c r="AL16" s="281"/>
      <c r="AM16" s="281"/>
      <c r="AN16" s="281"/>
      <c r="AO16" s="281"/>
      <c r="AP16" s="281"/>
      <c r="AQ16" s="281"/>
      <c r="AR16" s="281"/>
      <c r="AS16" s="281"/>
      <c r="AT16" s="281"/>
      <c r="AU16" s="281"/>
      <c r="AV16" s="281"/>
      <c r="AW16" s="281"/>
      <c r="AX16" s="281"/>
      <c r="AY16" s="281"/>
      <c r="AZ16" s="281"/>
      <c r="BA16" s="281"/>
      <c r="BB16" s="281"/>
      <c r="BC16" s="281"/>
      <c r="BD16" s="281"/>
      <c r="BE16" s="281"/>
      <c r="BF16" s="281"/>
      <c r="BG16" s="281"/>
      <c r="BH16" s="281"/>
      <c r="BI16" s="281"/>
      <c r="BJ16" s="281"/>
      <c r="BK16" s="281"/>
      <c r="BL16" s="281"/>
      <c r="BM16" s="281"/>
      <c r="BN16" s="281"/>
      <c r="BO16" s="281"/>
      <c r="BP16" s="281"/>
      <c r="BQ16" s="281"/>
      <c r="BR16" s="281"/>
      <c r="BS16" s="281"/>
      <c r="BT16" s="281"/>
      <c r="BU16" s="281"/>
    </row>
    <row r="17" spans="1:73" s="283" customFormat="1" ht="25.5" customHeight="1" x14ac:dyDescent="0.25">
      <c r="A17" s="281" t="e">
        <f>Gantt!#REF!</f>
        <v>#REF!</v>
      </c>
      <c r="B17" s="282" t="e">
        <f>Gantt!#REF!</f>
        <v>#REF!</v>
      </c>
      <c r="D17" s="284"/>
      <c r="E17" s="290" t="e">
        <f>Gantt!#REF!</f>
        <v>#REF!</v>
      </c>
      <c r="F17" s="291" t="e">
        <f>Gantt!#REF!</f>
        <v>#REF!</v>
      </c>
      <c r="G17" s="285" t="e">
        <f t="shared" si="11"/>
        <v>#REF!</v>
      </c>
      <c r="H17" s="286" t="e">
        <f>Gantt!#REF!</f>
        <v>#REF!</v>
      </c>
      <c r="I17" s="287" t="e">
        <f t="shared" si="10"/>
        <v>#REF!</v>
      </c>
      <c r="J17" s="288"/>
      <c r="K17" s="281"/>
      <c r="L17" s="281"/>
      <c r="M17" s="281"/>
      <c r="N17" s="281"/>
      <c r="O17" s="281"/>
      <c r="P17" s="281"/>
      <c r="Q17" s="281"/>
      <c r="R17" s="281"/>
      <c r="S17" s="281"/>
      <c r="T17" s="281"/>
      <c r="U17" s="281"/>
      <c r="V17" s="281"/>
      <c r="W17" s="281"/>
      <c r="X17" s="281"/>
      <c r="Y17" s="281"/>
      <c r="Z17" s="281"/>
      <c r="AA17" s="281"/>
      <c r="AB17" s="281"/>
      <c r="AC17" s="281"/>
      <c r="AD17" s="281"/>
      <c r="AE17" s="281"/>
      <c r="AF17" s="281"/>
      <c r="AG17" s="281"/>
      <c r="AH17" s="281"/>
      <c r="AI17" s="281"/>
      <c r="AJ17" s="281"/>
      <c r="AK17" s="281"/>
      <c r="AL17" s="281"/>
      <c r="AM17" s="281"/>
      <c r="AN17" s="281"/>
      <c r="AO17" s="281"/>
      <c r="AP17" s="281"/>
      <c r="AQ17" s="281"/>
      <c r="AR17" s="281"/>
      <c r="AS17" s="281"/>
      <c r="AT17" s="281"/>
      <c r="AU17" s="281"/>
      <c r="AV17" s="281"/>
      <c r="AW17" s="281"/>
      <c r="AX17" s="281"/>
      <c r="AY17" s="281"/>
      <c r="AZ17" s="281"/>
      <c r="BA17" s="281"/>
      <c r="BB17" s="281"/>
      <c r="BC17" s="281"/>
      <c r="BD17" s="281"/>
      <c r="BE17" s="281"/>
      <c r="BF17" s="281"/>
      <c r="BG17" s="281"/>
      <c r="BH17" s="281"/>
      <c r="BI17" s="281"/>
      <c r="BJ17" s="281"/>
      <c r="BK17" s="281"/>
      <c r="BL17" s="281"/>
      <c r="BM17" s="281"/>
      <c r="BN17" s="281"/>
      <c r="BO17" s="281"/>
      <c r="BP17" s="281"/>
      <c r="BQ17" s="281"/>
      <c r="BR17" s="281"/>
      <c r="BS17" s="281"/>
      <c r="BT17" s="281"/>
      <c r="BU17" s="281"/>
    </row>
    <row r="18" spans="1:73" s="283" customFormat="1" ht="25.5" customHeight="1" x14ac:dyDescent="0.25">
      <c r="A18" s="281" t="e">
        <f>Gantt!#REF!</f>
        <v>#REF!</v>
      </c>
      <c r="B18" s="282" t="e">
        <f>Gantt!#REF!</f>
        <v>#REF!</v>
      </c>
      <c r="D18" s="284"/>
      <c r="E18" s="290" t="e">
        <f>Gantt!#REF!</f>
        <v>#REF!</v>
      </c>
      <c r="F18" s="291" t="e">
        <f>Gantt!#REF!</f>
        <v>#REF!</v>
      </c>
      <c r="G18" s="285" t="e">
        <f t="shared" si="11"/>
        <v>#REF!</v>
      </c>
      <c r="H18" s="286" t="e">
        <f>Gantt!#REF!</f>
        <v>#REF!</v>
      </c>
      <c r="I18" s="287" t="e">
        <f t="shared" ref="I18:I19" si="12">IF(OR(F18=0,E18=0)," - ",NETWORKDAYS(E18,F18))</f>
        <v>#REF!</v>
      </c>
      <c r="J18" s="288"/>
      <c r="K18" s="281"/>
      <c r="L18" s="281"/>
      <c r="M18" s="281"/>
      <c r="N18" s="281"/>
      <c r="O18" s="281"/>
      <c r="P18" s="281"/>
      <c r="Q18" s="281"/>
      <c r="R18" s="281"/>
      <c r="S18" s="281"/>
      <c r="T18" s="281"/>
      <c r="U18" s="281"/>
      <c r="V18" s="281"/>
      <c r="W18" s="281"/>
      <c r="X18" s="281"/>
      <c r="Y18" s="281"/>
      <c r="Z18" s="281"/>
      <c r="AA18" s="281"/>
      <c r="AB18" s="281"/>
      <c r="AC18" s="281"/>
      <c r="AD18" s="281"/>
      <c r="AE18" s="281"/>
      <c r="AF18" s="281"/>
      <c r="AG18" s="281"/>
      <c r="AH18" s="281"/>
      <c r="AI18" s="281"/>
      <c r="AJ18" s="281"/>
      <c r="AK18" s="281"/>
      <c r="AL18" s="281"/>
      <c r="AM18" s="281"/>
      <c r="AN18" s="281"/>
      <c r="AO18" s="281"/>
      <c r="AP18" s="281"/>
      <c r="AQ18" s="281"/>
      <c r="AR18" s="281"/>
      <c r="AS18" s="281"/>
      <c r="AT18" s="281"/>
      <c r="AU18" s="281"/>
      <c r="AV18" s="281"/>
      <c r="AW18" s="281"/>
      <c r="AX18" s="281"/>
      <c r="AY18" s="281"/>
      <c r="AZ18" s="281"/>
      <c r="BA18" s="281"/>
      <c r="BB18" s="281"/>
      <c r="BC18" s="281"/>
      <c r="BD18" s="281"/>
      <c r="BE18" s="281"/>
      <c r="BF18" s="281"/>
      <c r="BG18" s="281"/>
      <c r="BH18" s="281"/>
      <c r="BI18" s="281"/>
      <c r="BJ18" s="281"/>
      <c r="BK18" s="281"/>
      <c r="BL18" s="281"/>
      <c r="BM18" s="281"/>
      <c r="BN18" s="281"/>
      <c r="BO18" s="281"/>
      <c r="BP18" s="281"/>
      <c r="BQ18" s="281"/>
      <c r="BR18" s="281"/>
      <c r="BS18" s="281"/>
      <c r="BT18" s="281"/>
      <c r="BU18" s="281"/>
    </row>
    <row r="19" spans="1:73" s="283" customFormat="1" ht="25.5" customHeight="1" x14ac:dyDescent="0.25">
      <c r="A19" s="281" t="e">
        <f>Gantt!#REF!</f>
        <v>#REF!</v>
      </c>
      <c r="B19" s="282" t="e">
        <f>Gantt!#REF!</f>
        <v>#REF!</v>
      </c>
      <c r="D19" s="284"/>
      <c r="E19" s="290" t="e">
        <f>Gantt!#REF!</f>
        <v>#REF!</v>
      </c>
      <c r="F19" s="291" t="e">
        <f>Gantt!#REF!</f>
        <v>#REF!</v>
      </c>
      <c r="G19" s="285" t="e">
        <f t="shared" si="11"/>
        <v>#REF!</v>
      </c>
      <c r="H19" s="286" t="e">
        <f>Gantt!#REF!</f>
        <v>#REF!</v>
      </c>
      <c r="I19" s="287" t="e">
        <f t="shared" si="12"/>
        <v>#REF!</v>
      </c>
      <c r="J19" s="288"/>
      <c r="K19" s="281"/>
      <c r="L19" s="281"/>
      <c r="M19" s="281"/>
      <c r="N19" s="281"/>
      <c r="O19" s="281"/>
      <c r="P19" s="281"/>
      <c r="Q19" s="281"/>
      <c r="R19" s="281"/>
      <c r="S19" s="281"/>
      <c r="T19" s="281"/>
      <c r="U19" s="281"/>
      <c r="V19" s="281"/>
      <c r="W19" s="281"/>
      <c r="X19" s="281"/>
      <c r="Y19" s="281"/>
      <c r="Z19" s="281"/>
      <c r="AA19" s="281"/>
      <c r="AB19" s="281"/>
      <c r="AC19" s="281"/>
      <c r="AD19" s="281"/>
      <c r="AE19" s="281"/>
      <c r="AF19" s="281"/>
      <c r="AG19" s="281"/>
      <c r="AH19" s="281"/>
      <c r="AI19" s="281"/>
      <c r="AJ19" s="281"/>
      <c r="AK19" s="281"/>
      <c r="AL19" s="281"/>
      <c r="AM19" s="281"/>
      <c r="AN19" s="281"/>
      <c r="AO19" s="281"/>
      <c r="AP19" s="281"/>
      <c r="AQ19" s="281"/>
      <c r="AR19" s="281"/>
      <c r="AS19" s="281"/>
      <c r="AT19" s="281"/>
      <c r="AU19" s="281"/>
      <c r="AV19" s="281"/>
      <c r="AW19" s="281"/>
      <c r="AX19" s="281"/>
      <c r="AY19" s="281"/>
      <c r="AZ19" s="281"/>
      <c r="BA19" s="281"/>
      <c r="BB19" s="281"/>
      <c r="BC19" s="281"/>
      <c r="BD19" s="281"/>
      <c r="BE19" s="281"/>
      <c r="BF19" s="281"/>
      <c r="BG19" s="281"/>
      <c r="BH19" s="281"/>
      <c r="BI19" s="281"/>
      <c r="BJ19" s="281"/>
      <c r="BK19" s="281"/>
      <c r="BL19" s="281"/>
      <c r="BM19" s="281"/>
      <c r="BN19" s="281"/>
      <c r="BO19" s="281"/>
      <c r="BP19" s="281"/>
      <c r="BQ19" s="281"/>
      <c r="BR19" s="281"/>
      <c r="BS19" s="281"/>
      <c r="BT19" s="281"/>
      <c r="BU19" s="281"/>
    </row>
    <row r="20" spans="1:73" s="283" customFormat="1" ht="25.5" customHeight="1" x14ac:dyDescent="0.25">
      <c r="A20" s="281" t="e">
        <f>Gantt!#REF!</f>
        <v>#REF!</v>
      </c>
      <c r="B20" s="282" t="e">
        <f>Gantt!#REF!</f>
        <v>#REF!</v>
      </c>
      <c r="D20" s="284"/>
      <c r="E20" s="290" t="e">
        <f>Gantt!#REF!</f>
        <v>#REF!</v>
      </c>
      <c r="F20" s="291" t="e">
        <f>Gantt!#REF!</f>
        <v>#REF!</v>
      </c>
      <c r="G20" s="285" t="e">
        <f t="shared" si="11"/>
        <v>#REF!</v>
      </c>
      <c r="H20" s="286" t="e">
        <f>Gantt!#REF!</f>
        <v>#REF!</v>
      </c>
      <c r="I20" s="287" t="e">
        <f t="shared" ref="I20:I22" si="13">IF(OR(F20=0,E20=0)," - ",NETWORKDAYS(E20,F20))</f>
        <v>#REF!</v>
      </c>
      <c r="J20" s="288"/>
      <c r="K20" s="281"/>
      <c r="L20" s="281"/>
      <c r="M20" s="281"/>
      <c r="N20" s="281"/>
      <c r="O20" s="281"/>
      <c r="P20" s="281"/>
      <c r="Q20" s="281"/>
      <c r="R20" s="281"/>
      <c r="S20" s="281"/>
      <c r="T20" s="281"/>
      <c r="U20" s="281"/>
      <c r="V20" s="281"/>
      <c r="W20" s="281"/>
      <c r="X20" s="281"/>
      <c r="Y20" s="281"/>
      <c r="Z20" s="281"/>
      <c r="AA20" s="281"/>
      <c r="AB20" s="281"/>
      <c r="AC20" s="281"/>
      <c r="AD20" s="281"/>
      <c r="AE20" s="281"/>
      <c r="AF20" s="281"/>
      <c r="AG20" s="281"/>
      <c r="AH20" s="281"/>
      <c r="AI20" s="281"/>
      <c r="AJ20" s="281"/>
      <c r="AK20" s="281"/>
      <c r="AL20" s="281"/>
      <c r="AM20" s="281"/>
      <c r="AN20" s="281"/>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1"/>
      <c r="BK20" s="281"/>
      <c r="BL20" s="281"/>
      <c r="BM20" s="281"/>
      <c r="BN20" s="281"/>
      <c r="BO20" s="281"/>
      <c r="BP20" s="281"/>
      <c r="BQ20" s="281"/>
      <c r="BR20" s="281"/>
      <c r="BS20" s="281"/>
      <c r="BT20" s="281"/>
      <c r="BU20" s="281"/>
    </row>
    <row r="21" spans="1:73" s="283" customFormat="1" ht="25.5" customHeight="1" x14ac:dyDescent="0.25">
      <c r="A21" s="281" t="e">
        <f>Gantt!#REF!</f>
        <v>#REF!</v>
      </c>
      <c r="B21" s="282" t="e">
        <f>Gantt!#REF!</f>
        <v>#REF!</v>
      </c>
      <c r="D21" s="284"/>
      <c r="E21" s="290" t="e">
        <f>Gantt!#REF!</f>
        <v>#REF!</v>
      </c>
      <c r="F21" s="291" t="e">
        <f>Gantt!#REF!</f>
        <v>#REF!</v>
      </c>
      <c r="G21" s="285" t="e">
        <f t="shared" si="11"/>
        <v>#REF!</v>
      </c>
      <c r="H21" s="286" t="e">
        <f>Gantt!#REF!</f>
        <v>#REF!</v>
      </c>
      <c r="I21" s="287" t="e">
        <f t="shared" si="13"/>
        <v>#REF!</v>
      </c>
      <c r="J21" s="288"/>
      <c r="K21" s="281"/>
      <c r="L21" s="281"/>
      <c r="M21" s="281"/>
      <c r="N21" s="281"/>
      <c r="O21" s="281"/>
      <c r="P21" s="281"/>
      <c r="Q21" s="281"/>
      <c r="R21" s="281"/>
      <c r="S21" s="281"/>
      <c r="T21" s="281"/>
      <c r="U21" s="281"/>
      <c r="V21" s="281"/>
      <c r="W21" s="281"/>
      <c r="X21" s="281"/>
      <c r="Y21" s="281"/>
      <c r="Z21" s="281"/>
      <c r="AA21" s="281"/>
      <c r="AB21" s="281"/>
      <c r="AC21" s="281"/>
      <c r="AD21" s="281"/>
      <c r="AE21" s="281"/>
      <c r="AF21" s="281"/>
      <c r="AG21" s="281"/>
      <c r="AH21" s="281"/>
      <c r="AI21" s="281"/>
      <c r="AJ21" s="281"/>
      <c r="AK21" s="281"/>
      <c r="AL21" s="281"/>
      <c r="AM21" s="281"/>
      <c r="AN21" s="281"/>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1"/>
      <c r="BK21" s="281"/>
      <c r="BL21" s="281"/>
      <c r="BM21" s="281"/>
      <c r="BN21" s="281"/>
      <c r="BO21" s="281"/>
      <c r="BP21" s="281"/>
      <c r="BQ21" s="281"/>
      <c r="BR21" s="281"/>
      <c r="BS21" s="281"/>
      <c r="BT21" s="281"/>
      <c r="BU21" s="281"/>
    </row>
    <row r="22" spans="1:73" s="283" customFormat="1" ht="25.5" customHeight="1" x14ac:dyDescent="0.25">
      <c r="A22" s="281" t="str">
        <f>Gantt!A12</f>
        <v>2.7</v>
      </c>
      <c r="B22" s="282" t="str">
        <f>Gantt!C12</f>
        <v>UMA  Evolutive scheda intervento</v>
      </c>
      <c r="D22" s="284"/>
      <c r="E22" s="290">
        <f>Gantt!M12</f>
        <v>0</v>
      </c>
      <c r="F22" s="291">
        <f>Gantt!P12</f>
        <v>0</v>
      </c>
      <c r="G22" s="285">
        <f t="shared" si="11"/>
        <v>0</v>
      </c>
      <c r="H22" s="286">
        <f>Gantt!L12</f>
        <v>0</v>
      </c>
      <c r="I22" s="287" t="str">
        <f t="shared" si="13"/>
        <v xml:space="preserve"> - </v>
      </c>
      <c r="J22" s="288"/>
      <c r="K22" s="281"/>
      <c r="L22" s="281"/>
      <c r="M22" s="281"/>
      <c r="N22" s="281"/>
      <c r="O22" s="281"/>
      <c r="P22" s="281"/>
      <c r="Q22" s="281"/>
      <c r="R22" s="281"/>
      <c r="S22" s="281"/>
      <c r="T22" s="281"/>
      <c r="U22" s="281"/>
      <c r="V22" s="281"/>
      <c r="W22" s="281"/>
      <c r="X22" s="281"/>
      <c r="Y22" s="281"/>
      <c r="Z22" s="281"/>
      <c r="AA22" s="281"/>
      <c r="AB22" s="281"/>
      <c r="AC22" s="281"/>
      <c r="AD22" s="281"/>
      <c r="AE22" s="281"/>
      <c r="AF22" s="281"/>
      <c r="AG22" s="281"/>
      <c r="AH22" s="281"/>
      <c r="AI22" s="281"/>
      <c r="AJ22" s="281"/>
      <c r="AK22" s="281"/>
      <c r="AL22" s="281"/>
      <c r="AM22" s="281"/>
      <c r="AN22" s="281"/>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1"/>
      <c r="BK22" s="281"/>
      <c r="BL22" s="281"/>
      <c r="BM22" s="281"/>
      <c r="BN22" s="281"/>
      <c r="BO22" s="281"/>
      <c r="BP22" s="281"/>
      <c r="BQ22" s="281"/>
      <c r="BR22" s="281"/>
      <c r="BS22" s="281"/>
      <c r="BT22" s="281"/>
      <c r="BU22" s="281"/>
    </row>
    <row r="23" spans="1:73" s="283" customFormat="1" ht="25.5" customHeight="1" x14ac:dyDescent="0.25">
      <c r="A23" s="281">
        <f>Gantt!A13</f>
        <v>3</v>
      </c>
      <c r="B23" s="306" t="str">
        <f>Gantt!C13</f>
        <v>GARI PUA</v>
      </c>
      <c r="C23" s="307"/>
      <c r="D23" s="308"/>
      <c r="E23" s="309"/>
      <c r="F23" s="310"/>
      <c r="G23" s="311"/>
      <c r="H23" s="312"/>
      <c r="I23" s="311"/>
      <c r="J23" s="288"/>
      <c r="K23" s="281"/>
      <c r="L23" s="281"/>
      <c r="M23" s="281"/>
      <c r="N23" s="281"/>
      <c r="O23" s="281"/>
      <c r="P23" s="281"/>
      <c r="Q23" s="281"/>
      <c r="R23" s="281"/>
      <c r="S23" s="281"/>
      <c r="T23" s="281"/>
      <c r="U23" s="281"/>
      <c r="V23" s="281"/>
      <c r="W23" s="281"/>
      <c r="X23" s="281"/>
      <c r="Y23" s="281"/>
      <c r="Z23" s="281"/>
      <c r="AA23" s="281"/>
      <c r="AB23" s="281"/>
      <c r="AC23" s="281"/>
      <c r="AD23" s="281"/>
      <c r="AE23" s="281"/>
      <c r="AF23" s="281"/>
      <c r="AG23" s="281"/>
      <c r="AH23" s="281"/>
      <c r="AI23" s="281"/>
      <c r="AJ23" s="281"/>
      <c r="AK23" s="281"/>
      <c r="AL23" s="281"/>
      <c r="AM23" s="281"/>
      <c r="AN23" s="281"/>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1"/>
      <c r="BK23" s="281"/>
      <c r="BL23" s="281"/>
      <c r="BM23" s="281"/>
      <c r="BN23" s="281"/>
      <c r="BO23" s="281"/>
      <c r="BP23" s="281"/>
      <c r="BQ23" s="281"/>
      <c r="BR23" s="281"/>
      <c r="BS23" s="281"/>
      <c r="BT23" s="281"/>
      <c r="BU23" s="281"/>
    </row>
    <row r="24" spans="1:73" s="283" customFormat="1" ht="25.5" customHeight="1" x14ac:dyDescent="0.25">
      <c r="A24" s="281" t="str">
        <f>Gantt!A14</f>
        <v>3.1</v>
      </c>
      <c r="B24" s="282" t="str">
        <f>Gantt!C14</f>
        <v>GARI-PUA Re-ingegnerizzazione della piattaforma GIAS per implementare la nuova piattaforma GARI su nuove tecnologie ( i.e  tecnologia Angular)</v>
      </c>
      <c r="D24" s="284"/>
      <c r="E24" s="290">
        <f>Gantt!M14</f>
        <v>0</v>
      </c>
      <c r="F24" s="291">
        <f>Gantt!P14</f>
        <v>0</v>
      </c>
      <c r="G24" s="285">
        <f t="shared" si="11"/>
        <v>0</v>
      </c>
      <c r="H24" s="286">
        <f>Gantt!L14</f>
        <v>0</v>
      </c>
      <c r="I24" s="287" t="str">
        <f t="shared" ref="I24" si="14">IF(OR(F24=0,E24=0)," - ",NETWORKDAYS(E24,F24))</f>
        <v xml:space="preserve"> - </v>
      </c>
      <c r="J24" s="288"/>
      <c r="K24" s="281"/>
      <c r="L24" s="281"/>
      <c r="M24" s="281"/>
      <c r="N24" s="281"/>
      <c r="O24" s="281"/>
      <c r="P24" s="281"/>
      <c r="Q24" s="281"/>
      <c r="R24" s="281"/>
      <c r="S24" s="281"/>
      <c r="T24" s="281"/>
      <c r="U24" s="281"/>
      <c r="V24" s="281"/>
      <c r="W24" s="281"/>
      <c r="X24" s="281"/>
      <c r="Y24" s="281"/>
      <c r="Z24" s="281"/>
      <c r="AA24" s="281"/>
      <c r="AB24" s="281"/>
      <c r="AC24" s="281"/>
      <c r="AD24" s="281"/>
      <c r="AE24" s="281"/>
      <c r="AF24" s="281"/>
      <c r="AG24" s="281"/>
      <c r="AH24" s="281"/>
      <c r="AI24" s="281"/>
      <c r="AJ24" s="281"/>
      <c r="AK24" s="281"/>
      <c r="AL24" s="281"/>
      <c r="AM24" s="281"/>
      <c r="AN24" s="281"/>
      <c r="AO24" s="281"/>
      <c r="AP24" s="281"/>
      <c r="AQ24" s="281"/>
      <c r="AR24" s="281"/>
      <c r="AS24" s="281"/>
      <c r="AT24" s="281"/>
      <c r="AU24" s="281"/>
      <c r="AV24" s="281"/>
      <c r="AW24" s="281"/>
      <c r="AX24" s="281"/>
      <c r="AY24" s="281"/>
      <c r="AZ24" s="281"/>
      <c r="BA24" s="281"/>
      <c r="BB24" s="281"/>
      <c r="BC24" s="281"/>
      <c r="BD24" s="281"/>
      <c r="BE24" s="281"/>
      <c r="BF24" s="281"/>
      <c r="BG24" s="281"/>
      <c r="BH24" s="281"/>
      <c r="BI24" s="281"/>
      <c r="BJ24" s="281"/>
      <c r="BK24" s="281"/>
      <c r="BL24" s="281"/>
      <c r="BM24" s="281"/>
      <c r="BN24" s="281"/>
      <c r="BO24" s="281"/>
      <c r="BP24" s="281"/>
      <c r="BQ24" s="281"/>
      <c r="BR24" s="281"/>
      <c r="BS24" s="281"/>
      <c r="BT24" s="281"/>
      <c r="BU24" s="281"/>
    </row>
    <row r="25" spans="1:73" s="283" customFormat="1" ht="25.5" customHeight="1" x14ac:dyDescent="0.25">
      <c r="A25" s="281" t="str">
        <f>Gantt!A15</f>
        <v>3.2</v>
      </c>
      <c r="B25" s="282" t="str">
        <f>Gantt!C15</f>
        <v xml:space="preserve">Nuovo Modulo PUA incluso la interoperabilità con ACA per le 04 13 e 24 - Fase1 </v>
      </c>
      <c r="D25" s="284"/>
      <c r="E25" s="290">
        <f>Gantt!M15</f>
        <v>0</v>
      </c>
      <c r="F25" s="291">
        <f>Gantt!P15</f>
        <v>0</v>
      </c>
      <c r="G25" s="285">
        <f t="shared" si="11"/>
        <v>0</v>
      </c>
      <c r="H25" s="286">
        <f>Gantt!L15</f>
        <v>0</v>
      </c>
      <c r="I25" s="287" t="str">
        <f t="shared" ref="I25:I26" si="15">IF(OR(F25=0,E25=0)," - ",NETWORKDAYS(E25,F25))</f>
        <v xml:space="preserve"> - </v>
      </c>
      <c r="J25" s="288"/>
      <c r="K25" s="281"/>
      <c r="L25" s="281"/>
      <c r="M25" s="281"/>
      <c r="N25" s="281"/>
      <c r="O25" s="281"/>
      <c r="P25" s="281"/>
      <c r="Q25" s="281"/>
      <c r="R25" s="281"/>
      <c r="S25" s="281"/>
      <c r="T25" s="281"/>
      <c r="U25" s="281"/>
      <c r="V25" s="281"/>
      <c r="W25" s="281"/>
      <c r="X25" s="281"/>
      <c r="Y25" s="281"/>
      <c r="Z25" s="281"/>
      <c r="AA25" s="281"/>
      <c r="AB25" s="281"/>
      <c r="AC25" s="281"/>
      <c r="AD25" s="281"/>
      <c r="AE25" s="281"/>
      <c r="AF25" s="281"/>
      <c r="AG25" s="281"/>
      <c r="AH25" s="281"/>
      <c r="AI25" s="281"/>
      <c r="AJ25" s="281"/>
      <c r="AK25" s="281"/>
      <c r="AL25" s="281"/>
      <c r="AM25" s="281"/>
      <c r="AN25" s="281"/>
      <c r="AO25" s="281"/>
      <c r="AP25" s="281"/>
      <c r="AQ25" s="281"/>
      <c r="AR25" s="281"/>
      <c r="AS25" s="281"/>
      <c r="AT25" s="281"/>
      <c r="AU25" s="281"/>
      <c r="AV25" s="281"/>
      <c r="AW25" s="281"/>
      <c r="AX25" s="281"/>
      <c r="AY25" s="281"/>
      <c r="AZ25" s="281"/>
      <c r="BA25" s="281"/>
      <c r="BB25" s="281"/>
      <c r="BC25" s="281"/>
      <c r="BD25" s="281"/>
      <c r="BE25" s="281"/>
      <c r="BF25" s="281"/>
      <c r="BG25" s="281"/>
      <c r="BH25" s="281"/>
      <c r="BI25" s="281"/>
      <c r="BJ25" s="281"/>
      <c r="BK25" s="281"/>
      <c r="BL25" s="281"/>
      <c r="BM25" s="281"/>
      <c r="BN25" s="281"/>
      <c r="BO25" s="281"/>
      <c r="BP25" s="281"/>
      <c r="BQ25" s="281"/>
      <c r="BR25" s="281"/>
      <c r="BS25" s="281"/>
      <c r="BT25" s="281"/>
      <c r="BU25" s="281"/>
    </row>
    <row r="26" spans="1:73" s="283" customFormat="1" ht="25.5" customHeight="1" x14ac:dyDescent="0.25">
      <c r="A26" s="281" t="str">
        <f>Gantt!A16</f>
        <v>3.3</v>
      </c>
      <c r="B26" s="282" t="str">
        <f>Gantt!C16</f>
        <v>Nuovo Modulo PUA collegamento e funzionamento su base PCG - Fase2</v>
      </c>
      <c r="D26" s="284"/>
      <c r="E26" s="290">
        <f>Gantt!M16</f>
        <v>0</v>
      </c>
      <c r="F26" s="291">
        <f>Gantt!P16</f>
        <v>0</v>
      </c>
      <c r="G26" s="285">
        <f t="shared" si="11"/>
        <v>0</v>
      </c>
      <c r="H26" s="286">
        <f>Gantt!L16</f>
        <v>0</v>
      </c>
      <c r="I26" s="287" t="str">
        <f t="shared" si="15"/>
        <v xml:space="preserve"> - </v>
      </c>
      <c r="J26" s="288"/>
      <c r="K26" s="281"/>
      <c r="L26" s="281"/>
      <c r="M26" s="281"/>
      <c r="N26" s="281"/>
      <c r="O26" s="281"/>
      <c r="P26" s="281"/>
      <c r="Q26" s="281"/>
      <c r="R26" s="281"/>
      <c r="S26" s="281"/>
      <c r="T26" s="281"/>
      <c r="U26" s="281"/>
      <c r="V26" s="281"/>
      <c r="W26" s="281"/>
      <c r="X26" s="281"/>
      <c r="Y26" s="281"/>
      <c r="Z26" s="281"/>
      <c r="AA26" s="281"/>
      <c r="AB26" s="281"/>
      <c r="AC26" s="281"/>
      <c r="AD26" s="281"/>
      <c r="AE26" s="281"/>
      <c r="AF26" s="281"/>
      <c r="AG26" s="281"/>
      <c r="AH26" s="281"/>
      <c r="AI26" s="281"/>
      <c r="AJ26" s="281"/>
      <c r="AK26" s="281"/>
      <c r="AL26" s="281"/>
      <c r="AM26" s="281"/>
      <c r="AN26" s="281"/>
      <c r="AO26" s="281"/>
      <c r="AP26" s="281"/>
      <c r="AQ26" s="281"/>
      <c r="AR26" s="281"/>
      <c r="AS26" s="281"/>
      <c r="AT26" s="281"/>
      <c r="AU26" s="281"/>
      <c r="AV26" s="281"/>
      <c r="AW26" s="281"/>
      <c r="AX26" s="281"/>
      <c r="AY26" s="281"/>
      <c r="AZ26" s="281"/>
      <c r="BA26" s="281"/>
      <c r="BB26" s="281"/>
      <c r="BC26" s="281"/>
      <c r="BD26" s="281"/>
      <c r="BE26" s="281"/>
      <c r="BF26" s="281"/>
      <c r="BG26" s="281"/>
      <c r="BH26" s="281"/>
      <c r="BI26" s="281"/>
      <c r="BJ26" s="281"/>
      <c r="BK26" s="281"/>
      <c r="BL26" s="281"/>
      <c r="BM26" s="281"/>
      <c r="BN26" s="281"/>
      <c r="BO26" s="281"/>
      <c r="BP26" s="281"/>
      <c r="BQ26" s="281"/>
      <c r="BR26" s="281"/>
      <c r="BS26" s="281"/>
      <c r="BT26" s="281"/>
      <c r="BU26" s="281"/>
    </row>
    <row r="27" spans="1:73" s="283" customFormat="1" ht="25.5" customHeight="1" x14ac:dyDescent="0.25">
      <c r="A27" s="281">
        <f>Gantt!A17</f>
        <v>4</v>
      </c>
      <c r="B27" s="306" t="str">
        <f>Gantt!C17</f>
        <v>GARI - QDCA</v>
      </c>
      <c r="C27" s="307"/>
      <c r="D27" s="308"/>
      <c r="E27" s="309"/>
      <c r="F27" s="310"/>
      <c r="G27" s="311"/>
      <c r="H27" s="312"/>
      <c r="I27" s="311"/>
      <c r="J27" s="288"/>
      <c r="K27" s="281"/>
      <c r="L27" s="281"/>
      <c r="M27" s="281"/>
      <c r="N27" s="281"/>
      <c r="O27" s="281"/>
      <c r="P27" s="281"/>
      <c r="Q27" s="281"/>
      <c r="R27" s="281"/>
      <c r="S27" s="281"/>
      <c r="T27" s="281"/>
      <c r="U27" s="281"/>
      <c r="V27" s="281"/>
      <c r="W27" s="281"/>
      <c r="X27" s="281"/>
      <c r="Y27" s="281"/>
      <c r="Z27" s="281"/>
      <c r="AA27" s="281"/>
      <c r="AB27" s="281"/>
      <c r="AC27" s="281"/>
      <c r="AD27" s="281"/>
      <c r="AE27" s="281"/>
      <c r="AF27" s="281"/>
      <c r="AG27" s="281"/>
      <c r="AH27" s="281"/>
      <c r="AI27" s="281"/>
      <c r="AJ27" s="281"/>
      <c r="AK27" s="281"/>
      <c r="AL27" s="281"/>
      <c r="AM27" s="281"/>
      <c r="AN27" s="281"/>
      <c r="AO27" s="281"/>
      <c r="AP27" s="281"/>
      <c r="AQ27" s="281"/>
      <c r="AR27" s="281"/>
      <c r="AS27" s="281"/>
      <c r="AT27" s="281"/>
      <c r="AU27" s="281"/>
      <c r="AV27" s="281"/>
      <c r="AW27" s="281"/>
      <c r="AX27" s="281"/>
      <c r="AY27" s="281"/>
      <c r="AZ27" s="281"/>
      <c r="BA27" s="281"/>
      <c r="BB27" s="281"/>
      <c r="BC27" s="281"/>
      <c r="BD27" s="281"/>
      <c r="BE27" s="281"/>
      <c r="BF27" s="281"/>
      <c r="BG27" s="281"/>
      <c r="BH27" s="281"/>
      <c r="BI27" s="281"/>
      <c r="BJ27" s="281"/>
      <c r="BK27" s="281"/>
      <c r="BL27" s="281"/>
      <c r="BM27" s="281"/>
      <c r="BN27" s="281"/>
      <c r="BO27" s="281"/>
      <c r="BP27" s="281"/>
      <c r="BQ27" s="281"/>
      <c r="BR27" s="281"/>
      <c r="BS27" s="281"/>
      <c r="BT27" s="281"/>
      <c r="BU27" s="281"/>
    </row>
    <row r="28" spans="1:73" s="283" customFormat="1" ht="25.5" customHeight="1" x14ac:dyDescent="0.25">
      <c r="A28" s="281" t="str">
        <f>Gantt!A18</f>
        <v>4.1</v>
      </c>
      <c r="B28" s="282" t="str">
        <f>Gantt!C18</f>
        <v>QCDA-Re-ingegnerizzazione della piattaforma GIAS per implementare la nuova piattaforma GARI su nuove tecnologie ( i.e  tecnologia Angular)</v>
      </c>
      <c r="D28" s="284"/>
      <c r="E28" s="290">
        <f>Gantt!M18</f>
        <v>0</v>
      </c>
      <c r="F28" s="291">
        <f>Gantt!P18</f>
        <v>0</v>
      </c>
      <c r="G28" s="285">
        <f t="shared" si="11"/>
        <v>0</v>
      </c>
      <c r="H28" s="286">
        <f>Gantt!L18</f>
        <v>0</v>
      </c>
      <c r="I28" s="287" t="str">
        <f t="shared" ref="I28:I30" si="16">IF(OR(F28=0,E28=0)," - ",NETWORKDAYS(E28,F28))</f>
        <v xml:space="preserve"> - </v>
      </c>
      <c r="J28" s="288"/>
      <c r="K28" s="281"/>
      <c r="L28" s="281"/>
      <c r="M28" s="281"/>
      <c r="N28" s="281"/>
      <c r="O28" s="281"/>
      <c r="P28" s="281"/>
      <c r="Q28" s="281"/>
      <c r="R28" s="281"/>
      <c r="S28" s="281"/>
      <c r="T28" s="281"/>
      <c r="U28" s="281"/>
      <c r="V28" s="281"/>
      <c r="W28" s="281"/>
      <c r="X28" s="281"/>
      <c r="Y28" s="281"/>
      <c r="Z28" s="281"/>
      <c r="AA28" s="281"/>
      <c r="AB28" s="281"/>
      <c r="AC28" s="281"/>
      <c r="AD28" s="281"/>
      <c r="AE28" s="281"/>
      <c r="AF28" s="281"/>
      <c r="AG28" s="281"/>
      <c r="AH28" s="281"/>
      <c r="AI28" s="281"/>
      <c r="AJ28" s="281"/>
      <c r="AK28" s="281"/>
      <c r="AL28" s="281"/>
      <c r="AM28" s="281"/>
      <c r="AN28" s="281"/>
      <c r="AO28" s="281"/>
      <c r="AP28" s="281"/>
      <c r="AQ28" s="281"/>
      <c r="AR28" s="281"/>
      <c r="AS28" s="281"/>
      <c r="AT28" s="281"/>
      <c r="AU28" s="281"/>
      <c r="AV28" s="281"/>
      <c r="AW28" s="281"/>
      <c r="AX28" s="281"/>
      <c r="AY28" s="281"/>
      <c r="AZ28" s="281"/>
      <c r="BA28" s="281"/>
      <c r="BB28" s="281"/>
      <c r="BC28" s="281"/>
      <c r="BD28" s="281"/>
      <c r="BE28" s="281"/>
      <c r="BF28" s="281"/>
      <c r="BG28" s="281"/>
      <c r="BH28" s="281"/>
      <c r="BI28" s="281"/>
      <c r="BJ28" s="281"/>
      <c r="BK28" s="281"/>
      <c r="BL28" s="281"/>
      <c r="BM28" s="281"/>
      <c r="BN28" s="281"/>
      <c r="BO28" s="281"/>
      <c r="BP28" s="281"/>
      <c r="BQ28" s="281"/>
      <c r="BR28" s="281"/>
      <c r="BS28" s="281"/>
      <c r="BT28" s="281"/>
      <c r="BU28" s="281"/>
    </row>
    <row r="29" spans="1:73" s="283" customFormat="1" ht="25.5" customHeight="1" x14ac:dyDescent="0.25">
      <c r="A29" s="281" t="str">
        <f>Gantt!A19</f>
        <v>4.2</v>
      </c>
      <c r="B29" s="282" t="str">
        <f>Gantt!C19</f>
        <v>Sviluppo SW GARI - Misure ACA</v>
      </c>
      <c r="D29" s="284"/>
      <c r="E29" s="290">
        <f>Gantt!M19</f>
        <v>0</v>
      </c>
      <c r="F29" s="291">
        <f>Gantt!P19</f>
        <v>0</v>
      </c>
      <c r="G29" s="285">
        <f t="shared" si="11"/>
        <v>0</v>
      </c>
      <c r="H29" s="286">
        <f>Gantt!L19</f>
        <v>0</v>
      </c>
      <c r="I29" s="287" t="str">
        <f t="shared" si="16"/>
        <v xml:space="preserve"> - </v>
      </c>
      <c r="J29" s="288"/>
      <c r="K29" s="281"/>
      <c r="L29" s="281"/>
      <c r="M29" s="281"/>
      <c r="N29" s="281"/>
      <c r="O29" s="281"/>
      <c r="P29" s="281"/>
      <c r="Q29" s="281"/>
      <c r="R29" s="281"/>
      <c r="S29" s="281"/>
      <c r="T29" s="281"/>
      <c r="U29" s="281"/>
      <c r="V29" s="281"/>
      <c r="W29" s="281"/>
      <c r="X29" s="281"/>
      <c r="Y29" s="281"/>
      <c r="Z29" s="281"/>
      <c r="AA29" s="281"/>
      <c r="AB29" s="281"/>
      <c r="AC29" s="281"/>
      <c r="AD29" s="281"/>
      <c r="AE29" s="281"/>
      <c r="AF29" s="281"/>
      <c r="AG29" s="281"/>
      <c r="AH29" s="281"/>
      <c r="AI29" s="281"/>
      <c r="AJ29" s="281"/>
      <c r="AK29" s="281"/>
      <c r="AL29" s="281"/>
      <c r="AM29" s="281"/>
      <c r="AN29" s="281"/>
      <c r="AO29" s="281"/>
      <c r="AP29" s="281"/>
      <c r="AQ29" s="281"/>
      <c r="AR29" s="281"/>
      <c r="AS29" s="281"/>
      <c r="AT29" s="281"/>
      <c r="AU29" s="281"/>
      <c r="AV29" s="281"/>
      <c r="AW29" s="281"/>
      <c r="AX29" s="281"/>
      <c r="AY29" s="281"/>
      <c r="AZ29" s="281"/>
      <c r="BA29" s="281"/>
      <c r="BB29" s="281"/>
      <c r="BC29" s="281"/>
      <c r="BD29" s="281"/>
      <c r="BE29" s="281"/>
      <c r="BF29" s="281"/>
      <c r="BG29" s="281"/>
      <c r="BH29" s="281"/>
      <c r="BI29" s="281"/>
      <c r="BJ29" s="281"/>
      <c r="BK29" s="281"/>
      <c r="BL29" s="281"/>
      <c r="BM29" s="281"/>
      <c r="BN29" s="281"/>
      <c r="BO29" s="281"/>
      <c r="BP29" s="281"/>
      <c r="BQ29" s="281"/>
      <c r="BR29" s="281"/>
      <c r="BS29" s="281"/>
      <c r="BT29" s="281"/>
      <c r="BU29" s="281"/>
    </row>
    <row r="30" spans="1:73" s="283" customFormat="1" ht="25.5" customHeight="1" x14ac:dyDescent="0.25">
      <c r="A30" s="281" t="str">
        <f>Gantt!A20</f>
        <v>4.3</v>
      </c>
      <c r="B30" s="282" t="str">
        <f>Gantt!C20</f>
        <v xml:space="preserve">Sviluppo SW GARI - DSS per misure ACA </v>
      </c>
      <c r="D30" s="284"/>
      <c r="E30" s="290">
        <f>Gantt!M20</f>
        <v>0</v>
      </c>
      <c r="F30" s="291">
        <f>Gantt!P20</f>
        <v>0</v>
      </c>
      <c r="G30" s="285">
        <f t="shared" si="11"/>
        <v>0</v>
      </c>
      <c r="H30" s="286">
        <f>Gantt!L20</f>
        <v>0</v>
      </c>
      <c r="I30" s="287" t="str">
        <f t="shared" si="16"/>
        <v xml:space="preserve"> - </v>
      </c>
      <c r="J30" s="288"/>
      <c r="K30" s="281"/>
      <c r="L30" s="281"/>
      <c r="M30" s="281"/>
      <c r="N30" s="281"/>
      <c r="O30" s="281"/>
      <c r="P30" s="281"/>
      <c r="Q30" s="281"/>
      <c r="R30" s="281"/>
      <c r="S30" s="281"/>
      <c r="T30" s="281"/>
      <c r="U30" s="281"/>
      <c r="V30" s="281"/>
      <c r="W30" s="281"/>
      <c r="X30" s="281"/>
      <c r="Y30" s="281"/>
      <c r="Z30" s="281"/>
      <c r="AA30" s="281"/>
      <c r="AB30" s="281"/>
      <c r="AC30" s="281"/>
      <c r="AD30" s="281"/>
      <c r="AE30" s="281"/>
      <c r="AF30" s="281"/>
      <c r="AG30" s="281"/>
      <c r="AH30" s="281"/>
      <c r="AI30" s="281"/>
      <c r="AJ30" s="281"/>
      <c r="AK30" s="281"/>
      <c r="AL30" s="281"/>
      <c r="AM30" s="281"/>
      <c r="AN30" s="281"/>
      <c r="AO30" s="281"/>
      <c r="AP30" s="281"/>
      <c r="AQ30" s="281"/>
      <c r="AR30" s="281"/>
      <c r="AS30" s="281"/>
      <c r="AT30" s="281"/>
      <c r="AU30" s="281"/>
      <c r="AV30" s="281"/>
      <c r="AW30" s="281"/>
      <c r="AX30" s="281"/>
      <c r="AY30" s="281"/>
      <c r="AZ30" s="281"/>
      <c r="BA30" s="281"/>
      <c r="BB30" s="281"/>
      <c r="BC30" s="281"/>
      <c r="BD30" s="281"/>
      <c r="BE30" s="281"/>
      <c r="BF30" s="281"/>
      <c r="BG30" s="281"/>
      <c r="BH30" s="281"/>
      <c r="BI30" s="281"/>
      <c r="BJ30" s="281"/>
      <c r="BK30" s="281"/>
      <c r="BL30" s="281"/>
      <c r="BM30" s="281"/>
      <c r="BN30" s="281"/>
      <c r="BO30" s="281"/>
      <c r="BP30" s="281"/>
      <c r="BQ30" s="281"/>
      <c r="BR30" s="281"/>
      <c r="BS30" s="281"/>
      <c r="BT30" s="281"/>
      <c r="BU30" s="281"/>
    </row>
    <row r="31" spans="1:73" s="283" customFormat="1" ht="25.5" customHeight="1" x14ac:dyDescent="0.25">
      <c r="A31" s="281" t="str">
        <f>Gantt!A21</f>
        <v>4.4</v>
      </c>
      <c r="B31" s="282" t="str">
        <f>Gantt!C21</f>
        <v>MEV - GARI QDCA - DSS - solo front-end (no algoritmi /API) + adeguamento salvataggio su GARI degli output relativi ai consigli dei Modelli Previsionali difesa e Irrigazione + Meteo (DSS)</v>
      </c>
      <c r="D31" s="284"/>
      <c r="E31" s="290">
        <f>Gantt!M21</f>
        <v>0</v>
      </c>
      <c r="F31" s="291">
        <f>Gantt!P21</f>
        <v>0</v>
      </c>
      <c r="G31" s="285">
        <f t="shared" si="11"/>
        <v>0</v>
      </c>
      <c r="H31" s="286">
        <f>Gantt!L21</f>
        <v>0</v>
      </c>
      <c r="I31" s="287" t="str">
        <f t="shared" ref="I31:I38" si="17">IF(OR(F31=0,E31=0)," - ",NETWORKDAYS(E31,F31))</f>
        <v xml:space="preserve"> - </v>
      </c>
      <c r="J31" s="288"/>
      <c r="K31" s="281"/>
      <c r="L31" s="281"/>
      <c r="M31" s="281"/>
      <c r="N31" s="281"/>
      <c r="O31" s="281"/>
      <c r="P31" s="281"/>
      <c r="Q31" s="281"/>
      <c r="R31" s="281"/>
      <c r="S31" s="281"/>
      <c r="T31" s="281"/>
      <c r="U31" s="281"/>
      <c r="V31" s="281"/>
      <c r="W31" s="281"/>
      <c r="X31" s="281"/>
      <c r="Y31" s="281"/>
      <c r="Z31" s="281"/>
      <c r="AA31" s="281"/>
      <c r="AB31" s="281"/>
      <c r="AC31" s="281"/>
      <c r="AD31" s="281"/>
      <c r="AE31" s="281"/>
      <c r="AF31" s="281"/>
      <c r="AG31" s="281"/>
      <c r="AH31" s="281"/>
      <c r="AI31" s="281"/>
      <c r="AJ31" s="281"/>
      <c r="AK31" s="281"/>
      <c r="AL31" s="281"/>
      <c r="AM31" s="281"/>
      <c r="AN31" s="281"/>
      <c r="AO31" s="281"/>
      <c r="AP31" s="281"/>
      <c r="AQ31" s="281"/>
      <c r="AR31" s="281"/>
      <c r="AS31" s="281"/>
      <c r="AT31" s="281"/>
      <c r="AU31" s="281"/>
      <c r="AV31" s="281"/>
      <c r="AW31" s="281"/>
      <c r="AX31" s="281"/>
      <c r="AY31" s="281"/>
      <c r="AZ31" s="281"/>
      <c r="BA31" s="281"/>
      <c r="BB31" s="281"/>
      <c r="BC31" s="281"/>
      <c r="BD31" s="281"/>
      <c r="BE31" s="281"/>
      <c r="BF31" s="281"/>
      <c r="BG31" s="281"/>
      <c r="BH31" s="281"/>
      <c r="BI31" s="281"/>
      <c r="BJ31" s="281"/>
      <c r="BK31" s="281"/>
      <c r="BL31" s="281"/>
      <c r="BM31" s="281"/>
      <c r="BN31" s="281"/>
      <c r="BO31" s="281"/>
      <c r="BP31" s="281"/>
      <c r="BQ31" s="281"/>
      <c r="BR31" s="281"/>
      <c r="BS31" s="281"/>
      <c r="BT31" s="281"/>
      <c r="BU31" s="281"/>
    </row>
    <row r="32" spans="1:73" s="283" customFormat="1" ht="25.5" customHeight="1" x14ac:dyDescent="0.25">
      <c r="A32" s="281" t="str">
        <f>Gantt!A22</f>
        <v>4.5</v>
      </c>
      <c r="B32" s="282" t="str">
        <f>Gantt!C22</f>
        <v>Acquisizione, raccordo e verifica dei dati  Meteo/DSS da sorgenti esterne</v>
      </c>
      <c r="D32" s="284"/>
      <c r="E32" s="290">
        <f>Gantt!M22</f>
        <v>0</v>
      </c>
      <c r="F32" s="291">
        <f>Gantt!P22</f>
        <v>0</v>
      </c>
      <c r="G32" s="285">
        <f t="shared" si="11"/>
        <v>0</v>
      </c>
      <c r="H32" s="286">
        <f>Gantt!L22</f>
        <v>0</v>
      </c>
      <c r="I32" s="287" t="str">
        <f t="shared" si="17"/>
        <v xml:space="preserve"> - </v>
      </c>
      <c r="J32" s="288"/>
      <c r="K32" s="281"/>
      <c r="L32" s="281"/>
      <c r="M32" s="281"/>
      <c r="N32" s="281"/>
      <c r="O32" s="281"/>
      <c r="P32" s="281"/>
      <c r="Q32" s="281"/>
      <c r="R32" s="281"/>
      <c r="S32" s="281"/>
      <c r="T32" s="281"/>
      <c r="U32" s="281"/>
      <c r="V32" s="281"/>
      <c r="W32" s="281"/>
      <c r="X32" s="281"/>
      <c r="Y32" s="281"/>
      <c r="Z32" s="281"/>
      <c r="AA32" s="281"/>
      <c r="AB32" s="281"/>
      <c r="AC32" s="281"/>
      <c r="AD32" s="281"/>
      <c r="AE32" s="281"/>
      <c r="AF32" s="281"/>
      <c r="AG32" s="281"/>
      <c r="AH32" s="281"/>
      <c r="AI32" s="281"/>
      <c r="AJ32" s="281"/>
      <c r="AK32" s="281"/>
      <c r="AL32" s="281"/>
      <c r="AM32" s="281"/>
      <c r="AN32" s="281"/>
      <c r="AO32" s="281"/>
      <c r="AP32" s="281"/>
      <c r="AQ32" s="281"/>
      <c r="AR32" s="281"/>
      <c r="AS32" s="281"/>
      <c r="AT32" s="281"/>
      <c r="AU32" s="281"/>
      <c r="AV32" s="281"/>
      <c r="AW32" s="281"/>
      <c r="AX32" s="281"/>
      <c r="AY32" s="281"/>
      <c r="AZ32" s="281"/>
      <c r="BA32" s="281"/>
      <c r="BB32" s="281"/>
      <c r="BC32" s="281"/>
      <c r="BD32" s="281"/>
      <c r="BE32" s="281"/>
      <c r="BF32" s="281"/>
      <c r="BG32" s="281"/>
      <c r="BH32" s="281"/>
      <c r="BI32" s="281"/>
      <c r="BJ32" s="281"/>
      <c r="BK32" s="281"/>
      <c r="BL32" s="281"/>
      <c r="BM32" s="281"/>
      <c r="BN32" s="281"/>
      <c r="BO32" s="281"/>
      <c r="BP32" s="281"/>
      <c r="BQ32" s="281"/>
      <c r="BR32" s="281"/>
      <c r="BS32" s="281"/>
      <c r="BT32" s="281"/>
      <c r="BU32" s="281"/>
    </row>
    <row r="33" spans="1:73" s="283" customFormat="1" ht="25.5" customHeight="1" x14ac:dyDescent="0.25">
      <c r="A33" s="281" t="str">
        <f>Gantt!A23</f>
        <v>4.6</v>
      </c>
      <c r="B33" s="282" t="str">
        <f>Gantt!C23</f>
        <v>Acquisizione ,raccordo e verifica dei dati  Meteo/DSS da sorgenti esterne</v>
      </c>
      <c r="D33" s="284"/>
      <c r="E33" s="290">
        <f>Gantt!M23</f>
        <v>0</v>
      </c>
      <c r="F33" s="291">
        <f>Gantt!P23</f>
        <v>0</v>
      </c>
      <c r="G33" s="285">
        <f t="shared" si="11"/>
        <v>0</v>
      </c>
      <c r="H33" s="286">
        <f>Gantt!L23</f>
        <v>0</v>
      </c>
      <c r="I33" s="287" t="str">
        <f t="shared" si="17"/>
        <v xml:space="preserve"> - </v>
      </c>
      <c r="J33" s="288"/>
      <c r="K33" s="281"/>
      <c r="L33" s="281"/>
      <c r="M33" s="281"/>
      <c r="N33" s="281"/>
      <c r="O33" s="281"/>
      <c r="P33" s="281"/>
      <c r="Q33" s="281"/>
      <c r="R33" s="281"/>
      <c r="S33" s="281"/>
      <c r="T33" s="281"/>
      <c r="U33" s="281"/>
      <c r="V33" s="281"/>
      <c r="W33" s="281"/>
      <c r="X33" s="281"/>
      <c r="Y33" s="281"/>
      <c r="Z33" s="281"/>
      <c r="AA33" s="281"/>
      <c r="AB33" s="281"/>
      <c r="AC33" s="281"/>
      <c r="AD33" s="281"/>
      <c r="AE33" s="281"/>
      <c r="AF33" s="281"/>
      <c r="AG33" s="281"/>
      <c r="AH33" s="281"/>
      <c r="AI33" s="281"/>
      <c r="AJ33" s="281"/>
      <c r="AK33" s="281"/>
      <c r="AL33" s="281"/>
      <c r="AM33" s="281"/>
      <c r="AN33" s="281"/>
      <c r="AO33" s="281"/>
      <c r="AP33" s="281"/>
      <c r="AQ33" s="281"/>
      <c r="AR33" s="281"/>
      <c r="AS33" s="281"/>
      <c r="AT33" s="281"/>
      <c r="AU33" s="281"/>
      <c r="AV33" s="281"/>
      <c r="AW33" s="281"/>
      <c r="AX33" s="281"/>
      <c r="AY33" s="281"/>
      <c r="AZ33" s="281"/>
      <c r="BA33" s="281"/>
      <c r="BB33" s="281"/>
      <c r="BC33" s="281"/>
      <c r="BD33" s="281"/>
      <c r="BE33" s="281"/>
      <c r="BF33" s="281"/>
      <c r="BG33" s="281"/>
      <c r="BH33" s="281"/>
      <c r="BI33" s="281"/>
      <c r="BJ33" s="281"/>
      <c r="BK33" s="281"/>
      <c r="BL33" s="281"/>
      <c r="BM33" s="281"/>
      <c r="BN33" s="281"/>
      <c r="BO33" s="281"/>
      <c r="BP33" s="281"/>
      <c r="BQ33" s="281"/>
      <c r="BR33" s="281"/>
      <c r="BS33" s="281"/>
      <c r="BT33" s="281"/>
      <c r="BU33" s="281"/>
    </row>
    <row r="34" spans="1:73" s="283" customFormat="1" ht="25.5" customHeight="1" x14ac:dyDescent="0.25">
      <c r="A34" s="281" t="str">
        <f>Gantt!A24</f>
        <v>4.7</v>
      </c>
      <c r="B34" s="282" t="str">
        <f>Gantt!C24</f>
        <v>Report ARPA: dati di impiego dei prodotti fitosanitari</v>
      </c>
      <c r="D34" s="284"/>
      <c r="E34" s="290">
        <f>Gantt!M24</f>
        <v>0</v>
      </c>
      <c r="F34" s="291">
        <f>Gantt!P24</f>
        <v>0</v>
      </c>
      <c r="G34" s="285">
        <f t="shared" si="11"/>
        <v>0</v>
      </c>
      <c r="H34" s="286">
        <f>Gantt!L24</f>
        <v>0</v>
      </c>
      <c r="I34" s="287" t="str">
        <f t="shared" si="17"/>
        <v xml:space="preserve"> - </v>
      </c>
      <c r="J34" s="288"/>
      <c r="K34" s="281"/>
      <c r="L34" s="281"/>
      <c r="M34" s="281"/>
      <c r="N34" s="281"/>
      <c r="O34" s="281"/>
      <c r="P34" s="281"/>
      <c r="Q34" s="281"/>
      <c r="R34" s="281"/>
      <c r="S34" s="281"/>
      <c r="T34" s="281"/>
      <c r="U34" s="281"/>
      <c r="V34" s="281"/>
      <c r="W34" s="281"/>
      <c r="X34" s="281"/>
      <c r="Y34" s="281"/>
      <c r="Z34" s="281"/>
      <c r="AA34" s="281"/>
      <c r="AB34" s="281"/>
      <c r="AC34" s="281"/>
      <c r="AD34" s="281"/>
      <c r="AE34" s="281"/>
      <c r="AF34" s="281"/>
      <c r="AG34" s="281"/>
      <c r="AH34" s="281"/>
      <c r="AI34" s="281"/>
      <c r="AJ34" s="281"/>
      <c r="AK34" s="281"/>
      <c r="AL34" s="281"/>
      <c r="AM34" s="281"/>
      <c r="AN34" s="281"/>
      <c r="AO34" s="281"/>
      <c r="AP34" s="281"/>
      <c r="AQ34" s="281"/>
      <c r="AR34" s="281"/>
      <c r="AS34" s="281"/>
      <c r="AT34" s="281"/>
      <c r="AU34" s="281"/>
      <c r="AV34" s="281"/>
      <c r="AW34" s="281"/>
      <c r="AX34" s="281"/>
      <c r="AY34" s="281"/>
      <c r="AZ34" s="281"/>
      <c r="BA34" s="281"/>
      <c r="BB34" s="281"/>
      <c r="BC34" s="281"/>
      <c r="BD34" s="281"/>
      <c r="BE34" s="281"/>
      <c r="BF34" s="281"/>
      <c r="BG34" s="281"/>
      <c r="BH34" s="281"/>
      <c r="BI34" s="281"/>
      <c r="BJ34" s="281"/>
      <c r="BK34" s="281"/>
      <c r="BL34" s="281"/>
      <c r="BM34" s="281"/>
      <c r="BN34" s="281"/>
      <c r="BO34" s="281"/>
      <c r="BP34" s="281"/>
      <c r="BQ34" s="281"/>
      <c r="BR34" s="281"/>
      <c r="BS34" s="281"/>
      <c r="BT34" s="281"/>
      <c r="BU34" s="281"/>
    </row>
    <row r="35" spans="1:73" s="283" customFormat="1" ht="25.5" customHeight="1" x14ac:dyDescent="0.25">
      <c r="A35" s="281" t="str">
        <f>Gantt!A25</f>
        <v>4.8</v>
      </c>
      <c r="B35" s="282" t="str">
        <f>Gantt!C25</f>
        <v>Revisione dei moduli QUADERNO SQNPI e BIO  per essere utilizzabili e integrabili  sulle nuove tecnologie introdotte con il paradigma PCG</v>
      </c>
      <c r="D35" s="284"/>
      <c r="E35" s="290">
        <f>Gantt!M25</f>
        <v>0</v>
      </c>
      <c r="F35" s="291">
        <f>Gantt!P25</f>
        <v>0</v>
      </c>
      <c r="G35" s="285">
        <f t="shared" si="11"/>
        <v>0</v>
      </c>
      <c r="H35" s="286">
        <f>Gantt!L25</f>
        <v>0</v>
      </c>
      <c r="I35" s="287" t="str">
        <f t="shared" si="17"/>
        <v xml:space="preserve"> - </v>
      </c>
      <c r="J35" s="288"/>
      <c r="K35" s="281"/>
      <c r="L35" s="281"/>
      <c r="M35" s="281"/>
      <c r="N35" s="281"/>
      <c r="O35" s="281"/>
      <c r="P35" s="281"/>
      <c r="Q35" s="281"/>
      <c r="R35" s="281"/>
      <c r="S35" s="281"/>
      <c r="T35" s="281"/>
      <c r="U35" s="281"/>
      <c r="V35" s="281"/>
      <c r="W35" s="281"/>
      <c r="X35" s="281"/>
      <c r="Y35" s="281"/>
      <c r="Z35" s="281"/>
      <c r="AA35" s="281"/>
      <c r="AB35" s="281"/>
      <c r="AC35" s="281"/>
      <c r="AD35" s="281"/>
      <c r="AE35" s="281"/>
      <c r="AF35" s="281"/>
      <c r="AG35" s="281"/>
      <c r="AH35" s="281"/>
      <c r="AI35" s="281"/>
      <c r="AJ35" s="281"/>
      <c r="AK35" s="281"/>
      <c r="AL35" s="281"/>
      <c r="AM35" s="281"/>
      <c r="AN35" s="281"/>
      <c r="AO35" s="281"/>
      <c r="AP35" s="281"/>
      <c r="AQ35" s="281"/>
      <c r="AR35" s="281"/>
      <c r="AS35" s="281"/>
      <c r="AT35" s="281"/>
      <c r="AU35" s="281"/>
      <c r="AV35" s="281"/>
      <c r="AW35" s="281"/>
      <c r="AX35" s="281"/>
      <c r="AY35" s="281"/>
      <c r="AZ35" s="281"/>
      <c r="BA35" s="281"/>
      <c r="BB35" s="281"/>
      <c r="BC35" s="281"/>
      <c r="BD35" s="281"/>
      <c r="BE35" s="281"/>
      <c r="BF35" s="281"/>
      <c r="BG35" s="281"/>
      <c r="BH35" s="281"/>
      <c r="BI35" s="281"/>
      <c r="BJ35" s="281"/>
      <c r="BK35" s="281"/>
      <c r="BL35" s="281"/>
      <c r="BM35" s="281"/>
      <c r="BN35" s="281"/>
      <c r="BO35" s="281"/>
      <c r="BP35" s="281"/>
      <c r="BQ35" s="281"/>
      <c r="BR35" s="281"/>
      <c r="BS35" s="281"/>
      <c r="BT35" s="281"/>
      <c r="BU35" s="281"/>
    </row>
    <row r="36" spans="1:73" s="283" customFormat="1" ht="25.5" customHeight="1" x14ac:dyDescent="0.25">
      <c r="A36" s="281" t="str">
        <f>Gantt!A26</f>
        <v>4.9</v>
      </c>
      <c r="B36" s="282" t="str">
        <f>Gantt!C26</f>
        <v>Attivazione registri bio nel contesto del  QDCA GARI, setting, configurazioni, profilazioni utenti, ecc.</v>
      </c>
      <c r="D36" s="284"/>
      <c r="E36" s="290">
        <f>Gantt!M26</f>
        <v>0</v>
      </c>
      <c r="F36" s="291">
        <f>Gantt!P26</f>
        <v>0</v>
      </c>
      <c r="G36" s="285">
        <f t="shared" si="11"/>
        <v>0</v>
      </c>
      <c r="H36" s="286">
        <f>Gantt!L26</f>
        <v>0</v>
      </c>
      <c r="I36" s="287" t="str">
        <f t="shared" si="17"/>
        <v xml:space="preserve"> - </v>
      </c>
      <c r="J36" s="288"/>
      <c r="K36" s="281"/>
      <c r="L36" s="281"/>
      <c r="M36" s="281"/>
      <c r="N36" s="281"/>
      <c r="O36" s="281"/>
      <c r="P36" s="281"/>
      <c r="Q36" s="281"/>
      <c r="R36" s="281"/>
      <c r="S36" s="281"/>
      <c r="T36" s="281"/>
      <c r="U36" s="281"/>
      <c r="V36" s="281"/>
      <c r="W36" s="281"/>
      <c r="X36" s="281"/>
      <c r="Y36" s="281"/>
      <c r="Z36" s="281"/>
      <c r="AA36" s="281"/>
      <c r="AB36" s="281"/>
      <c r="AC36" s="281"/>
      <c r="AD36" s="281"/>
      <c r="AE36" s="281"/>
      <c r="AF36" s="281"/>
      <c r="AG36" s="281"/>
      <c r="AH36" s="281"/>
      <c r="AI36" s="281"/>
      <c r="AJ36" s="281"/>
      <c r="AK36" s="281"/>
      <c r="AL36" s="281"/>
      <c r="AM36" s="281"/>
      <c r="AN36" s="281"/>
      <c r="AO36" s="281"/>
      <c r="AP36" s="281"/>
      <c r="AQ36" s="281"/>
      <c r="AR36" s="281"/>
      <c r="AS36" s="281"/>
      <c r="AT36" s="281"/>
      <c r="AU36" s="281"/>
      <c r="AV36" s="281"/>
      <c r="AW36" s="281"/>
      <c r="AX36" s="281"/>
      <c r="AY36" s="281"/>
      <c r="AZ36" s="281"/>
      <c r="BA36" s="281"/>
      <c r="BB36" s="281"/>
      <c r="BC36" s="281"/>
      <c r="BD36" s="281"/>
      <c r="BE36" s="281"/>
      <c r="BF36" s="281"/>
      <c r="BG36" s="281"/>
      <c r="BH36" s="281"/>
      <c r="BI36" s="281"/>
      <c r="BJ36" s="281"/>
      <c r="BK36" s="281"/>
      <c r="BL36" s="281"/>
      <c r="BM36" s="281"/>
      <c r="BN36" s="281"/>
      <c r="BO36" s="281"/>
      <c r="BP36" s="281"/>
      <c r="BQ36" s="281"/>
      <c r="BR36" s="281"/>
      <c r="BS36" s="281"/>
      <c r="BT36" s="281"/>
      <c r="BU36" s="281"/>
    </row>
    <row r="37" spans="1:73" s="280" customFormat="1" ht="25.5" customHeight="1" x14ac:dyDescent="0.25">
      <c r="A37" s="269"/>
      <c r="B37" s="270" t="str">
        <f>Gantt!C27</f>
        <v xml:space="preserve">ATTIVITA' DI CARATTERE CONTINUATIVO (NON PROGETTUALE)
</v>
      </c>
      <c r="C37" s="271"/>
      <c r="D37" s="272"/>
      <c r="E37" s="290"/>
      <c r="F37" s="291"/>
      <c r="G37" s="285"/>
      <c r="H37" s="286"/>
      <c r="I37" s="277" t="str">
        <f t="shared" si="17"/>
        <v xml:space="preserve"> - </v>
      </c>
      <c r="J37" s="278"/>
      <c r="K37" s="279"/>
      <c r="L37" s="279"/>
      <c r="M37" s="279"/>
      <c r="N37" s="279"/>
      <c r="O37" s="279"/>
      <c r="P37" s="279"/>
      <c r="Q37" s="279"/>
      <c r="R37" s="279"/>
      <c r="S37" s="279"/>
      <c r="T37" s="279"/>
      <c r="U37" s="279"/>
      <c r="V37" s="279"/>
      <c r="W37" s="279"/>
      <c r="X37" s="279"/>
      <c r="Y37" s="279"/>
      <c r="Z37" s="279"/>
      <c r="AA37" s="279"/>
      <c r="AB37" s="279"/>
      <c r="AC37" s="279"/>
      <c r="AD37" s="279"/>
      <c r="AE37" s="279"/>
      <c r="AF37" s="279"/>
      <c r="AG37" s="279"/>
      <c r="AH37" s="279"/>
      <c r="AI37" s="279"/>
      <c r="AJ37" s="279"/>
      <c r="AK37" s="279"/>
      <c r="AL37" s="279"/>
      <c r="AM37" s="279"/>
      <c r="AN37" s="279"/>
      <c r="AO37" s="279"/>
      <c r="AP37" s="279"/>
      <c r="AQ37" s="279"/>
      <c r="AR37" s="279"/>
      <c r="AS37" s="279"/>
      <c r="AT37" s="279"/>
      <c r="AU37" s="279"/>
      <c r="AV37" s="279"/>
      <c r="AW37" s="279"/>
      <c r="AX37" s="279"/>
      <c r="AY37" s="279"/>
      <c r="AZ37" s="279"/>
      <c r="BA37" s="279"/>
      <c r="BB37" s="279"/>
      <c r="BC37" s="279"/>
      <c r="BD37" s="279"/>
      <c r="BE37" s="279"/>
      <c r="BF37" s="279"/>
      <c r="BG37" s="279"/>
      <c r="BH37" s="279"/>
      <c r="BI37" s="279"/>
      <c r="BJ37" s="279"/>
      <c r="BK37" s="279"/>
      <c r="BL37" s="279"/>
      <c r="BM37" s="279"/>
      <c r="BN37" s="279"/>
      <c r="BO37" s="279"/>
      <c r="BP37" s="279"/>
      <c r="BQ37" s="279"/>
      <c r="BR37" s="279"/>
      <c r="BS37" s="279"/>
      <c r="BT37" s="279"/>
      <c r="BU37" s="279"/>
    </row>
    <row r="38" spans="1:73" s="283" customFormat="1" ht="25.5" customHeight="1" x14ac:dyDescent="0.25">
      <c r="A38" s="281">
        <f>Gantt!A28</f>
        <v>5</v>
      </c>
      <c r="B38" s="306" t="str">
        <f>Gantt!C28</f>
        <v>SERVIZI DI SUPPORTO SPECIALISTICO APPLICATIVO</v>
      </c>
      <c r="C38" s="307"/>
      <c r="D38" s="308"/>
      <c r="E38" s="309"/>
      <c r="F38" s="310"/>
      <c r="G38" s="311"/>
      <c r="H38" s="312"/>
      <c r="I38" s="311" t="str">
        <f t="shared" si="17"/>
        <v xml:space="preserve"> - </v>
      </c>
      <c r="J38" s="288"/>
      <c r="K38" s="281"/>
      <c r="L38" s="281"/>
      <c r="M38" s="281"/>
      <c r="N38" s="281"/>
      <c r="O38" s="281"/>
      <c r="P38" s="281"/>
      <c r="Q38" s="281"/>
      <c r="R38" s="281"/>
      <c r="S38" s="281"/>
      <c r="T38" s="281"/>
      <c r="U38" s="281"/>
      <c r="V38" s="281"/>
      <c r="W38" s="281"/>
      <c r="X38" s="281"/>
      <c r="Y38" s="281"/>
      <c r="Z38" s="281"/>
      <c r="AA38" s="281"/>
      <c r="AB38" s="281"/>
      <c r="AC38" s="281"/>
      <c r="AD38" s="281"/>
      <c r="AE38" s="281"/>
      <c r="AF38" s="281"/>
      <c r="AG38" s="281"/>
      <c r="AH38" s="281"/>
      <c r="AI38" s="281"/>
      <c r="AJ38" s="281"/>
      <c r="AK38" s="281"/>
      <c r="AL38" s="281"/>
      <c r="AM38" s="281"/>
      <c r="AN38" s="281"/>
      <c r="AO38" s="281"/>
      <c r="AP38" s="281"/>
      <c r="AQ38" s="281"/>
      <c r="AR38" s="281"/>
      <c r="AS38" s="281"/>
      <c r="AT38" s="281"/>
      <c r="AU38" s="281"/>
      <c r="AV38" s="281"/>
      <c r="AW38" s="281"/>
      <c r="AX38" s="281"/>
      <c r="AY38" s="281"/>
      <c r="AZ38" s="281"/>
      <c r="BA38" s="281"/>
      <c r="BB38" s="281"/>
      <c r="BC38" s="281"/>
      <c r="BD38" s="281"/>
      <c r="BE38" s="281"/>
      <c r="BF38" s="281"/>
      <c r="BG38" s="281"/>
      <c r="BH38" s="281"/>
      <c r="BI38" s="281"/>
      <c r="BJ38" s="281"/>
      <c r="BK38" s="281"/>
      <c r="BL38" s="281"/>
      <c r="BM38" s="281"/>
      <c r="BN38" s="281"/>
      <c r="BO38" s="281"/>
      <c r="BP38" s="281"/>
      <c r="BQ38" s="281"/>
      <c r="BR38" s="281"/>
      <c r="BS38" s="281"/>
      <c r="BT38" s="281"/>
      <c r="BU38" s="281"/>
    </row>
    <row r="39" spans="1:73" s="283" customFormat="1" ht="25.5" customHeight="1" x14ac:dyDescent="0.25">
      <c r="A39" s="281" t="e">
        <f>Gantt!#REF!</f>
        <v>#REF!</v>
      </c>
      <c r="B39" s="300" t="e">
        <f>Gantt!#REF!</f>
        <v>#REF!</v>
      </c>
      <c r="D39" s="301"/>
      <c r="E39" s="302"/>
      <c r="F39" s="303"/>
      <c r="G39" s="304"/>
      <c r="H39" s="305"/>
      <c r="I39" s="304"/>
      <c r="J39" s="288"/>
      <c r="K39" s="281"/>
      <c r="L39" s="281"/>
      <c r="M39" s="281"/>
      <c r="N39" s="281"/>
      <c r="O39" s="281"/>
      <c r="P39" s="281"/>
      <c r="Q39" s="281"/>
      <c r="R39" s="281"/>
      <c r="S39" s="281"/>
      <c r="T39" s="281"/>
      <c r="U39" s="281"/>
      <c r="V39" s="281"/>
      <c r="W39" s="281"/>
      <c r="X39" s="281"/>
      <c r="Y39" s="281"/>
      <c r="Z39" s="281"/>
      <c r="AA39" s="281"/>
      <c r="AB39" s="281"/>
      <c r="AC39" s="281"/>
      <c r="AD39" s="281"/>
      <c r="AE39" s="281"/>
      <c r="AF39" s="281"/>
      <c r="AG39" s="281"/>
      <c r="AH39" s="281"/>
      <c r="AI39" s="281"/>
      <c r="AJ39" s="281"/>
      <c r="AK39" s="281"/>
      <c r="AL39" s="281"/>
      <c r="AM39" s="281"/>
      <c r="AN39" s="281"/>
      <c r="AO39" s="281"/>
      <c r="AP39" s="281"/>
      <c r="AQ39" s="281"/>
      <c r="AR39" s="281"/>
      <c r="AS39" s="281"/>
      <c r="AT39" s="281"/>
      <c r="AU39" s="281"/>
      <c r="AV39" s="281"/>
      <c r="AW39" s="281"/>
      <c r="AX39" s="281"/>
      <c r="AY39" s="281"/>
      <c r="AZ39" s="281"/>
      <c r="BA39" s="281"/>
      <c r="BB39" s="281"/>
      <c r="BC39" s="281"/>
      <c r="BD39" s="281"/>
      <c r="BE39" s="281"/>
      <c r="BF39" s="281"/>
      <c r="BG39" s="281"/>
      <c r="BH39" s="281"/>
      <c r="BI39" s="281"/>
      <c r="BJ39" s="281"/>
      <c r="BK39" s="281"/>
      <c r="BL39" s="281"/>
      <c r="BM39" s="281"/>
      <c r="BN39" s="281"/>
      <c r="BO39" s="281"/>
      <c r="BP39" s="281"/>
      <c r="BQ39" s="281"/>
      <c r="BR39" s="281"/>
      <c r="BS39" s="281"/>
      <c r="BT39" s="281"/>
      <c r="BU39" s="281"/>
    </row>
    <row r="40" spans="1:73" s="283" customFormat="1" ht="25.5" customHeight="1" x14ac:dyDescent="0.25">
      <c r="A40" s="281" t="e">
        <f>Gantt!#REF!</f>
        <v>#REF!</v>
      </c>
      <c r="B40" s="282" t="e">
        <f>Gantt!#REF!</f>
        <v>#REF!</v>
      </c>
      <c r="D40" s="284"/>
      <c r="E40" s="290" t="e">
        <f>Gantt!#REF!</f>
        <v>#REF!</v>
      </c>
      <c r="F40" s="291" t="e">
        <f>Gantt!#REF!</f>
        <v>#REF!</v>
      </c>
      <c r="G40" s="285" t="e">
        <f t="shared" si="11"/>
        <v>#REF!</v>
      </c>
      <c r="H40" s="286" t="e">
        <f>Gantt!#REF!</f>
        <v>#REF!</v>
      </c>
      <c r="I40" s="287" t="e">
        <f t="shared" ref="I40" si="18">IF(OR(F40=0,E40=0)," - ",NETWORKDAYS(E40,F40))</f>
        <v>#REF!</v>
      </c>
      <c r="J40" s="288"/>
      <c r="K40" s="281"/>
      <c r="L40" s="281"/>
      <c r="M40" s="281"/>
      <c r="N40" s="281"/>
      <c r="O40" s="281"/>
      <c r="P40" s="281"/>
      <c r="Q40" s="281"/>
      <c r="R40" s="281"/>
      <c r="S40" s="281"/>
      <c r="T40" s="281"/>
      <c r="U40" s="281"/>
      <c r="V40" s="281"/>
      <c r="W40" s="281"/>
      <c r="X40" s="281"/>
      <c r="Y40" s="281"/>
      <c r="Z40" s="281"/>
      <c r="AA40" s="281"/>
      <c r="AB40" s="281"/>
      <c r="AC40" s="281"/>
      <c r="AD40" s="281"/>
      <c r="AE40" s="281"/>
      <c r="AF40" s="281"/>
      <c r="AG40" s="281"/>
      <c r="AH40" s="281"/>
      <c r="AI40" s="281"/>
      <c r="AJ40" s="281"/>
      <c r="AK40" s="281"/>
      <c r="AL40" s="281"/>
      <c r="AM40" s="281"/>
      <c r="AN40" s="281"/>
      <c r="AO40" s="281"/>
      <c r="AP40" s="281"/>
      <c r="AQ40" s="281"/>
      <c r="AR40" s="281"/>
      <c r="AS40" s="281"/>
      <c r="AT40" s="281"/>
      <c r="AU40" s="281"/>
      <c r="AV40" s="281"/>
      <c r="AW40" s="281"/>
      <c r="AX40" s="281"/>
      <c r="AY40" s="281"/>
      <c r="AZ40" s="281"/>
      <c r="BA40" s="281"/>
      <c r="BB40" s="281"/>
      <c r="BC40" s="281"/>
      <c r="BD40" s="281"/>
      <c r="BE40" s="281"/>
      <c r="BF40" s="281"/>
      <c r="BG40" s="281"/>
      <c r="BH40" s="281"/>
      <c r="BI40" s="281"/>
      <c r="BJ40" s="281"/>
      <c r="BK40" s="281"/>
      <c r="BL40" s="281"/>
      <c r="BM40" s="281"/>
      <c r="BN40" s="281"/>
      <c r="BO40" s="281"/>
      <c r="BP40" s="281"/>
      <c r="BQ40" s="281"/>
      <c r="BR40" s="281"/>
      <c r="BS40" s="281"/>
      <c r="BT40" s="281"/>
      <c r="BU40" s="281"/>
    </row>
    <row r="41" spans="1:73" s="283" customFormat="1" ht="25.5" customHeight="1" x14ac:dyDescent="0.25">
      <c r="A41" s="281" t="e">
        <f>Gantt!#REF!</f>
        <v>#REF!</v>
      </c>
      <c r="B41" s="282" t="e">
        <f>Gantt!#REF!</f>
        <v>#REF!</v>
      </c>
      <c r="D41" s="284"/>
      <c r="E41" s="290" t="e">
        <f>Gantt!#REF!</f>
        <v>#REF!</v>
      </c>
      <c r="F41" s="291" t="e">
        <f>Gantt!#REF!</f>
        <v>#REF!</v>
      </c>
      <c r="G41" s="285" t="e">
        <f t="shared" si="11"/>
        <v>#REF!</v>
      </c>
      <c r="H41" s="286" t="e">
        <f>Gantt!#REF!</f>
        <v>#REF!</v>
      </c>
      <c r="I41" s="287" t="e">
        <f t="shared" ref="I41:I43" si="19">IF(OR(F41=0,E41=0)," - ",NETWORKDAYS(E41,F41))</f>
        <v>#REF!</v>
      </c>
      <c r="J41" s="288"/>
      <c r="K41" s="281"/>
      <c r="L41" s="281"/>
      <c r="M41" s="281"/>
      <c r="N41" s="281"/>
      <c r="O41" s="281"/>
      <c r="P41" s="281"/>
      <c r="Q41" s="281"/>
      <c r="R41" s="281"/>
      <c r="S41" s="281"/>
      <c r="T41" s="281"/>
      <c r="U41" s="281"/>
      <c r="V41" s="281"/>
      <c r="W41" s="281"/>
      <c r="X41" s="281"/>
      <c r="Y41" s="281"/>
      <c r="Z41" s="281"/>
      <c r="AA41" s="281"/>
      <c r="AB41" s="281"/>
      <c r="AC41" s="281"/>
      <c r="AD41" s="281"/>
      <c r="AE41" s="281"/>
      <c r="AF41" s="281"/>
      <c r="AG41" s="281"/>
      <c r="AH41" s="281"/>
      <c r="AI41" s="281"/>
      <c r="AJ41" s="281"/>
      <c r="AK41" s="281"/>
      <c r="AL41" s="281"/>
      <c r="AM41" s="281"/>
      <c r="AN41" s="281"/>
      <c r="AO41" s="281"/>
      <c r="AP41" s="281"/>
      <c r="AQ41" s="281"/>
      <c r="AR41" s="281"/>
      <c r="AS41" s="281"/>
      <c r="AT41" s="281"/>
      <c r="AU41" s="281"/>
      <c r="AV41" s="281"/>
      <c r="AW41" s="281"/>
      <c r="AX41" s="281"/>
      <c r="AY41" s="281"/>
      <c r="AZ41" s="281"/>
      <c r="BA41" s="281"/>
      <c r="BB41" s="281"/>
      <c r="BC41" s="281"/>
      <c r="BD41" s="281"/>
      <c r="BE41" s="281"/>
      <c r="BF41" s="281"/>
      <c r="BG41" s="281"/>
      <c r="BH41" s="281"/>
      <c r="BI41" s="281"/>
      <c r="BJ41" s="281"/>
      <c r="BK41" s="281"/>
      <c r="BL41" s="281"/>
      <c r="BM41" s="281"/>
      <c r="BN41" s="281"/>
      <c r="BO41" s="281"/>
      <c r="BP41" s="281"/>
      <c r="BQ41" s="281"/>
      <c r="BR41" s="281"/>
      <c r="BS41" s="281"/>
      <c r="BT41" s="281"/>
      <c r="BU41" s="281"/>
    </row>
    <row r="42" spans="1:73" s="283" customFormat="1" ht="25.5" customHeight="1" x14ac:dyDescent="0.25">
      <c r="A42" s="281" t="e">
        <f>Gantt!#REF!</f>
        <v>#REF!</v>
      </c>
      <c r="B42" s="282" t="e">
        <f>Gantt!#REF!</f>
        <v>#REF!</v>
      </c>
      <c r="D42" s="284"/>
      <c r="E42" s="290" t="e">
        <f>Gantt!#REF!</f>
        <v>#REF!</v>
      </c>
      <c r="F42" s="291" t="e">
        <f>Gantt!#REF!</f>
        <v>#REF!</v>
      </c>
      <c r="G42" s="285" t="e">
        <f t="shared" si="11"/>
        <v>#REF!</v>
      </c>
      <c r="H42" s="286" t="e">
        <f>Gantt!#REF!</f>
        <v>#REF!</v>
      </c>
      <c r="I42" s="287" t="e">
        <f t="shared" si="19"/>
        <v>#REF!</v>
      </c>
      <c r="J42" s="288"/>
      <c r="K42" s="281"/>
      <c r="L42" s="281"/>
      <c r="M42" s="281"/>
      <c r="N42" s="281"/>
      <c r="O42" s="281"/>
      <c r="P42" s="281"/>
      <c r="Q42" s="281"/>
      <c r="R42" s="281"/>
      <c r="S42" s="281"/>
      <c r="T42" s="281"/>
      <c r="U42" s="281"/>
      <c r="V42" s="281"/>
      <c r="W42" s="281"/>
      <c r="X42" s="281"/>
      <c r="Y42" s="281"/>
      <c r="Z42" s="281"/>
      <c r="AA42" s="281"/>
      <c r="AB42" s="281"/>
      <c r="AC42" s="281"/>
      <c r="AD42" s="281"/>
      <c r="AE42" s="281"/>
      <c r="AF42" s="281"/>
      <c r="AG42" s="281"/>
      <c r="AH42" s="281"/>
      <c r="AI42" s="281"/>
      <c r="AJ42" s="281"/>
      <c r="AK42" s="281"/>
      <c r="AL42" s="281"/>
      <c r="AM42" s="281"/>
      <c r="AN42" s="281"/>
      <c r="AO42" s="281"/>
      <c r="AP42" s="281"/>
      <c r="AQ42" s="281"/>
      <c r="AR42" s="281"/>
      <c r="AS42" s="281"/>
      <c r="AT42" s="281"/>
      <c r="AU42" s="281"/>
      <c r="AV42" s="281"/>
      <c r="AW42" s="281"/>
      <c r="AX42" s="281"/>
      <c r="AY42" s="281"/>
      <c r="AZ42" s="281"/>
      <c r="BA42" s="281"/>
      <c r="BB42" s="281"/>
      <c r="BC42" s="281"/>
      <c r="BD42" s="281"/>
      <c r="BE42" s="281"/>
      <c r="BF42" s="281"/>
      <c r="BG42" s="281"/>
      <c r="BH42" s="281"/>
      <c r="BI42" s="281"/>
      <c r="BJ42" s="281"/>
      <c r="BK42" s="281"/>
      <c r="BL42" s="281"/>
      <c r="BM42" s="281"/>
      <c r="BN42" s="281"/>
      <c r="BO42" s="281"/>
      <c r="BP42" s="281"/>
      <c r="BQ42" s="281"/>
      <c r="BR42" s="281"/>
      <c r="BS42" s="281"/>
      <c r="BT42" s="281"/>
      <c r="BU42" s="281"/>
    </row>
    <row r="43" spans="1:73" s="283" customFormat="1" ht="25.5" customHeight="1" x14ac:dyDescent="0.25">
      <c r="A43" s="281" t="e">
        <f>Gantt!#REF!</f>
        <v>#REF!</v>
      </c>
      <c r="B43" s="282" t="e">
        <f>Gantt!#REF!</f>
        <v>#REF!</v>
      </c>
      <c r="D43" s="284"/>
      <c r="E43" s="290" t="e">
        <f>Gantt!#REF!</f>
        <v>#REF!</v>
      </c>
      <c r="F43" s="291" t="e">
        <f>Gantt!#REF!</f>
        <v>#REF!</v>
      </c>
      <c r="G43" s="285" t="e">
        <f t="shared" si="11"/>
        <v>#REF!</v>
      </c>
      <c r="H43" s="286" t="e">
        <f>Gantt!#REF!</f>
        <v>#REF!</v>
      </c>
      <c r="I43" s="287" t="e">
        <f t="shared" si="19"/>
        <v>#REF!</v>
      </c>
      <c r="J43" s="288"/>
      <c r="K43" s="281"/>
      <c r="L43" s="281"/>
      <c r="M43" s="281"/>
      <c r="N43" s="281"/>
      <c r="O43" s="281"/>
      <c r="P43" s="281"/>
      <c r="Q43" s="281"/>
      <c r="R43" s="281"/>
      <c r="S43" s="281"/>
      <c r="T43" s="281"/>
      <c r="U43" s="281"/>
      <c r="V43" s="281"/>
      <c r="W43" s="281"/>
      <c r="X43" s="281"/>
      <c r="Y43" s="281"/>
      <c r="Z43" s="281"/>
      <c r="AA43" s="281"/>
      <c r="AB43" s="281"/>
      <c r="AC43" s="281"/>
      <c r="AD43" s="281"/>
      <c r="AE43" s="281"/>
      <c r="AF43" s="281"/>
      <c r="AG43" s="281"/>
      <c r="AH43" s="281"/>
      <c r="AI43" s="281"/>
      <c r="AJ43" s="281"/>
      <c r="AK43" s="281"/>
      <c r="AL43" s="281"/>
      <c r="AM43" s="281"/>
      <c r="AN43" s="281"/>
      <c r="AO43" s="281"/>
      <c r="AP43" s="281"/>
      <c r="AQ43" s="281"/>
      <c r="AR43" s="281"/>
      <c r="AS43" s="281"/>
      <c r="AT43" s="281"/>
      <c r="AU43" s="281"/>
      <c r="AV43" s="281"/>
      <c r="AW43" s="281"/>
      <c r="AX43" s="281"/>
      <c r="AY43" s="281"/>
      <c r="AZ43" s="281"/>
      <c r="BA43" s="281"/>
      <c r="BB43" s="281"/>
      <c r="BC43" s="281"/>
      <c r="BD43" s="281"/>
      <c r="BE43" s="281"/>
      <c r="BF43" s="281"/>
      <c r="BG43" s="281"/>
      <c r="BH43" s="281"/>
      <c r="BI43" s="281"/>
      <c r="BJ43" s="281"/>
      <c r="BK43" s="281"/>
      <c r="BL43" s="281"/>
      <c r="BM43" s="281"/>
      <c r="BN43" s="281"/>
      <c r="BO43" s="281"/>
      <c r="BP43" s="281"/>
      <c r="BQ43" s="281"/>
      <c r="BR43" s="281"/>
      <c r="BS43" s="281"/>
      <c r="BT43" s="281"/>
      <c r="BU43" s="281"/>
    </row>
    <row r="44" spans="1:73" s="283" customFormat="1" ht="25.5" customHeight="1" x14ac:dyDescent="0.25">
      <c r="A44" s="281" t="str">
        <f>Gantt!A29</f>
        <v>5.2</v>
      </c>
      <c r="B44" s="300" t="str">
        <f>Gantt!C29</f>
        <v>Supporto Specialistico  2025</v>
      </c>
      <c r="D44" s="301"/>
      <c r="E44" s="302"/>
      <c r="F44" s="303"/>
      <c r="G44" s="304"/>
      <c r="H44" s="305"/>
      <c r="I44" s="304"/>
      <c r="J44" s="288"/>
      <c r="K44" s="281"/>
      <c r="L44" s="281"/>
      <c r="M44" s="281"/>
      <c r="N44" s="281"/>
      <c r="O44" s="281"/>
      <c r="P44" s="281"/>
      <c r="Q44" s="281"/>
      <c r="R44" s="281"/>
      <c r="S44" s="281"/>
      <c r="T44" s="281"/>
      <c r="U44" s="281"/>
      <c r="V44" s="281"/>
      <c r="W44" s="281"/>
      <c r="X44" s="281"/>
      <c r="Y44" s="281"/>
      <c r="Z44" s="281"/>
      <c r="AA44" s="281"/>
      <c r="AB44" s="281"/>
      <c r="AC44" s="281"/>
      <c r="AD44" s="281"/>
      <c r="AE44" s="281"/>
      <c r="AF44" s="281"/>
      <c r="AG44" s="281"/>
      <c r="AH44" s="281"/>
      <c r="AI44" s="281"/>
      <c r="AJ44" s="281"/>
      <c r="AK44" s="281"/>
      <c r="AL44" s="281"/>
      <c r="AM44" s="281"/>
      <c r="AN44" s="281"/>
      <c r="AO44" s="281"/>
      <c r="AP44" s="281"/>
      <c r="AQ44" s="281"/>
      <c r="AR44" s="281"/>
      <c r="AS44" s="281"/>
      <c r="AT44" s="281"/>
      <c r="AU44" s="281"/>
      <c r="AV44" s="281"/>
      <c r="AW44" s="281"/>
      <c r="AX44" s="281"/>
      <c r="AY44" s="281"/>
      <c r="AZ44" s="281"/>
      <c r="BA44" s="281"/>
      <c r="BB44" s="281"/>
      <c r="BC44" s="281"/>
      <c r="BD44" s="281"/>
      <c r="BE44" s="281"/>
      <c r="BF44" s="281"/>
      <c r="BG44" s="281"/>
      <c r="BH44" s="281"/>
      <c r="BI44" s="281"/>
      <c r="BJ44" s="281"/>
      <c r="BK44" s="281"/>
      <c r="BL44" s="281"/>
      <c r="BM44" s="281"/>
      <c r="BN44" s="281"/>
      <c r="BO44" s="281"/>
      <c r="BP44" s="281"/>
      <c r="BQ44" s="281"/>
      <c r="BR44" s="281"/>
      <c r="BS44" s="281"/>
      <c r="BT44" s="281"/>
      <c r="BU44" s="281"/>
    </row>
    <row r="45" spans="1:73" s="283" customFormat="1" ht="25.5" customHeight="1" x14ac:dyDescent="0.25">
      <c r="A45" s="281" t="str">
        <f>Gantt!A30</f>
        <v>5.2.1</v>
      </c>
      <c r="B45" s="282" t="str">
        <f>Gantt!C30</f>
        <v>Supporto Specialistico - I TRIM 2025</v>
      </c>
      <c r="D45" s="284"/>
      <c r="E45" s="290">
        <f>Gantt!M30</f>
        <v>45658</v>
      </c>
      <c r="F45" s="291">
        <f>Gantt!P30</f>
        <v>45747</v>
      </c>
      <c r="G45" s="285">
        <f t="shared" si="11"/>
        <v>89</v>
      </c>
      <c r="H45" s="286">
        <f>Gantt!L30</f>
        <v>0</v>
      </c>
      <c r="I45" s="287">
        <f t="shared" ref="I45:I51" si="20">IF(OR(F45=0,E45=0)," - ",NETWORKDAYS(E45,F45))</f>
        <v>64</v>
      </c>
      <c r="J45" s="288"/>
      <c r="K45" s="281"/>
      <c r="L45" s="281"/>
      <c r="M45" s="281"/>
      <c r="N45" s="281"/>
      <c r="O45" s="281"/>
      <c r="P45" s="281"/>
      <c r="Q45" s="281"/>
      <c r="R45" s="281"/>
      <c r="S45" s="281"/>
      <c r="T45" s="281"/>
      <c r="U45" s="281"/>
      <c r="V45" s="281"/>
      <c r="W45" s="281"/>
      <c r="X45" s="281"/>
      <c r="Y45" s="281"/>
      <c r="Z45" s="281"/>
      <c r="AA45" s="281"/>
      <c r="AB45" s="281"/>
      <c r="AC45" s="281"/>
      <c r="AD45" s="281"/>
      <c r="AE45" s="281"/>
      <c r="AF45" s="281"/>
      <c r="AG45" s="281"/>
      <c r="AH45" s="281"/>
      <c r="AI45" s="281"/>
      <c r="AJ45" s="281"/>
      <c r="AK45" s="281"/>
      <c r="AL45" s="281"/>
      <c r="AM45" s="281"/>
      <c r="AN45" s="281"/>
      <c r="AO45" s="281"/>
      <c r="AP45" s="281"/>
      <c r="AQ45" s="281"/>
      <c r="AR45" s="281"/>
      <c r="AS45" s="281"/>
      <c r="AT45" s="281"/>
      <c r="AU45" s="281"/>
      <c r="AV45" s="281"/>
      <c r="AW45" s="281"/>
      <c r="AX45" s="281"/>
      <c r="AY45" s="281"/>
      <c r="AZ45" s="281"/>
      <c r="BA45" s="281"/>
      <c r="BB45" s="281"/>
      <c r="BC45" s="281"/>
      <c r="BD45" s="281"/>
      <c r="BE45" s="281"/>
      <c r="BF45" s="281"/>
      <c r="BG45" s="281"/>
      <c r="BH45" s="281"/>
      <c r="BI45" s="281"/>
      <c r="BJ45" s="281"/>
      <c r="BK45" s="281"/>
      <c r="BL45" s="281"/>
      <c r="BM45" s="281"/>
      <c r="BN45" s="281"/>
      <c r="BO45" s="281"/>
      <c r="BP45" s="281"/>
      <c r="BQ45" s="281"/>
      <c r="BR45" s="281"/>
      <c r="BS45" s="281"/>
      <c r="BT45" s="281"/>
      <c r="BU45" s="281"/>
    </row>
    <row r="46" spans="1:73" s="283" customFormat="1" ht="25.5" customHeight="1" x14ac:dyDescent="0.25">
      <c r="A46" s="281" t="str">
        <f>Gantt!A31</f>
        <v>5.2.2</v>
      </c>
      <c r="B46" s="282" t="str">
        <f>Gantt!C31</f>
        <v>Supporto Specialistico - II TRIM 2025</v>
      </c>
      <c r="D46" s="284"/>
      <c r="E46" s="290">
        <f>Gantt!M31</f>
        <v>45748</v>
      </c>
      <c r="F46" s="291">
        <f>Gantt!P31</f>
        <v>45838</v>
      </c>
      <c r="G46" s="285">
        <f t="shared" si="11"/>
        <v>90</v>
      </c>
      <c r="H46" s="286">
        <f>Gantt!L31</f>
        <v>0</v>
      </c>
      <c r="I46" s="287">
        <f t="shared" si="20"/>
        <v>65</v>
      </c>
      <c r="J46" s="288"/>
      <c r="K46" s="281"/>
      <c r="L46" s="281"/>
      <c r="M46" s="281"/>
      <c r="N46" s="281"/>
      <c r="O46" s="281"/>
      <c r="P46" s="281"/>
      <c r="Q46" s="281"/>
      <c r="R46" s="281"/>
      <c r="S46" s="281"/>
      <c r="T46" s="281"/>
      <c r="U46" s="281"/>
      <c r="V46" s="281"/>
      <c r="W46" s="281"/>
      <c r="X46" s="281"/>
      <c r="Y46" s="281"/>
      <c r="Z46" s="281"/>
      <c r="AA46" s="281"/>
      <c r="AB46" s="281"/>
      <c r="AC46" s="281"/>
      <c r="AD46" s="281"/>
      <c r="AE46" s="281"/>
      <c r="AF46" s="281"/>
      <c r="AG46" s="281"/>
      <c r="AH46" s="281"/>
      <c r="AI46" s="281"/>
      <c r="AJ46" s="281"/>
      <c r="AK46" s="281"/>
      <c r="AL46" s="281"/>
      <c r="AM46" s="281"/>
      <c r="AN46" s="281"/>
      <c r="AO46" s="281"/>
      <c r="AP46" s="281"/>
      <c r="AQ46" s="281"/>
      <c r="AR46" s="281"/>
      <c r="AS46" s="281"/>
      <c r="AT46" s="281"/>
      <c r="AU46" s="281"/>
      <c r="AV46" s="281"/>
      <c r="AW46" s="281"/>
      <c r="AX46" s="281"/>
      <c r="AY46" s="281"/>
      <c r="AZ46" s="281"/>
      <c r="BA46" s="281"/>
      <c r="BB46" s="281"/>
      <c r="BC46" s="281"/>
      <c r="BD46" s="281"/>
      <c r="BE46" s="281"/>
      <c r="BF46" s="281"/>
      <c r="BG46" s="281"/>
      <c r="BH46" s="281"/>
      <c r="BI46" s="281"/>
      <c r="BJ46" s="281"/>
      <c r="BK46" s="281"/>
      <c r="BL46" s="281"/>
      <c r="BM46" s="281"/>
      <c r="BN46" s="281"/>
      <c r="BO46" s="281"/>
      <c r="BP46" s="281"/>
      <c r="BQ46" s="281"/>
      <c r="BR46" s="281"/>
      <c r="BS46" s="281"/>
      <c r="BT46" s="281"/>
      <c r="BU46" s="281"/>
    </row>
    <row r="47" spans="1:73" s="283" customFormat="1" ht="25.5" customHeight="1" x14ac:dyDescent="0.25">
      <c r="A47" s="281">
        <f>Gantt!A32</f>
        <v>6</v>
      </c>
      <c r="B47" s="306" t="str">
        <f>Gantt!C32</f>
        <v>SERVIZI DI CALL CENTER</v>
      </c>
      <c r="C47" s="307"/>
      <c r="D47" s="308"/>
      <c r="E47" s="309"/>
      <c r="F47" s="310"/>
      <c r="G47" s="311"/>
      <c r="H47" s="312"/>
      <c r="I47" s="311" t="str">
        <f t="shared" si="20"/>
        <v xml:space="preserve"> - </v>
      </c>
      <c r="J47" s="288"/>
      <c r="K47" s="281"/>
      <c r="L47" s="281"/>
      <c r="M47" s="281"/>
      <c r="N47" s="281"/>
      <c r="O47" s="281"/>
      <c r="P47" s="281"/>
      <c r="Q47" s="281"/>
      <c r="R47" s="281"/>
      <c r="S47" s="281"/>
      <c r="T47" s="281"/>
      <c r="U47" s="281"/>
      <c r="V47" s="281"/>
      <c r="W47" s="281"/>
      <c r="X47" s="281"/>
      <c r="Y47" s="281"/>
      <c r="Z47" s="281"/>
      <c r="AA47" s="281"/>
      <c r="AB47" s="281"/>
      <c r="AC47" s="281"/>
      <c r="AD47" s="281"/>
      <c r="AE47" s="281"/>
      <c r="AF47" s="281"/>
      <c r="AG47" s="281"/>
      <c r="AH47" s="281"/>
      <c r="AI47" s="281"/>
      <c r="AJ47" s="281"/>
      <c r="AK47" s="281"/>
      <c r="AL47" s="281"/>
      <c r="AM47" s="281"/>
      <c r="AN47" s="281"/>
      <c r="AO47" s="281"/>
      <c r="AP47" s="281"/>
      <c r="AQ47" s="281"/>
      <c r="AR47" s="281"/>
      <c r="AS47" s="281"/>
      <c r="AT47" s="281"/>
      <c r="AU47" s="281"/>
      <c r="AV47" s="281"/>
      <c r="AW47" s="281"/>
      <c r="AX47" s="281"/>
      <c r="AY47" s="281"/>
      <c r="AZ47" s="281"/>
      <c r="BA47" s="281"/>
      <c r="BB47" s="281"/>
      <c r="BC47" s="281"/>
      <c r="BD47" s="281"/>
      <c r="BE47" s="281"/>
      <c r="BF47" s="281"/>
      <c r="BG47" s="281"/>
      <c r="BH47" s="281"/>
      <c r="BI47" s="281"/>
      <c r="BJ47" s="281"/>
      <c r="BK47" s="281"/>
      <c r="BL47" s="281"/>
      <c r="BM47" s="281"/>
      <c r="BN47" s="281"/>
      <c r="BO47" s="281"/>
      <c r="BP47" s="281"/>
      <c r="BQ47" s="281"/>
      <c r="BR47" s="281"/>
      <c r="BS47" s="281"/>
      <c r="BT47" s="281"/>
      <c r="BU47" s="281"/>
    </row>
    <row r="48" spans="1:73" s="283" customFormat="1" ht="25.5" customHeight="1" x14ac:dyDescent="0.25">
      <c r="A48" s="281" t="e">
        <f>Gantt!#REF!</f>
        <v>#REF!</v>
      </c>
      <c r="B48" s="282" t="e">
        <f>Gantt!#REF!</f>
        <v>#REF!</v>
      </c>
      <c r="D48" s="284"/>
      <c r="E48" s="290" t="e">
        <f>Gantt!#REF!</f>
        <v>#REF!</v>
      </c>
      <c r="F48" s="291" t="e">
        <f>Gantt!#REF!</f>
        <v>#REF!</v>
      </c>
      <c r="G48" s="285" t="e">
        <f t="shared" si="11"/>
        <v>#REF!</v>
      </c>
      <c r="H48" s="286" t="e">
        <f>Gantt!#REF!</f>
        <v>#REF!</v>
      </c>
      <c r="I48" s="287" t="e">
        <f t="shared" si="20"/>
        <v>#REF!</v>
      </c>
      <c r="J48" s="288"/>
      <c r="K48" s="281"/>
      <c r="L48" s="281"/>
      <c r="M48" s="281"/>
      <c r="N48" s="281"/>
      <c r="O48" s="281"/>
      <c r="P48" s="281"/>
      <c r="Q48" s="281"/>
      <c r="R48" s="281"/>
      <c r="S48" s="281"/>
      <c r="T48" s="281"/>
      <c r="U48" s="281"/>
      <c r="V48" s="281"/>
      <c r="W48" s="281"/>
      <c r="X48" s="281"/>
      <c r="Y48" s="281"/>
      <c r="Z48" s="281"/>
      <c r="AA48" s="281"/>
      <c r="AB48" s="281"/>
      <c r="AC48" s="281"/>
      <c r="AD48" s="281"/>
      <c r="AE48" s="281"/>
      <c r="AF48" s="281"/>
      <c r="AG48" s="281"/>
      <c r="AH48" s="281"/>
      <c r="AI48" s="281"/>
      <c r="AJ48" s="281"/>
      <c r="AK48" s="281"/>
      <c r="AL48" s="281"/>
      <c r="AM48" s="281"/>
      <c r="AN48" s="281"/>
      <c r="AO48" s="281"/>
      <c r="AP48" s="281"/>
      <c r="AQ48" s="281"/>
      <c r="AR48" s="281"/>
      <c r="AS48" s="281"/>
      <c r="AT48" s="281"/>
      <c r="AU48" s="281"/>
      <c r="AV48" s="281"/>
      <c r="AW48" s="281"/>
      <c r="AX48" s="281"/>
      <c r="AY48" s="281"/>
      <c r="AZ48" s="281"/>
      <c r="BA48" s="281"/>
      <c r="BB48" s="281"/>
      <c r="BC48" s="281"/>
      <c r="BD48" s="281"/>
      <c r="BE48" s="281"/>
      <c r="BF48" s="281"/>
      <c r="BG48" s="281"/>
      <c r="BH48" s="281"/>
      <c r="BI48" s="281"/>
      <c r="BJ48" s="281"/>
      <c r="BK48" s="281"/>
      <c r="BL48" s="281"/>
      <c r="BM48" s="281"/>
      <c r="BN48" s="281"/>
      <c r="BO48" s="281"/>
      <c r="BP48" s="281"/>
      <c r="BQ48" s="281"/>
      <c r="BR48" s="281"/>
      <c r="BS48" s="281"/>
      <c r="BT48" s="281"/>
      <c r="BU48" s="281"/>
    </row>
    <row r="49" spans="1:73" s="283" customFormat="1" ht="25.5" customHeight="1" x14ac:dyDescent="0.25">
      <c r="A49" s="281" t="e">
        <f>Gantt!#REF!</f>
        <v>#REF!</v>
      </c>
      <c r="B49" s="282" t="e">
        <f>Gantt!#REF!</f>
        <v>#REF!</v>
      </c>
      <c r="D49" s="284"/>
      <c r="E49" s="290" t="e">
        <f>Gantt!#REF!</f>
        <v>#REF!</v>
      </c>
      <c r="F49" s="291" t="e">
        <f>Gantt!#REF!</f>
        <v>#REF!</v>
      </c>
      <c r="G49" s="285" t="e">
        <f t="shared" si="11"/>
        <v>#REF!</v>
      </c>
      <c r="H49" s="286" t="e">
        <f>Gantt!#REF!</f>
        <v>#REF!</v>
      </c>
      <c r="I49" s="287" t="e">
        <f t="shared" si="20"/>
        <v>#REF!</v>
      </c>
      <c r="J49" s="288"/>
      <c r="K49" s="281"/>
      <c r="L49" s="281"/>
      <c r="M49" s="281"/>
      <c r="N49" s="281"/>
      <c r="O49" s="281"/>
      <c r="P49" s="281"/>
      <c r="Q49" s="281"/>
      <c r="R49" s="281"/>
      <c r="S49" s="281"/>
      <c r="T49" s="281"/>
      <c r="U49" s="281"/>
      <c r="V49" s="281"/>
      <c r="W49" s="281"/>
      <c r="X49" s="281"/>
      <c r="Y49" s="281"/>
      <c r="Z49" s="281"/>
      <c r="AA49" s="281"/>
      <c r="AB49" s="281"/>
      <c r="AC49" s="281"/>
      <c r="AD49" s="281"/>
      <c r="AE49" s="281"/>
      <c r="AF49" s="281"/>
      <c r="AG49" s="281"/>
      <c r="AH49" s="281"/>
      <c r="AI49" s="281"/>
      <c r="AJ49" s="281"/>
      <c r="AK49" s="281"/>
      <c r="AL49" s="281"/>
      <c r="AM49" s="281"/>
      <c r="AN49" s="281"/>
      <c r="AO49" s="281"/>
      <c r="AP49" s="281"/>
      <c r="AQ49" s="281"/>
      <c r="AR49" s="281"/>
      <c r="AS49" s="281"/>
      <c r="AT49" s="281"/>
      <c r="AU49" s="281"/>
      <c r="AV49" s="281"/>
      <c r="AW49" s="281"/>
      <c r="AX49" s="281"/>
      <c r="AY49" s="281"/>
      <c r="AZ49" s="281"/>
      <c r="BA49" s="281"/>
      <c r="BB49" s="281"/>
      <c r="BC49" s="281"/>
      <c r="BD49" s="281"/>
      <c r="BE49" s="281"/>
      <c r="BF49" s="281"/>
      <c r="BG49" s="281"/>
      <c r="BH49" s="281"/>
      <c r="BI49" s="281"/>
      <c r="BJ49" s="281"/>
      <c r="BK49" s="281"/>
      <c r="BL49" s="281"/>
      <c r="BM49" s="281"/>
      <c r="BN49" s="281"/>
      <c r="BO49" s="281"/>
      <c r="BP49" s="281"/>
      <c r="BQ49" s="281"/>
      <c r="BR49" s="281"/>
      <c r="BS49" s="281"/>
      <c r="BT49" s="281"/>
      <c r="BU49" s="281"/>
    </row>
    <row r="50" spans="1:73" s="283" customFormat="1" ht="25.5" customHeight="1" x14ac:dyDescent="0.25">
      <c r="A50" s="281" t="e">
        <f>Gantt!#REF!</f>
        <v>#REF!</v>
      </c>
      <c r="B50" s="282" t="e">
        <f>Gantt!#REF!</f>
        <v>#REF!</v>
      </c>
      <c r="D50" s="284"/>
      <c r="E50" s="290" t="e">
        <f>Gantt!#REF!</f>
        <v>#REF!</v>
      </c>
      <c r="F50" s="291" t="e">
        <f>Gantt!#REF!</f>
        <v>#REF!</v>
      </c>
      <c r="G50" s="285" t="e">
        <f t="shared" si="11"/>
        <v>#REF!</v>
      </c>
      <c r="H50" s="286" t="e">
        <f>Gantt!#REF!</f>
        <v>#REF!</v>
      </c>
      <c r="I50" s="287" t="e">
        <f t="shared" si="20"/>
        <v>#REF!</v>
      </c>
      <c r="J50" s="288"/>
      <c r="K50" s="281"/>
      <c r="L50" s="281"/>
      <c r="M50" s="281"/>
      <c r="N50" s="281"/>
      <c r="O50" s="281"/>
      <c r="P50" s="281"/>
      <c r="Q50" s="281"/>
      <c r="R50" s="281"/>
      <c r="S50" s="281"/>
      <c r="T50" s="281"/>
      <c r="U50" s="281"/>
      <c r="V50" s="281"/>
      <c r="W50" s="281"/>
      <c r="X50" s="281"/>
      <c r="Y50" s="281"/>
      <c r="Z50" s="281"/>
      <c r="AA50" s="281"/>
      <c r="AB50" s="281"/>
      <c r="AC50" s="281"/>
      <c r="AD50" s="281"/>
      <c r="AE50" s="281"/>
      <c r="AF50" s="281"/>
      <c r="AG50" s="281"/>
      <c r="AH50" s="281"/>
      <c r="AI50" s="281"/>
      <c r="AJ50" s="281"/>
      <c r="AK50" s="281"/>
      <c r="AL50" s="281"/>
      <c r="AM50" s="281"/>
      <c r="AN50" s="281"/>
      <c r="AO50" s="281"/>
      <c r="AP50" s="281"/>
      <c r="AQ50" s="281"/>
      <c r="AR50" s="281"/>
      <c r="AS50" s="281"/>
      <c r="AT50" s="281"/>
      <c r="AU50" s="281"/>
      <c r="AV50" s="281"/>
      <c r="AW50" s="281"/>
      <c r="AX50" s="281"/>
      <c r="AY50" s="281"/>
      <c r="AZ50" s="281"/>
      <c r="BA50" s="281"/>
      <c r="BB50" s="281"/>
      <c r="BC50" s="281"/>
      <c r="BD50" s="281"/>
      <c r="BE50" s="281"/>
      <c r="BF50" s="281"/>
      <c r="BG50" s="281"/>
      <c r="BH50" s="281"/>
      <c r="BI50" s="281"/>
      <c r="BJ50" s="281"/>
      <c r="BK50" s="281"/>
      <c r="BL50" s="281"/>
      <c r="BM50" s="281"/>
      <c r="BN50" s="281"/>
      <c r="BO50" s="281"/>
      <c r="BP50" s="281"/>
      <c r="BQ50" s="281"/>
      <c r="BR50" s="281"/>
      <c r="BS50" s="281"/>
      <c r="BT50" s="281"/>
      <c r="BU50" s="281"/>
    </row>
    <row r="51" spans="1:73" s="283" customFormat="1" ht="25.5" customHeight="1" x14ac:dyDescent="0.25">
      <c r="A51" s="281" t="e">
        <f>Gantt!#REF!</f>
        <v>#REF!</v>
      </c>
      <c r="B51" s="282" t="e">
        <f>Gantt!#REF!</f>
        <v>#REF!</v>
      </c>
      <c r="D51" s="284"/>
      <c r="E51" s="290" t="e">
        <f>Gantt!#REF!</f>
        <v>#REF!</v>
      </c>
      <c r="F51" s="291" t="e">
        <f>Gantt!#REF!</f>
        <v>#REF!</v>
      </c>
      <c r="G51" s="285" t="e">
        <f t="shared" si="11"/>
        <v>#REF!</v>
      </c>
      <c r="H51" s="286" t="e">
        <f>Gantt!#REF!</f>
        <v>#REF!</v>
      </c>
      <c r="I51" s="287" t="e">
        <f t="shared" si="20"/>
        <v>#REF!</v>
      </c>
      <c r="J51" s="288"/>
      <c r="K51" s="281"/>
      <c r="L51" s="281"/>
      <c r="M51" s="281"/>
      <c r="N51" s="281"/>
      <c r="O51" s="281"/>
      <c r="P51" s="281"/>
      <c r="Q51" s="281"/>
      <c r="R51" s="281"/>
      <c r="S51" s="281"/>
      <c r="T51" s="281"/>
      <c r="U51" s="281"/>
      <c r="V51" s="281"/>
      <c r="W51" s="281"/>
      <c r="X51" s="281"/>
      <c r="Y51" s="281"/>
      <c r="Z51" s="281"/>
      <c r="AA51" s="281"/>
      <c r="AB51" s="281"/>
      <c r="AC51" s="281"/>
      <c r="AD51" s="281"/>
      <c r="AE51" s="281"/>
      <c r="AF51" s="281"/>
      <c r="AG51" s="281"/>
      <c r="AH51" s="281"/>
      <c r="AI51" s="281"/>
      <c r="AJ51" s="281"/>
      <c r="AK51" s="281"/>
      <c r="AL51" s="281"/>
      <c r="AM51" s="281"/>
      <c r="AN51" s="281"/>
      <c r="AO51" s="281"/>
      <c r="AP51" s="281"/>
      <c r="AQ51" s="281"/>
      <c r="AR51" s="281"/>
      <c r="AS51" s="281"/>
      <c r="AT51" s="281"/>
      <c r="AU51" s="281"/>
      <c r="AV51" s="281"/>
      <c r="AW51" s="281"/>
      <c r="AX51" s="281"/>
      <c r="AY51" s="281"/>
      <c r="AZ51" s="281"/>
      <c r="BA51" s="281"/>
      <c r="BB51" s="281"/>
      <c r="BC51" s="281"/>
      <c r="BD51" s="281"/>
      <c r="BE51" s="281"/>
      <c r="BF51" s="281"/>
      <c r="BG51" s="281"/>
      <c r="BH51" s="281"/>
      <c r="BI51" s="281"/>
      <c r="BJ51" s="281"/>
      <c r="BK51" s="281"/>
      <c r="BL51" s="281"/>
      <c r="BM51" s="281"/>
      <c r="BN51" s="281"/>
      <c r="BO51" s="281"/>
      <c r="BP51" s="281"/>
      <c r="BQ51" s="281"/>
      <c r="BR51" s="281"/>
      <c r="BS51" s="281"/>
      <c r="BT51" s="281"/>
      <c r="BU51" s="281"/>
    </row>
    <row r="52" spans="1:73" s="283" customFormat="1" ht="25.5" customHeight="1" x14ac:dyDescent="0.25">
      <c r="A52" s="281" t="str">
        <f>Gantt!A33</f>
        <v>6.5</v>
      </c>
      <c r="B52" s="282" t="str">
        <f>Gantt!C33</f>
        <v>Servizi call center - I TRIM 2025</v>
      </c>
      <c r="D52" s="284"/>
      <c r="E52" s="290">
        <f>Gantt!M33</f>
        <v>45658</v>
      </c>
      <c r="F52" s="291">
        <f>Gantt!P33</f>
        <v>45747</v>
      </c>
      <c r="G52" s="285">
        <f t="shared" si="11"/>
        <v>89</v>
      </c>
      <c r="H52" s="286">
        <f>Gantt!L33</f>
        <v>0</v>
      </c>
      <c r="I52" s="287">
        <f t="shared" ref="I52" si="21">IF(OR(F52=0,E52=0)," - ",NETWORKDAYS(E52,F52))</f>
        <v>64</v>
      </c>
      <c r="J52" s="288"/>
      <c r="K52" s="281"/>
      <c r="L52" s="281"/>
      <c r="M52" s="281"/>
      <c r="N52" s="281"/>
      <c r="O52" s="281"/>
      <c r="P52" s="281"/>
      <c r="Q52" s="281"/>
      <c r="R52" s="281"/>
      <c r="S52" s="281"/>
      <c r="T52" s="281"/>
      <c r="U52" s="281"/>
      <c r="V52" s="281"/>
      <c r="W52" s="281"/>
      <c r="X52" s="281"/>
      <c r="Y52" s="281"/>
      <c r="Z52" s="281"/>
      <c r="AA52" s="281"/>
      <c r="AB52" s="281"/>
      <c r="AC52" s="281"/>
      <c r="AD52" s="281"/>
      <c r="AE52" s="281"/>
      <c r="AF52" s="281"/>
      <c r="AG52" s="281"/>
      <c r="AH52" s="281"/>
      <c r="AI52" s="281"/>
      <c r="AJ52" s="281"/>
      <c r="AK52" s="281"/>
      <c r="AL52" s="281"/>
      <c r="AM52" s="281"/>
      <c r="AN52" s="281"/>
      <c r="AO52" s="281"/>
      <c r="AP52" s="281"/>
      <c r="AQ52" s="281"/>
      <c r="AR52" s="281"/>
      <c r="AS52" s="281"/>
      <c r="AT52" s="281"/>
      <c r="AU52" s="281"/>
      <c r="AV52" s="281"/>
      <c r="AW52" s="281"/>
      <c r="AX52" s="281"/>
      <c r="AY52" s="281"/>
      <c r="AZ52" s="281"/>
      <c r="BA52" s="281"/>
      <c r="BB52" s="281"/>
      <c r="BC52" s="281"/>
      <c r="BD52" s="281"/>
      <c r="BE52" s="281"/>
      <c r="BF52" s="281"/>
      <c r="BG52" s="281"/>
      <c r="BH52" s="281"/>
      <c r="BI52" s="281"/>
      <c r="BJ52" s="281"/>
      <c r="BK52" s="281"/>
      <c r="BL52" s="281"/>
      <c r="BM52" s="281"/>
      <c r="BN52" s="281"/>
      <c r="BO52" s="281"/>
      <c r="BP52" s="281"/>
      <c r="BQ52" s="281"/>
      <c r="BR52" s="281"/>
      <c r="BS52" s="281"/>
      <c r="BT52" s="281"/>
      <c r="BU52" s="281"/>
    </row>
    <row r="53" spans="1:73" s="283" customFormat="1" ht="25.5" customHeight="1" x14ac:dyDescent="0.25">
      <c r="A53" s="281" t="str">
        <f>Gantt!A34</f>
        <v>6.6</v>
      </c>
      <c r="B53" s="282" t="str">
        <f>Gantt!C34</f>
        <v>Servizi call center - II TRIM 2025</v>
      </c>
      <c r="D53" s="284"/>
      <c r="E53" s="290">
        <f>Gantt!M34</f>
        <v>45748</v>
      </c>
      <c r="F53" s="291">
        <f>Gantt!P34</f>
        <v>45838</v>
      </c>
      <c r="G53" s="285">
        <f t="shared" ref="G53" si="22">F53-E53</f>
        <v>90</v>
      </c>
      <c r="H53" s="286">
        <f>Gantt!L34</f>
        <v>0</v>
      </c>
      <c r="I53" s="287">
        <f t="shared" ref="I53" si="23">IF(OR(F53=0,E53=0)," - ",NETWORKDAYS(E53,F53))</f>
        <v>65</v>
      </c>
      <c r="J53" s="288"/>
      <c r="K53" s="281"/>
      <c r="L53" s="281"/>
      <c r="M53" s="281"/>
      <c r="N53" s="281"/>
      <c r="O53" s="281"/>
      <c r="P53" s="281"/>
      <c r="Q53" s="281"/>
      <c r="R53" s="281"/>
      <c r="S53" s="281"/>
      <c r="T53" s="281"/>
      <c r="U53" s="281"/>
      <c r="V53" s="281"/>
      <c r="W53" s="281"/>
      <c r="X53" s="281"/>
      <c r="Y53" s="281"/>
      <c r="Z53" s="281"/>
      <c r="AA53" s="281"/>
      <c r="AB53" s="281"/>
      <c r="AC53" s="281"/>
      <c r="AD53" s="281"/>
      <c r="AE53" s="281"/>
      <c r="AF53" s="281"/>
      <c r="AG53" s="281"/>
      <c r="AH53" s="281"/>
      <c r="AI53" s="281"/>
      <c r="AJ53" s="281"/>
      <c r="AK53" s="281"/>
      <c r="AL53" s="281"/>
      <c r="AM53" s="281"/>
      <c r="AN53" s="281"/>
      <c r="AO53" s="281"/>
      <c r="AP53" s="281"/>
      <c r="AQ53" s="281"/>
      <c r="AR53" s="281"/>
      <c r="AS53" s="281"/>
      <c r="AT53" s="281"/>
      <c r="AU53" s="281"/>
      <c r="AV53" s="281"/>
      <c r="AW53" s="281"/>
      <c r="AX53" s="281"/>
      <c r="AY53" s="281"/>
      <c r="AZ53" s="281"/>
      <c r="BA53" s="281"/>
      <c r="BB53" s="281"/>
      <c r="BC53" s="281"/>
      <c r="BD53" s="281"/>
      <c r="BE53" s="281"/>
      <c r="BF53" s="281"/>
      <c r="BG53" s="281"/>
      <c r="BH53" s="281"/>
      <c r="BI53" s="281"/>
      <c r="BJ53" s="281"/>
      <c r="BK53" s="281"/>
      <c r="BL53" s="281"/>
      <c r="BM53" s="281"/>
      <c r="BN53" s="281"/>
      <c r="BO53" s="281"/>
      <c r="BP53" s="281"/>
      <c r="BQ53" s="281"/>
      <c r="BR53" s="281"/>
      <c r="BS53" s="281"/>
      <c r="BT53" s="281"/>
      <c r="BU53" s="281"/>
    </row>
  </sheetData>
  <mergeCells count="21">
    <mergeCell ref="AF5:AL5"/>
    <mergeCell ref="C4:E4"/>
    <mergeCell ref="K4:Q4"/>
    <mergeCell ref="R4:X4"/>
    <mergeCell ref="Y4:AE4"/>
    <mergeCell ref="AF4:AL4"/>
    <mergeCell ref="K1:AE1"/>
    <mergeCell ref="C5:E5"/>
    <mergeCell ref="K5:Q5"/>
    <mergeCell ref="R5:X5"/>
    <mergeCell ref="Y5:AE5"/>
    <mergeCell ref="BO4:BU4"/>
    <mergeCell ref="BO5:BU5"/>
    <mergeCell ref="AM4:AS4"/>
    <mergeCell ref="AT4:AZ4"/>
    <mergeCell ref="BA4:BG4"/>
    <mergeCell ref="BH4:BN4"/>
    <mergeCell ref="AM5:AS5"/>
    <mergeCell ref="AT5:AZ5"/>
    <mergeCell ref="BA5:BG5"/>
    <mergeCell ref="BH5:BN5"/>
  </mergeCells>
  <conditionalFormatting sqref="H8:H53">
    <cfRule type="dataBar" priority="4">
      <dataBar>
        <cfvo type="num" val="0"/>
        <cfvo type="num" val="1"/>
        <color theme="0" tint="-0.34998626667073579"/>
      </dataBar>
      <extLst>
        <ext xmlns:x14="http://schemas.microsoft.com/office/spreadsheetml/2009/9/main" uri="{B025F937-C7B1-47D3-B67F-A62EFF666E3E}">
          <x14:id>{5D0DABC1-23A8-40D9-9D0D-0C9FF4B1E5A1}</x14:id>
        </ext>
      </extLst>
    </cfRule>
  </conditionalFormatting>
  <conditionalFormatting sqref="K6:BU7">
    <cfRule type="expression" dxfId="142" priority="6">
      <formula>K$6=TODAY()</formula>
    </cfRule>
  </conditionalFormatting>
  <conditionalFormatting sqref="K6:BU53">
    <cfRule type="expression" dxfId="141" priority="1">
      <formula>K$6=TODAY()</formula>
    </cfRule>
  </conditionalFormatting>
  <conditionalFormatting sqref="K8:BU53">
    <cfRule type="expression" dxfId="140" priority="2">
      <formula>AND($E8&lt;=K$6,ROUNDDOWN(($F8-$E8+1)*$H8,0)+$E8-1&gt;=K$6)</formula>
    </cfRule>
    <cfRule type="expression" dxfId="139" priority="3">
      <formula>AND(NOT(ISBLANK($E8)),$E8&lt;=K$6,$F8&gt;=K$6)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xr:uid="{1FC10AE3-3943-4750-BCEB-B859530CAC6C}"/>
  </dataValidations>
  <hyperlinks>
    <hyperlink ref="K1:AE1" r:id="rId1" display="Gantt Chart Template © 2006-2018 by Vertex42.com." xr:uid="{3D3D9CE8-9AA8-4C43-BCF1-95CAD3A04040}"/>
  </hyperlinks>
  <pageMargins left="0.7" right="0.7" top="0.75" bottom="0.75" header="0.3" footer="0.3"/>
  <pageSetup paperSize="9" orientation="portrait" r:id="rId2"/>
  <headerFooter>
    <oddFooter>&amp;C&amp;1#&amp;"Calibri"&amp;10&amp;K000000Company General Use</oddFooter>
  </headerFooter>
  <drawing r:id="rId3"/>
  <legacyDrawing r:id="rId4"/>
  <mc:AlternateContent xmlns:mc="http://schemas.openxmlformats.org/markup-compatibility/2006">
    <mc:Choice Requires="x14">
      <controls>
        <mc:AlternateContent xmlns:mc="http://schemas.openxmlformats.org/markup-compatibility/2006">
          <mc:Choice Requires="x14">
            <control shapeId="9217" r:id="rId5" name="Scroll Bar 1">
              <controlPr defaultSize="0" print="0" autoPict="0">
                <anchor moveWithCells="1">
                  <from>
                    <xdr:col>9</xdr:col>
                    <xdr:colOff>95250</xdr:colOff>
                    <xdr:row>1</xdr:row>
                    <xdr:rowOff>123825</xdr:rowOff>
                  </from>
                  <to>
                    <xdr:col>24</xdr:col>
                    <xdr:colOff>133350</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5D0DABC1-23A8-40D9-9D0D-0C9FF4B1E5A1}">
            <x14:dataBar minLength="0" maxLength="100" gradient="0">
              <x14:cfvo type="num">
                <xm:f>0</xm:f>
              </x14:cfvo>
              <x14:cfvo type="num">
                <xm:f>1</xm:f>
              </x14:cfvo>
              <x14:negativeFillColor rgb="FFFF0000"/>
              <x14:axisColor rgb="FF000000"/>
            </x14:dataBar>
          </x14:cfRule>
          <xm:sqref>H8:H53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02D76-103F-4AF2-A187-C889F70EB2CD}">
  <dimension ref="A1:J49"/>
  <sheetViews>
    <sheetView topLeftCell="A21" workbookViewId="0">
      <selection activeCell="A40" sqref="A40:H47"/>
    </sheetView>
  </sheetViews>
  <sheetFormatPr defaultRowHeight="15" outlineLevelRow="2" x14ac:dyDescent="0.25"/>
  <cols>
    <col min="1" max="1" width="29.28515625" bestFit="1" customWidth="1"/>
    <col min="2" max="2" width="14.5703125" bestFit="1" customWidth="1"/>
    <col min="3" max="3" width="12.28515625" customWidth="1"/>
    <col min="4" max="4" width="14.5703125" bestFit="1" customWidth="1"/>
    <col min="5" max="5" width="12.28515625" customWidth="1"/>
    <col min="6" max="6" width="14.5703125" bestFit="1" customWidth="1"/>
    <col min="7" max="7" width="3.5703125" customWidth="1"/>
    <col min="8" max="8" width="16.28515625" bestFit="1" customWidth="1"/>
    <col min="10" max="10" width="20.28515625" customWidth="1"/>
  </cols>
  <sheetData>
    <row r="1" spans="1:10" ht="15.75" x14ac:dyDescent="0.25">
      <c r="B1" s="178" t="s">
        <v>319</v>
      </c>
      <c r="C1" s="178" t="s">
        <v>320</v>
      </c>
      <c r="D1" s="178" t="s">
        <v>321</v>
      </c>
      <c r="E1" s="178" t="s">
        <v>322</v>
      </c>
      <c r="F1" s="178" t="s">
        <v>323</v>
      </c>
    </row>
    <row r="2" spans="1:10" ht="16.5" thickBot="1" x14ac:dyDescent="0.3">
      <c r="B2" s="179"/>
      <c r="C2" s="179"/>
      <c r="D2" s="179"/>
      <c r="E2" s="179"/>
      <c r="F2" s="180"/>
    </row>
    <row r="3" spans="1:10" ht="32.25" thickBot="1" x14ac:dyDescent="0.55000000000000004">
      <c r="A3" s="181" t="s">
        <v>324</v>
      </c>
      <c r="B3" s="182"/>
      <c r="C3" s="182"/>
      <c r="D3" s="182"/>
      <c r="E3" s="182"/>
      <c r="F3" s="183"/>
      <c r="H3" s="184"/>
      <c r="J3" s="185" t="s">
        <v>7</v>
      </c>
    </row>
    <row r="4" spans="1:10" ht="15.75" customHeight="1" outlineLevel="1" x14ac:dyDescent="0.25">
      <c r="A4" s="365" t="s">
        <v>329</v>
      </c>
      <c r="F4" s="198"/>
      <c r="H4" s="204"/>
    </row>
    <row r="5" spans="1:10" ht="19.5" customHeight="1" outlineLevel="1" thickBot="1" x14ac:dyDescent="0.3">
      <c r="A5" s="366"/>
      <c r="B5" s="217"/>
      <c r="C5" s="217"/>
      <c r="D5" s="217"/>
      <c r="E5" s="217"/>
      <c r="F5" s="218"/>
      <c r="H5" s="219" t="s">
        <v>0</v>
      </c>
    </row>
    <row r="6" spans="1:10" outlineLevel="2" x14ac:dyDescent="0.25">
      <c r="A6" s="220" t="s">
        <v>1</v>
      </c>
      <c r="B6" s="193">
        <v>0</v>
      </c>
      <c r="C6" s="193">
        <v>0</v>
      </c>
      <c r="D6" s="196"/>
      <c r="E6" s="193">
        <v>0</v>
      </c>
      <c r="F6" s="194" t="e">
        <f>'Riepilogo Contratto'!D4</f>
        <v>#REF!</v>
      </c>
      <c r="H6" s="195" t="e">
        <f>SUM(B6:F6)</f>
        <v>#REF!</v>
      </c>
    </row>
    <row r="7" spans="1:10" outlineLevel="2" x14ac:dyDescent="0.25">
      <c r="A7" s="220" t="s">
        <v>325</v>
      </c>
      <c r="B7" s="193">
        <v>0</v>
      </c>
      <c r="C7" s="193">
        <v>0</v>
      </c>
      <c r="D7" s="196"/>
      <c r="E7" s="193">
        <v>0</v>
      </c>
      <c r="F7" s="194">
        <v>0</v>
      </c>
      <c r="H7" s="195">
        <f t="shared" ref="H7:H8" si="0">SUM(B7:F7)</f>
        <v>0</v>
      </c>
    </row>
    <row r="8" spans="1:10" outlineLevel="2" x14ac:dyDescent="0.25">
      <c r="A8" s="220" t="s">
        <v>326</v>
      </c>
      <c r="B8" s="193" t="e">
        <f>'Riepilogo Contratto'!D8</f>
        <v>#REF!</v>
      </c>
      <c r="C8" s="193">
        <v>0</v>
      </c>
      <c r="D8" s="196"/>
      <c r="E8" s="193">
        <v>0</v>
      </c>
      <c r="F8" s="194">
        <v>0</v>
      </c>
      <c r="H8" s="195" t="e">
        <f t="shared" si="0"/>
        <v>#REF!</v>
      </c>
    </row>
    <row r="9" spans="1:10" outlineLevel="2" x14ac:dyDescent="0.25">
      <c r="A9" s="220" t="s">
        <v>327</v>
      </c>
      <c r="B9" s="193" t="e">
        <f>'Riepilogo Contratto'!D9</f>
        <v>#REF!</v>
      </c>
      <c r="C9" s="193">
        <v>0</v>
      </c>
      <c r="D9" s="193"/>
      <c r="E9" s="193">
        <v>0</v>
      </c>
      <c r="F9" s="194">
        <v>0</v>
      </c>
      <c r="H9" s="195">
        <v>0</v>
      </c>
    </row>
    <row r="10" spans="1:10" ht="15.75" outlineLevel="2" thickBot="1" x14ac:dyDescent="0.3">
      <c r="A10" s="197"/>
      <c r="F10" s="198"/>
      <c r="H10" s="204"/>
    </row>
    <row r="11" spans="1:10" ht="21.75" outlineLevel="1" thickBot="1" x14ac:dyDescent="0.4">
      <c r="A11" s="221" t="s">
        <v>328</v>
      </c>
      <c r="B11" s="222" t="e">
        <f>SUM(B6:B9)</f>
        <v>#REF!</v>
      </c>
      <c r="C11" s="222">
        <v>0</v>
      </c>
      <c r="D11" s="222">
        <f>SUM(D6:D9)</f>
        <v>0</v>
      </c>
      <c r="E11" s="222">
        <f t="shared" ref="E11:F11" si="1">SUM(E6:E9)</f>
        <v>0</v>
      </c>
      <c r="F11" s="223" t="e">
        <f t="shared" si="1"/>
        <v>#REF!</v>
      </c>
      <c r="H11" s="224" t="e">
        <f>SUM(H6:H9)</f>
        <v>#REF!</v>
      </c>
      <c r="J11" s="203" t="s">
        <v>333</v>
      </c>
    </row>
    <row r="12" spans="1:10" ht="21.75" outlineLevel="1" thickBot="1" x14ac:dyDescent="0.4">
      <c r="A12" s="225"/>
      <c r="B12" s="226"/>
      <c r="C12" s="226"/>
      <c r="D12" s="226"/>
      <c r="E12" s="226"/>
      <c r="F12" s="227"/>
      <c r="H12" s="228"/>
      <c r="J12" s="131"/>
    </row>
    <row r="13" spans="1:10" ht="21.75" thickBot="1" x14ac:dyDescent="0.4">
      <c r="A13" s="229" t="s">
        <v>330</v>
      </c>
      <c r="B13" s="230" t="e">
        <f>B11</f>
        <v>#REF!</v>
      </c>
      <c r="C13" s="230">
        <f t="shared" ref="C13:F13" si="2">C11</f>
        <v>0</v>
      </c>
      <c r="D13" s="230">
        <f t="shared" si="2"/>
        <v>0</v>
      </c>
      <c r="E13" s="230">
        <f t="shared" si="2"/>
        <v>0</v>
      </c>
      <c r="F13" s="230" t="e">
        <f t="shared" si="2"/>
        <v>#REF!</v>
      </c>
      <c r="G13" s="11"/>
      <c r="H13" s="232" t="e">
        <f>H11</f>
        <v>#REF!</v>
      </c>
      <c r="J13" s="203" t="s">
        <v>333</v>
      </c>
    </row>
    <row r="14" spans="1:10" ht="15.75" thickBot="1" x14ac:dyDescent="0.3">
      <c r="D14" s="233"/>
    </row>
    <row r="15" spans="1:10" ht="24" thickBot="1" x14ac:dyDescent="0.4">
      <c r="A15" s="181" t="s">
        <v>331</v>
      </c>
      <c r="B15" s="182"/>
      <c r="C15" s="182"/>
      <c r="D15" s="182"/>
      <c r="E15" s="182"/>
      <c r="F15" s="183"/>
      <c r="H15" s="184"/>
    </row>
    <row r="16" spans="1:10" outlineLevel="1" x14ac:dyDescent="0.25">
      <c r="A16" s="365" t="s">
        <v>332</v>
      </c>
      <c r="B16" s="186"/>
      <c r="C16" s="186"/>
      <c r="D16" s="186"/>
      <c r="E16" s="186"/>
      <c r="F16" s="187"/>
      <c r="H16" s="188"/>
    </row>
    <row r="17" spans="1:10" ht="15.75" outlineLevel="1" thickBot="1" x14ac:dyDescent="0.3">
      <c r="A17" s="366"/>
      <c r="B17" s="189"/>
      <c r="C17" s="189"/>
      <c r="D17" s="189"/>
      <c r="E17" s="189"/>
      <c r="F17" s="190"/>
      <c r="H17" s="191" t="s">
        <v>0</v>
      </c>
    </row>
    <row r="18" spans="1:10" outlineLevel="2" x14ac:dyDescent="0.25">
      <c r="A18" s="192" t="s">
        <v>1</v>
      </c>
      <c r="B18" s="193" t="e">
        <f>'Riepilogo Contratto'!E29</f>
        <v>#REF!</v>
      </c>
      <c r="C18" s="193">
        <v>0</v>
      </c>
      <c r="D18" s="193">
        <v>0</v>
      </c>
      <c r="E18" s="193">
        <v>0</v>
      </c>
      <c r="F18" s="193">
        <v>0</v>
      </c>
      <c r="H18" s="195">
        <v>0</v>
      </c>
    </row>
    <row r="19" spans="1:10" outlineLevel="2" x14ac:dyDescent="0.25">
      <c r="A19" s="192" t="s">
        <v>325</v>
      </c>
      <c r="B19" s="193">
        <v>0</v>
      </c>
      <c r="C19" s="193">
        <v>0</v>
      </c>
      <c r="D19" s="193">
        <v>0</v>
      </c>
      <c r="E19" s="193">
        <v>0</v>
      </c>
      <c r="F19" s="193">
        <v>0</v>
      </c>
      <c r="H19" s="195">
        <v>0</v>
      </c>
    </row>
    <row r="20" spans="1:10" outlineLevel="2" x14ac:dyDescent="0.25">
      <c r="A20" s="192" t="s">
        <v>326</v>
      </c>
      <c r="B20" s="193" t="e">
        <f>Gantt!#REF!</f>
        <v>#REF!</v>
      </c>
      <c r="C20" s="193">
        <v>0</v>
      </c>
      <c r="D20" s="193">
        <v>0</v>
      </c>
      <c r="E20" s="193">
        <v>0</v>
      </c>
      <c r="F20" s="193">
        <v>0</v>
      </c>
      <c r="H20" s="195">
        <v>0</v>
      </c>
    </row>
    <row r="21" spans="1:10" outlineLevel="2" x14ac:dyDescent="0.25">
      <c r="A21" s="192" t="s">
        <v>327</v>
      </c>
      <c r="B21" s="193" t="e">
        <f>Gantt!#REF!</f>
        <v>#REF!</v>
      </c>
      <c r="C21" s="193">
        <v>0</v>
      </c>
      <c r="D21" s="193">
        <v>0</v>
      </c>
      <c r="E21" s="193">
        <v>0</v>
      </c>
      <c r="F21" s="193">
        <v>0</v>
      </c>
      <c r="H21" s="195">
        <v>0</v>
      </c>
    </row>
    <row r="22" spans="1:10" ht="15.75" outlineLevel="2" thickBot="1" x14ac:dyDescent="0.3">
      <c r="A22" s="197"/>
      <c r="F22" s="198"/>
      <c r="H22" s="204"/>
    </row>
    <row r="23" spans="1:10" ht="21.75" outlineLevel="1" thickBot="1" x14ac:dyDescent="0.4">
      <c r="A23" s="199" t="s">
        <v>328</v>
      </c>
      <c r="B23" s="200" t="e">
        <f>SUM(B18:B21)</f>
        <v>#REF!</v>
      </c>
      <c r="C23" s="200">
        <f t="shared" ref="C23:D23" si="3">SUM(C18:C21)</f>
        <v>0</v>
      </c>
      <c r="D23" s="200">
        <f t="shared" si="3"/>
        <v>0</v>
      </c>
      <c r="E23" s="200">
        <v>0</v>
      </c>
      <c r="F23" s="201">
        <v>0</v>
      </c>
      <c r="H23" s="202" t="e">
        <f>SUM(B23:F23)</f>
        <v>#REF!</v>
      </c>
      <c r="J23" s="203" t="s">
        <v>333</v>
      </c>
    </row>
    <row r="24" spans="1:10" outlineLevel="1" x14ac:dyDescent="0.25">
      <c r="A24" s="363" t="s">
        <v>334</v>
      </c>
      <c r="F24" s="198"/>
      <c r="H24" s="204"/>
    </row>
    <row r="25" spans="1:10" ht="15.75" outlineLevel="1" thickBot="1" x14ac:dyDescent="0.3">
      <c r="A25" s="364"/>
      <c r="B25" s="205"/>
      <c r="C25" s="205"/>
      <c r="D25" s="205"/>
      <c r="E25" s="205"/>
      <c r="F25" s="206"/>
      <c r="H25" s="207" t="s">
        <v>0</v>
      </c>
    </row>
    <row r="26" spans="1:10" outlineLevel="2" x14ac:dyDescent="0.25">
      <c r="A26" s="208" t="s">
        <v>1</v>
      </c>
      <c r="B26" s="193" t="e">
        <f>'Riepilogo Contratto'!F29</f>
        <v>#REF!</v>
      </c>
      <c r="C26" s="193">
        <v>0</v>
      </c>
      <c r="D26" s="193"/>
      <c r="E26" s="193">
        <v>0</v>
      </c>
      <c r="F26" s="194">
        <v>0</v>
      </c>
      <c r="H26" s="195">
        <v>0</v>
      </c>
    </row>
    <row r="27" spans="1:10" outlineLevel="2" x14ac:dyDescent="0.25">
      <c r="A27" s="208" t="s">
        <v>325</v>
      </c>
      <c r="B27" s="193">
        <v>0</v>
      </c>
      <c r="C27" s="193">
        <v>0</v>
      </c>
      <c r="D27" s="193"/>
      <c r="E27" s="193">
        <v>0</v>
      </c>
      <c r="F27" s="194">
        <v>0</v>
      </c>
      <c r="H27" s="195">
        <v>0</v>
      </c>
    </row>
    <row r="28" spans="1:10" outlineLevel="2" x14ac:dyDescent="0.25">
      <c r="A28" s="208" t="s">
        <v>326</v>
      </c>
      <c r="B28" s="193" t="e">
        <f>'Riepilogo Contratto'!F33</f>
        <v>#REF!</v>
      </c>
      <c r="C28" s="193">
        <v>0</v>
      </c>
      <c r="D28" s="193"/>
      <c r="E28" s="193">
        <v>0</v>
      </c>
      <c r="F28" s="194">
        <v>0</v>
      </c>
      <c r="H28" s="195">
        <v>0</v>
      </c>
    </row>
    <row r="29" spans="1:10" outlineLevel="2" x14ac:dyDescent="0.25">
      <c r="A29" s="208" t="s">
        <v>327</v>
      </c>
      <c r="B29" s="193" t="e">
        <f>'Riepilogo Contratto'!F34</f>
        <v>#REF!</v>
      </c>
      <c r="C29" s="193">
        <v>0</v>
      </c>
      <c r="D29" s="193">
        <v>0</v>
      </c>
      <c r="E29" s="193">
        <v>0</v>
      </c>
      <c r="F29" s="194">
        <v>0</v>
      </c>
      <c r="H29" s="195">
        <v>0</v>
      </c>
    </row>
    <row r="30" spans="1:10" ht="15.75" outlineLevel="2" thickBot="1" x14ac:dyDescent="0.3">
      <c r="A30" s="197"/>
      <c r="F30" s="198"/>
      <c r="H30" s="204"/>
    </row>
    <row r="31" spans="1:10" ht="21.75" outlineLevel="1" thickBot="1" x14ac:dyDescent="0.4">
      <c r="A31" s="209" t="s">
        <v>328</v>
      </c>
      <c r="B31" s="234" t="e">
        <f>SUM(B26:B29)</f>
        <v>#REF!</v>
      </c>
      <c r="C31" s="234">
        <f t="shared" ref="C31:F31" si="4">SUM(C26:C29)</f>
        <v>0</v>
      </c>
      <c r="D31" s="234">
        <f t="shared" si="4"/>
        <v>0</v>
      </c>
      <c r="E31" s="234">
        <f t="shared" si="4"/>
        <v>0</v>
      </c>
      <c r="F31" s="234">
        <f t="shared" si="4"/>
        <v>0</v>
      </c>
      <c r="H31" s="210" t="e">
        <f>SUM(B31:F31)</f>
        <v>#REF!</v>
      </c>
      <c r="J31" s="203" t="s">
        <v>333</v>
      </c>
    </row>
    <row r="32" spans="1:10" outlineLevel="1" x14ac:dyDescent="0.25">
      <c r="A32" s="361" t="s">
        <v>335</v>
      </c>
      <c r="F32" s="198"/>
      <c r="H32" s="204"/>
    </row>
    <row r="33" spans="1:10" ht="15.75" outlineLevel="1" thickBot="1" x14ac:dyDescent="0.3">
      <c r="A33" s="362"/>
      <c r="B33" s="211"/>
      <c r="C33" s="211"/>
      <c r="D33" s="211"/>
      <c r="E33" s="211"/>
      <c r="F33" s="212"/>
      <c r="H33" s="213" t="s">
        <v>0</v>
      </c>
    </row>
    <row r="34" spans="1:10" outlineLevel="2" x14ac:dyDescent="0.25">
      <c r="A34" s="214" t="s">
        <v>1</v>
      </c>
      <c r="B34" s="193" t="e">
        <f>'Riepilogo Contratto'!G29</f>
        <v>#REF!</v>
      </c>
      <c r="C34" s="193">
        <v>0</v>
      </c>
      <c r="D34" s="193">
        <v>0</v>
      </c>
      <c r="E34" s="193">
        <v>0</v>
      </c>
      <c r="F34" s="194">
        <v>0</v>
      </c>
      <c r="H34" s="195">
        <v>78296.75</v>
      </c>
    </row>
    <row r="35" spans="1:10" outlineLevel="2" x14ac:dyDescent="0.25">
      <c r="A35" s="214" t="s">
        <v>325</v>
      </c>
      <c r="B35" s="193">
        <v>0</v>
      </c>
      <c r="C35" s="193">
        <v>0</v>
      </c>
      <c r="D35" s="193">
        <v>0</v>
      </c>
      <c r="E35" s="193">
        <v>0</v>
      </c>
      <c r="F35" s="194">
        <v>0</v>
      </c>
      <c r="H35" s="195">
        <v>6406.2</v>
      </c>
    </row>
    <row r="36" spans="1:10" outlineLevel="2" x14ac:dyDescent="0.25">
      <c r="A36" s="214" t="s">
        <v>326</v>
      </c>
      <c r="B36" s="193" t="e">
        <f>'Riepilogo Contratto'!G33</f>
        <v>#REF!</v>
      </c>
      <c r="C36" s="193">
        <v>0</v>
      </c>
      <c r="D36" s="193">
        <v>0</v>
      </c>
      <c r="E36" s="193">
        <v>0</v>
      </c>
      <c r="F36" s="194">
        <v>0</v>
      </c>
      <c r="H36" s="195">
        <v>23550.75</v>
      </c>
    </row>
    <row r="37" spans="1:10" outlineLevel="2" x14ac:dyDescent="0.25">
      <c r="A37" s="214" t="s">
        <v>327</v>
      </c>
      <c r="B37" s="193" t="e">
        <f>'Riepilogo Contratto'!G34</f>
        <v>#REF!</v>
      </c>
      <c r="C37" s="193">
        <v>0</v>
      </c>
      <c r="D37" s="193">
        <v>0</v>
      </c>
      <c r="E37" s="193">
        <v>0</v>
      </c>
      <c r="F37" s="194">
        <v>0</v>
      </c>
      <c r="H37" s="195">
        <v>0</v>
      </c>
    </row>
    <row r="38" spans="1:10" ht="15.75" outlineLevel="2" thickBot="1" x14ac:dyDescent="0.3">
      <c r="A38" s="197"/>
      <c r="F38" s="198"/>
      <c r="H38" s="204"/>
    </row>
    <row r="39" spans="1:10" ht="21.75" outlineLevel="1" thickBot="1" x14ac:dyDescent="0.4">
      <c r="A39" s="215" t="s">
        <v>328</v>
      </c>
      <c r="B39" s="235" t="e">
        <f>SUM(B34:B37)</f>
        <v>#REF!</v>
      </c>
      <c r="C39" s="235">
        <f t="shared" ref="C39:F39" si="5">SUM(C34:C37)</f>
        <v>0</v>
      </c>
      <c r="D39" s="235">
        <f t="shared" si="5"/>
        <v>0</v>
      </c>
      <c r="E39" s="235">
        <f t="shared" si="5"/>
        <v>0</v>
      </c>
      <c r="F39" s="235">
        <f t="shared" si="5"/>
        <v>0</v>
      </c>
      <c r="H39" s="216" t="e">
        <f>SUM(B39:F39)</f>
        <v>#REF!</v>
      </c>
      <c r="J39" s="203"/>
    </row>
    <row r="40" spans="1:10" ht="15.75" customHeight="1" outlineLevel="1" x14ac:dyDescent="0.25">
      <c r="A40" s="363"/>
      <c r="F40" s="198"/>
      <c r="H40" s="204"/>
    </row>
    <row r="41" spans="1:10" ht="19.5" customHeight="1" outlineLevel="1" thickBot="1" x14ac:dyDescent="0.3">
      <c r="A41" s="364"/>
      <c r="B41" s="325" t="s">
        <v>319</v>
      </c>
      <c r="C41" s="325" t="s">
        <v>320</v>
      </c>
      <c r="D41" s="325" t="s">
        <v>321</v>
      </c>
      <c r="E41" s="325" t="s">
        <v>322</v>
      </c>
      <c r="F41" s="326" t="s">
        <v>323</v>
      </c>
      <c r="H41" s="326" t="s">
        <v>0</v>
      </c>
    </row>
    <row r="42" spans="1:10" outlineLevel="2" x14ac:dyDescent="0.25">
      <c r="A42" s="324" t="s">
        <v>1</v>
      </c>
      <c r="B42" s="193">
        <v>50557</v>
      </c>
      <c r="C42" s="193">
        <v>0</v>
      </c>
      <c r="D42" s="193">
        <v>0</v>
      </c>
      <c r="E42" s="193">
        <v>0</v>
      </c>
      <c r="F42" s="194" t="e">
        <f>F6+200000</f>
        <v>#REF!</v>
      </c>
      <c r="H42" s="194" t="e">
        <f>SUM(B42:F42)</f>
        <v>#REF!</v>
      </c>
    </row>
    <row r="43" spans="1:10" hidden="1" outlineLevel="2" x14ac:dyDescent="0.25">
      <c r="A43" s="324" t="s">
        <v>325</v>
      </c>
      <c r="B43" s="193">
        <v>0</v>
      </c>
      <c r="C43" s="193">
        <v>0</v>
      </c>
      <c r="D43" s="193"/>
      <c r="E43" s="193">
        <v>0</v>
      </c>
      <c r="F43" s="194">
        <v>0</v>
      </c>
      <c r="H43" s="194">
        <f t="shared" ref="H43:H45" si="6">SUM(B43:F43)</f>
        <v>0</v>
      </c>
    </row>
    <row r="44" spans="1:10" outlineLevel="2" x14ac:dyDescent="0.25">
      <c r="A44" s="324" t="s">
        <v>326</v>
      </c>
      <c r="B44" s="193">
        <v>9740.75</v>
      </c>
      <c r="C44" s="193">
        <v>0</v>
      </c>
      <c r="D44" s="193">
        <v>0</v>
      </c>
      <c r="E44" s="193">
        <v>0</v>
      </c>
      <c r="F44" s="194">
        <v>0</v>
      </c>
      <c r="H44" s="194">
        <f t="shared" si="6"/>
        <v>9740.75</v>
      </c>
    </row>
    <row r="45" spans="1:10" outlineLevel="2" x14ac:dyDescent="0.25">
      <c r="A45" s="324" t="s">
        <v>327</v>
      </c>
      <c r="B45" s="193">
        <v>4164</v>
      </c>
      <c r="C45" s="193">
        <v>0</v>
      </c>
      <c r="D45" s="193">
        <v>0</v>
      </c>
      <c r="E45" s="193">
        <v>0</v>
      </c>
      <c r="F45" s="194">
        <v>0</v>
      </c>
      <c r="H45" s="194">
        <f t="shared" si="6"/>
        <v>4164</v>
      </c>
    </row>
    <row r="46" spans="1:10" ht="15.75" outlineLevel="2" thickBot="1" x14ac:dyDescent="0.3">
      <c r="A46" s="197"/>
      <c r="F46" s="198"/>
      <c r="H46" s="198"/>
    </row>
    <row r="47" spans="1:10" ht="21.75" outlineLevel="1" thickBot="1" x14ac:dyDescent="0.4">
      <c r="A47" s="327" t="s">
        <v>328</v>
      </c>
      <c r="B47" s="328">
        <f>SUM(B42:B45)</f>
        <v>64461.75</v>
      </c>
      <c r="C47" s="328">
        <f t="shared" ref="C47:E47" si="7">SUM(C42:C45)</f>
        <v>0</v>
      </c>
      <c r="D47" s="328">
        <f t="shared" si="7"/>
        <v>0</v>
      </c>
      <c r="E47" s="328">
        <f t="shared" si="7"/>
        <v>0</v>
      </c>
      <c r="F47" s="328" t="e">
        <f t="shared" ref="F47" si="8">SUM(F42:F45)</f>
        <v>#REF!</v>
      </c>
      <c r="G47" s="323"/>
      <c r="H47" s="328" t="e">
        <f>SUM(H42:H45)</f>
        <v>#REF!</v>
      </c>
      <c r="J47" s="203"/>
    </row>
    <row r="48" spans="1:10" ht="21.75" outlineLevel="1" thickBot="1" x14ac:dyDescent="0.4">
      <c r="A48" s="225"/>
      <c r="B48" s="226"/>
      <c r="C48" s="226"/>
      <c r="D48" s="226"/>
      <c r="E48" s="226"/>
      <c r="F48" s="227"/>
      <c r="H48" s="228"/>
      <c r="J48" s="131"/>
    </row>
    <row r="49" spans="1:10" ht="21.75" thickBot="1" x14ac:dyDescent="0.4">
      <c r="A49" s="229" t="s">
        <v>336</v>
      </c>
      <c r="B49" s="230" t="e">
        <f>SUM(B23,B31,B39,B47)</f>
        <v>#REF!</v>
      </c>
      <c r="C49" s="230">
        <f>SUM(C23,C31,C39,C47)</f>
        <v>0</v>
      </c>
      <c r="D49" s="230">
        <f>SUM(D23,D31,D39,D47)</f>
        <v>0</v>
      </c>
      <c r="E49" s="230">
        <f>SUM(E23,E31,E39,E47)</f>
        <v>0</v>
      </c>
      <c r="F49" s="231" t="e">
        <f>SUM(F23,F31,F39,F47)</f>
        <v>#REF!</v>
      </c>
      <c r="G49" s="11"/>
      <c r="H49" s="232" t="e">
        <f>SUM(H23,H31,H39,H47)</f>
        <v>#REF!</v>
      </c>
      <c r="J49" s="203"/>
    </row>
  </sheetData>
  <mergeCells count="5">
    <mergeCell ref="A32:A33"/>
    <mergeCell ref="A40:A41"/>
    <mergeCell ref="A4:A5"/>
    <mergeCell ref="A16:A17"/>
    <mergeCell ref="A24:A25"/>
  </mergeCells>
  <dataValidations count="2">
    <dataValidation type="list" allowBlank="1" showInputMessage="1" showErrorMessage="1" sqref="J23 J13 J31 J39 J11" xr:uid="{2AB4F87C-C87C-41F7-AA71-4C3D555F2723}">
      <formula1>"Compilati, Rendicontato, Inviato con SAL, In attesa di autorizzazione a fatturare, Fatturato"</formula1>
    </dataValidation>
    <dataValidation type="list" allowBlank="1" showInputMessage="1" showErrorMessage="1" sqref="J12 J47:J49" xr:uid="{10F0FC79-2C1B-417A-9CEF-0984ECB17C43}">
      <formula1>"Rendicontato, Inviato con SAL, In attesa di autorizzazione a fatturare, Fatturato"</formula1>
    </dataValidation>
  </dataValidations>
  <pageMargins left="0.7" right="0.7" top="0.75" bottom="0.75" header="0.3" footer="0.3"/>
  <pageSetup paperSize="9" orientation="portrait" r:id="rId1"/>
  <headerFooter>
    <oddFooter>&amp;C&amp;1#&amp;"Calibri"&amp;10&amp;K000000Company General Use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L498"/>
  <sheetViews>
    <sheetView tabSelected="1" zoomScale="60" zoomScaleNormal="60" workbookViewId="0">
      <pane ySplit="3" topLeftCell="A10" activePane="bottomLeft" state="frozen"/>
      <selection activeCell="A73" sqref="A73:XFD73"/>
      <selection pane="bottomLeft" activeCell="C12" sqref="C12:G12"/>
    </sheetView>
  </sheetViews>
  <sheetFormatPr defaultColWidth="13.28515625" defaultRowHeight="31.5" outlineLevelCol="1" x14ac:dyDescent="0.35"/>
  <cols>
    <col min="1" max="1" width="10.85546875" style="5" customWidth="1"/>
    <col min="2" max="2" width="0" style="5" hidden="1" customWidth="1"/>
    <col min="3" max="3" width="91.42578125" style="6" customWidth="1"/>
    <col min="4" max="4" width="76.5703125" style="6" hidden="1" customWidth="1"/>
    <col min="5" max="5" width="59.140625" style="10" hidden="1" customWidth="1"/>
    <col min="6" max="6" width="51" style="6" hidden="1" customWidth="1"/>
    <col min="7" max="7" width="35.42578125" style="2" customWidth="1" outlineLevel="1"/>
    <col min="8" max="8" width="28.7109375" style="149" customWidth="1" outlineLevel="1"/>
    <col min="9" max="9" width="24.28515625" style="350" customWidth="1"/>
    <col min="10" max="10" width="169.5703125" style="299" customWidth="1"/>
    <col min="11" max="11" width="21.7109375" style="15" customWidth="1"/>
    <col min="12" max="12" width="25.42578125" style="299" customWidth="1"/>
    <col min="13" max="13" width="30.28515625" customWidth="1"/>
    <col min="14" max="14" width="36.42578125" hidden="1" customWidth="1"/>
    <col min="15" max="15" width="32.5703125" hidden="1" customWidth="1"/>
    <col min="16" max="16" width="28.28515625" customWidth="1"/>
    <col min="17" max="17" width="23.42578125" style="114" customWidth="1"/>
    <col min="18" max="18" width="30.85546875" style="1" customWidth="1"/>
  </cols>
  <sheetData>
    <row r="1" spans="1:90" x14ac:dyDescent="0.35">
      <c r="I1" s="339"/>
      <c r="J1" s="296"/>
      <c r="K1"/>
      <c r="L1" s="296"/>
    </row>
    <row r="2" spans="1:90" ht="21" x14ac:dyDescent="0.35">
      <c r="A2" s="3"/>
      <c r="B2" s="3"/>
      <c r="C2" s="4"/>
      <c r="D2" s="4"/>
      <c r="E2" s="79"/>
      <c r="F2" s="4"/>
      <c r="G2" s="329"/>
      <c r="H2" s="330"/>
      <c r="I2" s="339"/>
      <c r="J2" s="115"/>
      <c r="K2" s="1"/>
      <c r="L2" s="115"/>
      <c r="M2" s="1"/>
      <c r="N2" s="1"/>
      <c r="O2" s="1"/>
      <c r="P2" s="1"/>
      <c r="Q2" s="115"/>
    </row>
    <row r="3" spans="1:90" s="164" customFormat="1" ht="63" x14ac:dyDescent="0.25">
      <c r="A3" s="17" t="s">
        <v>6</v>
      </c>
      <c r="B3" s="86" t="s">
        <v>340</v>
      </c>
      <c r="C3" s="86" t="s">
        <v>8</v>
      </c>
      <c r="D3" s="86" t="s">
        <v>343</v>
      </c>
      <c r="E3" s="86" t="s">
        <v>342</v>
      </c>
      <c r="F3" s="86" t="s">
        <v>341</v>
      </c>
      <c r="G3" s="81" t="s">
        <v>218</v>
      </c>
      <c r="H3" s="82" t="s">
        <v>9</v>
      </c>
      <c r="I3" s="340" t="s">
        <v>7</v>
      </c>
      <c r="J3" s="80" t="s">
        <v>364</v>
      </c>
      <c r="K3" s="17" t="s">
        <v>10</v>
      </c>
      <c r="L3" s="80" t="s">
        <v>11</v>
      </c>
      <c r="M3" s="89" t="s">
        <v>276</v>
      </c>
      <c r="N3" s="89" t="s">
        <v>292</v>
      </c>
      <c r="O3" s="89" t="s">
        <v>291</v>
      </c>
      <c r="P3" s="89" t="s">
        <v>344</v>
      </c>
      <c r="Q3" s="89" t="s">
        <v>241</v>
      </c>
      <c r="R3" s="17" t="s">
        <v>12</v>
      </c>
    </row>
    <row r="4" spans="1:90" s="72" customFormat="1" ht="42" x14ac:dyDescent="0.35">
      <c r="A4" s="237"/>
      <c r="B4" s="241"/>
      <c r="C4" s="70" t="s">
        <v>337</v>
      </c>
      <c r="D4" s="70"/>
      <c r="E4" s="70"/>
      <c r="F4" s="70"/>
      <c r="G4" s="71">
        <f>SUM(G5,G10,G17,G13)</f>
        <v>1190108</v>
      </c>
      <c r="H4" s="150"/>
      <c r="I4" s="341"/>
      <c r="J4" s="143"/>
      <c r="K4" s="105"/>
      <c r="L4" s="143"/>
      <c r="M4" s="143"/>
      <c r="N4" s="143"/>
      <c r="O4" s="143"/>
      <c r="P4" s="69"/>
      <c r="Q4" s="113"/>
      <c r="R4" s="105"/>
      <c r="S4" s="1"/>
      <c r="T4" s="1"/>
      <c r="U4" s="1"/>
      <c r="V4" s="1"/>
      <c r="W4" s="1"/>
      <c r="X4" s="1"/>
      <c r="Y4" s="1"/>
      <c r="Z4" s="1"/>
      <c r="AA4" s="1"/>
      <c r="AB4" s="1"/>
      <c r="AC4" s="1"/>
      <c r="AD4" s="1"/>
      <c r="AE4" s="1"/>
      <c r="AF4" s="1"/>
      <c r="AG4" s="1"/>
      <c r="AH4" s="1"/>
      <c r="AI4" s="1"/>
      <c r="AJ4" s="1"/>
      <c r="AK4" s="1"/>
      <c r="AL4" s="1"/>
      <c r="AM4" s="1"/>
      <c r="AN4" s="1"/>
      <c r="AO4" s="1"/>
      <c r="AP4" s="1"/>
      <c r="AQ4" s="1"/>
      <c r="AR4" s="1"/>
      <c r="AS4" s="1"/>
    </row>
    <row r="5" spans="1:90" s="1" customFormat="1" ht="21" x14ac:dyDescent="0.35">
      <c r="A5" s="78">
        <v>1</v>
      </c>
      <c r="B5" s="242"/>
      <c r="C5" s="73" t="s">
        <v>264</v>
      </c>
      <c r="D5" s="73"/>
      <c r="E5" s="75"/>
      <c r="F5" s="169"/>
      <c r="G5" s="74">
        <f t="shared" ref="G5" si="0">SUM(G6:G9)</f>
        <v>380000</v>
      </c>
      <c r="H5" s="151"/>
      <c r="I5" s="342"/>
      <c r="J5" s="293"/>
      <c r="K5" s="101"/>
      <c r="L5" s="293"/>
      <c r="M5" s="144"/>
      <c r="N5" s="144"/>
      <c r="O5" s="144"/>
      <c r="P5" s="106"/>
      <c r="Q5" s="116"/>
      <c r="R5" s="106"/>
    </row>
    <row r="6" spans="1:90" s="99" customFormat="1" ht="409.5" customHeight="1" x14ac:dyDescent="0.35">
      <c r="A6" s="84" t="s">
        <v>242</v>
      </c>
      <c r="B6" s="243"/>
      <c r="C6" s="158" t="s">
        <v>286</v>
      </c>
      <c r="D6" s="166" t="s">
        <v>280</v>
      </c>
      <c r="E6" s="83" t="s">
        <v>306</v>
      </c>
      <c r="F6" s="83" t="s">
        <v>306</v>
      </c>
      <c r="G6" s="159">
        <v>95000</v>
      </c>
      <c r="H6" s="174" t="s">
        <v>14</v>
      </c>
      <c r="I6" s="367" t="s">
        <v>37</v>
      </c>
      <c r="J6" s="374" t="s">
        <v>376</v>
      </c>
      <c r="K6" s="123" t="s">
        <v>231</v>
      </c>
      <c r="L6" s="130"/>
      <c r="M6" s="117"/>
      <c r="N6" s="145"/>
      <c r="O6" s="145"/>
      <c r="P6" s="167"/>
      <c r="Q6" s="167"/>
      <c r="R6" s="138"/>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row>
    <row r="7" spans="1:90" s="131" customFormat="1" ht="377.25" customHeight="1" x14ac:dyDescent="0.35">
      <c r="A7" s="84" t="s">
        <v>230</v>
      </c>
      <c r="B7" s="243"/>
      <c r="C7" s="158" t="s">
        <v>301</v>
      </c>
      <c r="D7" s="166" t="s">
        <v>280</v>
      </c>
      <c r="E7" s="123"/>
      <c r="F7" s="83" t="s">
        <v>306</v>
      </c>
      <c r="G7" s="159">
        <v>185000</v>
      </c>
      <c r="H7" s="174" t="s">
        <v>220</v>
      </c>
      <c r="I7" s="368"/>
      <c r="J7" s="375"/>
      <c r="K7" s="78" t="s">
        <v>231</v>
      </c>
      <c r="L7" s="130"/>
      <c r="M7" s="117"/>
      <c r="N7" s="139"/>
      <c r="O7" s="139"/>
      <c r="P7" s="167"/>
      <c r="Q7" s="167"/>
      <c r="R7" s="84"/>
    </row>
    <row r="8" spans="1:90" s="1" customFormat="1" ht="119.25" customHeight="1" x14ac:dyDescent="0.35">
      <c r="A8" s="84" t="s">
        <v>240</v>
      </c>
      <c r="B8" s="243"/>
      <c r="C8" s="337" t="s">
        <v>302</v>
      </c>
      <c r="D8" s="166" t="s">
        <v>280</v>
      </c>
      <c r="E8" s="83"/>
      <c r="F8" s="83" t="s">
        <v>306</v>
      </c>
      <c r="G8" s="159">
        <v>55000</v>
      </c>
      <c r="H8" s="174" t="s">
        <v>14</v>
      </c>
      <c r="I8" s="343" t="s">
        <v>16</v>
      </c>
      <c r="J8" s="374" t="s">
        <v>365</v>
      </c>
      <c r="K8" s="78" t="s">
        <v>231</v>
      </c>
      <c r="L8" s="130"/>
      <c r="M8" s="117"/>
      <c r="N8" s="167"/>
      <c r="O8" s="145"/>
      <c r="P8" s="167"/>
      <c r="Q8" s="117"/>
      <c r="R8" s="138"/>
    </row>
    <row r="9" spans="1:90" s="1" customFormat="1" ht="183" customHeight="1" x14ac:dyDescent="0.35">
      <c r="A9" s="84" t="s">
        <v>248</v>
      </c>
      <c r="B9" s="243"/>
      <c r="C9" s="337" t="s">
        <v>283</v>
      </c>
      <c r="D9" s="166" t="s">
        <v>280</v>
      </c>
      <c r="E9" s="83" t="s">
        <v>309</v>
      </c>
      <c r="F9" s="83" t="s">
        <v>298</v>
      </c>
      <c r="G9" s="159">
        <v>45000</v>
      </c>
      <c r="H9" s="174" t="s">
        <v>14</v>
      </c>
      <c r="I9" s="343" t="s">
        <v>16</v>
      </c>
      <c r="J9" s="375"/>
      <c r="K9" s="78" t="s">
        <v>231</v>
      </c>
      <c r="L9" s="130"/>
      <c r="M9" s="117"/>
      <c r="N9" s="167"/>
      <c r="O9" s="145"/>
      <c r="P9" s="167"/>
      <c r="Q9" s="117"/>
      <c r="R9" s="138"/>
    </row>
    <row r="10" spans="1:90" s="1" customFormat="1" ht="21" x14ac:dyDescent="0.35">
      <c r="A10" s="78">
        <v>2</v>
      </c>
      <c r="B10" s="242"/>
      <c r="C10" s="73" t="s">
        <v>268</v>
      </c>
      <c r="D10" s="73"/>
      <c r="E10" s="75"/>
      <c r="F10" s="73"/>
      <c r="G10" s="321">
        <f>SUM(G11:G12)</f>
        <v>115000</v>
      </c>
      <c r="H10" s="151"/>
      <c r="I10" s="342"/>
      <c r="J10" s="332"/>
      <c r="K10" s="101"/>
      <c r="L10" s="293"/>
      <c r="M10" s="144"/>
      <c r="N10" s="144"/>
      <c r="O10" s="144"/>
      <c r="P10" s="106"/>
      <c r="Q10" s="116"/>
      <c r="R10" s="106"/>
    </row>
    <row r="11" spans="1:90" s="1" customFormat="1" ht="243" customHeight="1" x14ac:dyDescent="0.35">
      <c r="A11" s="175" t="s">
        <v>267</v>
      </c>
      <c r="B11" s="244"/>
      <c r="C11" s="158" t="s">
        <v>293</v>
      </c>
      <c r="D11" s="166" t="s">
        <v>285</v>
      </c>
      <c r="E11" s="83"/>
      <c r="F11" s="83" t="s">
        <v>306</v>
      </c>
      <c r="G11" s="159">
        <v>35000</v>
      </c>
      <c r="H11" s="174" t="s">
        <v>244</v>
      </c>
      <c r="I11" s="367" t="s">
        <v>37</v>
      </c>
      <c r="J11" s="4" t="s">
        <v>366</v>
      </c>
      <c r="K11" s="78" t="s">
        <v>231</v>
      </c>
      <c r="L11" s="130"/>
      <c r="M11" s="142"/>
      <c r="N11" s="142"/>
      <c r="O11" s="117"/>
      <c r="P11" s="117"/>
      <c r="Q11" s="117"/>
      <c r="R11" s="107"/>
    </row>
    <row r="12" spans="1:90" s="1" customFormat="1" ht="164.25" customHeight="1" x14ac:dyDescent="0.35">
      <c r="A12" s="175" t="s">
        <v>362</v>
      </c>
      <c r="B12" s="244"/>
      <c r="C12" s="158" t="s">
        <v>363</v>
      </c>
      <c r="D12" s="166" t="s">
        <v>285</v>
      </c>
      <c r="E12" s="83"/>
      <c r="F12" s="83" t="s">
        <v>306</v>
      </c>
      <c r="G12" s="322">
        <v>80000</v>
      </c>
      <c r="H12" s="174" t="s">
        <v>244</v>
      </c>
      <c r="I12" s="368"/>
      <c r="J12" s="336" t="s">
        <v>367</v>
      </c>
      <c r="K12" s="78" t="s">
        <v>231</v>
      </c>
      <c r="L12" s="130"/>
      <c r="M12" s="142"/>
      <c r="N12" s="142"/>
      <c r="O12" s="117"/>
      <c r="P12" s="117"/>
      <c r="Q12" s="117"/>
      <c r="R12" s="107"/>
    </row>
    <row r="13" spans="1:90" s="1" customFormat="1" ht="21" x14ac:dyDescent="0.35">
      <c r="A13" s="78">
        <v>3</v>
      </c>
      <c r="B13" s="242"/>
      <c r="C13" s="73" t="s">
        <v>265</v>
      </c>
      <c r="D13" s="73"/>
      <c r="E13" s="75"/>
      <c r="F13" s="73"/>
      <c r="G13" s="112">
        <f>SUM(G14:G16)</f>
        <v>230000</v>
      </c>
      <c r="H13" s="151"/>
      <c r="I13" s="342"/>
      <c r="J13" s="332"/>
      <c r="K13" s="101"/>
      <c r="L13" s="293"/>
      <c r="M13" s="144"/>
      <c r="N13" s="144"/>
      <c r="O13" s="144"/>
      <c r="P13" s="106"/>
      <c r="Q13" s="116"/>
      <c r="R13" s="106"/>
    </row>
    <row r="14" spans="1:90" s="131" customFormat="1" ht="261.75" customHeight="1" thickBot="1" x14ac:dyDescent="0.4">
      <c r="A14" s="84" t="s">
        <v>229</v>
      </c>
      <c r="B14" s="84"/>
      <c r="C14" s="83" t="s">
        <v>295</v>
      </c>
      <c r="D14" s="166" t="s">
        <v>280</v>
      </c>
      <c r="E14" s="123"/>
      <c r="F14" s="314" t="s">
        <v>297</v>
      </c>
      <c r="G14" s="159">
        <v>30000</v>
      </c>
      <c r="H14" s="174" t="s">
        <v>244</v>
      </c>
      <c r="I14" s="343" t="s">
        <v>37</v>
      </c>
      <c r="J14" s="336" t="s">
        <v>368</v>
      </c>
      <c r="K14" s="123" t="s">
        <v>231</v>
      </c>
      <c r="L14" s="292"/>
      <c r="M14" s="117"/>
      <c r="N14" s="142"/>
      <c r="O14" s="145"/>
      <c r="P14" s="154"/>
      <c r="Q14" s="117"/>
      <c r="R14" s="124"/>
    </row>
    <row r="15" spans="1:90" s="99" customFormat="1" ht="183" customHeight="1" x14ac:dyDescent="0.35">
      <c r="A15" s="84" t="s">
        <v>225</v>
      </c>
      <c r="B15" s="243"/>
      <c r="C15" s="158" t="s">
        <v>303</v>
      </c>
      <c r="D15" s="158" t="s">
        <v>281</v>
      </c>
      <c r="E15" s="123" t="s">
        <v>312</v>
      </c>
      <c r="F15" s="315" t="s">
        <v>294</v>
      </c>
      <c r="G15" s="159">
        <v>175000</v>
      </c>
      <c r="H15" s="174" t="s">
        <v>14</v>
      </c>
      <c r="I15" s="343" t="s">
        <v>16</v>
      </c>
      <c r="J15" s="336" t="s">
        <v>369</v>
      </c>
      <c r="K15" s="78" t="s">
        <v>231</v>
      </c>
      <c r="L15" s="130"/>
      <c r="M15" s="117"/>
      <c r="N15" s="167"/>
      <c r="O15" s="145"/>
      <c r="P15" s="154"/>
      <c r="Q15" s="139"/>
      <c r="R15" s="138"/>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row>
    <row r="16" spans="1:90" s="131" customFormat="1" ht="105" customHeight="1" thickBot="1" x14ac:dyDescent="0.4">
      <c r="A16" s="84" t="s">
        <v>243</v>
      </c>
      <c r="B16" s="243"/>
      <c r="C16" s="158" t="s">
        <v>304</v>
      </c>
      <c r="D16" s="158" t="s">
        <v>281</v>
      </c>
      <c r="E16" s="123" t="s">
        <v>312</v>
      </c>
      <c r="F16" s="316" t="s">
        <v>294</v>
      </c>
      <c r="G16" s="159">
        <v>25000</v>
      </c>
      <c r="H16" s="174" t="s">
        <v>220</v>
      </c>
      <c r="I16" s="343" t="s">
        <v>37</v>
      </c>
      <c r="J16" s="336" t="s">
        <v>370</v>
      </c>
      <c r="K16" s="78" t="s">
        <v>231</v>
      </c>
      <c r="L16" s="130"/>
      <c r="M16" s="117"/>
      <c r="N16" s="167"/>
      <c r="O16" s="139"/>
      <c r="P16" s="154"/>
      <c r="Q16" s="139"/>
      <c r="R16" s="124"/>
    </row>
    <row r="17" spans="1:90" s="1" customFormat="1" ht="21" x14ac:dyDescent="0.35">
      <c r="A17" s="78">
        <v>4</v>
      </c>
      <c r="B17" s="242"/>
      <c r="C17" s="73" t="s">
        <v>263</v>
      </c>
      <c r="D17" s="73"/>
      <c r="E17" s="75"/>
      <c r="F17" s="170"/>
      <c r="G17" s="317">
        <f>SUM(G18:G26)</f>
        <v>465108</v>
      </c>
      <c r="H17" s="151"/>
      <c r="I17" s="342"/>
      <c r="J17" s="332"/>
      <c r="K17" s="101"/>
      <c r="L17" s="293"/>
      <c r="M17" s="144"/>
      <c r="N17" s="144"/>
      <c r="O17" s="144"/>
      <c r="P17" s="106"/>
      <c r="Q17" s="116"/>
      <c r="R17" s="106"/>
    </row>
    <row r="18" spans="1:90" s="131" customFormat="1" ht="280.5" customHeight="1" x14ac:dyDescent="0.35">
      <c r="A18" s="84" t="s">
        <v>261</v>
      </c>
      <c r="B18" s="84"/>
      <c r="C18" s="83" t="s">
        <v>296</v>
      </c>
      <c r="D18" s="166" t="s">
        <v>280</v>
      </c>
      <c r="E18" s="313"/>
      <c r="F18" s="83" t="s">
        <v>300</v>
      </c>
      <c r="G18" s="159">
        <v>100000</v>
      </c>
      <c r="H18" s="174" t="s">
        <v>244</v>
      </c>
      <c r="I18" s="343" t="s">
        <v>37</v>
      </c>
      <c r="J18" s="336" t="s">
        <v>371</v>
      </c>
      <c r="K18" s="123" t="s">
        <v>231</v>
      </c>
      <c r="L18" s="130"/>
      <c r="M18" s="117"/>
      <c r="N18" s="142"/>
      <c r="O18" s="117"/>
      <c r="P18" s="154"/>
      <c r="Q18" s="117"/>
      <c r="R18" s="124"/>
    </row>
    <row r="19" spans="1:90" s="91" customFormat="1" ht="409.6" customHeight="1" x14ac:dyDescent="0.35">
      <c r="A19" s="84" t="s">
        <v>262</v>
      </c>
      <c r="B19" s="243"/>
      <c r="C19" s="337" t="s">
        <v>284</v>
      </c>
      <c r="D19" s="165" t="s">
        <v>290</v>
      </c>
      <c r="E19" s="83" t="s">
        <v>309</v>
      </c>
      <c r="F19" s="168" t="s">
        <v>298</v>
      </c>
      <c r="G19" s="159">
        <v>142608</v>
      </c>
      <c r="H19" s="174" t="s">
        <v>14</v>
      </c>
      <c r="I19" s="343" t="s">
        <v>16</v>
      </c>
      <c r="J19" s="351" t="s">
        <v>377</v>
      </c>
      <c r="K19" s="78" t="s">
        <v>231</v>
      </c>
      <c r="L19" s="130"/>
      <c r="M19" s="117"/>
      <c r="N19" s="167"/>
      <c r="O19" s="125"/>
      <c r="P19" s="154"/>
      <c r="Q19" s="139"/>
      <c r="R19" s="163"/>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row>
    <row r="20" spans="1:90" s="99" customFormat="1" ht="199.5" customHeight="1" x14ac:dyDescent="0.35">
      <c r="A20" s="84" t="s">
        <v>269</v>
      </c>
      <c r="B20" s="243"/>
      <c r="C20" s="338" t="s">
        <v>277</v>
      </c>
      <c r="D20" s="165" t="s">
        <v>290</v>
      </c>
      <c r="E20" s="313" t="s">
        <v>310</v>
      </c>
      <c r="F20" s="240" t="s">
        <v>359</v>
      </c>
      <c r="G20" s="159">
        <v>22500</v>
      </c>
      <c r="H20" s="174" t="s">
        <v>14</v>
      </c>
      <c r="I20" s="343" t="s">
        <v>16</v>
      </c>
      <c r="J20" s="369" t="s">
        <v>373</v>
      </c>
      <c r="K20" s="78" t="s">
        <v>231</v>
      </c>
      <c r="L20" s="130"/>
      <c r="M20" s="117"/>
      <c r="N20" s="125"/>
      <c r="O20" s="125"/>
      <c r="P20" s="154"/>
      <c r="Q20" s="139"/>
      <c r="R20" s="138"/>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row>
    <row r="21" spans="1:90" s="131" customFormat="1" ht="63" x14ac:dyDescent="0.35">
      <c r="A21" s="84" t="s">
        <v>270</v>
      </c>
      <c r="B21" s="243"/>
      <c r="C21" s="338" t="s">
        <v>260</v>
      </c>
      <c r="D21" s="165" t="s">
        <v>290</v>
      </c>
      <c r="E21" s="313" t="s">
        <v>310</v>
      </c>
      <c r="F21" s="240" t="s">
        <v>359</v>
      </c>
      <c r="G21" s="122">
        <v>60000</v>
      </c>
      <c r="H21" s="174" t="s">
        <v>220</v>
      </c>
      <c r="I21" s="344" t="s">
        <v>16</v>
      </c>
      <c r="J21" s="369"/>
      <c r="K21" s="123" t="s">
        <v>231</v>
      </c>
      <c r="L21" s="130"/>
      <c r="M21" s="117"/>
      <c r="N21" s="139"/>
      <c r="O21" s="139"/>
      <c r="P21" s="167"/>
      <c r="Q21" s="139"/>
      <c r="R21" s="124"/>
    </row>
    <row r="22" spans="1:90" s="85" customFormat="1" ht="42" x14ac:dyDescent="0.25">
      <c r="A22" s="84" t="s">
        <v>271</v>
      </c>
      <c r="B22" s="84"/>
      <c r="C22" s="338" t="s">
        <v>288</v>
      </c>
      <c r="D22" s="158" t="s">
        <v>290</v>
      </c>
      <c r="E22" s="313"/>
      <c r="F22" s="240" t="s">
        <v>305</v>
      </c>
      <c r="G22" s="161">
        <v>15000</v>
      </c>
      <c r="H22" s="174" t="s">
        <v>244</v>
      </c>
      <c r="I22" s="344" t="s">
        <v>16</v>
      </c>
      <c r="J22" s="369"/>
      <c r="K22" s="123" t="s">
        <v>231</v>
      </c>
      <c r="L22" s="292"/>
      <c r="M22" s="117"/>
      <c r="N22" s="117"/>
      <c r="O22" s="117"/>
      <c r="P22" s="167"/>
      <c r="Q22" s="139"/>
      <c r="R22" s="126"/>
    </row>
    <row r="23" spans="1:90" s="85" customFormat="1" ht="159.75" customHeight="1" x14ac:dyDescent="0.25">
      <c r="A23" s="84" t="s">
        <v>272</v>
      </c>
      <c r="B23" s="84"/>
      <c r="C23" s="338" t="s">
        <v>287</v>
      </c>
      <c r="D23" s="158" t="s">
        <v>290</v>
      </c>
      <c r="E23" s="313"/>
      <c r="F23" s="240" t="s">
        <v>305</v>
      </c>
      <c r="G23" s="161">
        <v>15000</v>
      </c>
      <c r="H23" s="174" t="s">
        <v>244</v>
      </c>
      <c r="I23" s="344" t="s">
        <v>16</v>
      </c>
      <c r="J23" s="370"/>
      <c r="K23" s="123" t="s">
        <v>231</v>
      </c>
      <c r="L23" s="292"/>
      <c r="M23" s="117"/>
      <c r="N23" s="117"/>
      <c r="O23" s="117"/>
      <c r="P23" s="167"/>
      <c r="Q23" s="139"/>
      <c r="R23" s="126"/>
    </row>
    <row r="24" spans="1:90" s="99" customFormat="1" ht="198.75" customHeight="1" x14ac:dyDescent="0.35">
      <c r="A24" s="84" t="s">
        <v>273</v>
      </c>
      <c r="B24" s="243"/>
      <c r="C24" s="158" t="s">
        <v>266</v>
      </c>
      <c r="D24" s="158" t="s">
        <v>282</v>
      </c>
      <c r="E24" s="313" t="s">
        <v>313</v>
      </c>
      <c r="F24" s="240" t="s">
        <v>299</v>
      </c>
      <c r="G24" s="159">
        <v>10000</v>
      </c>
      <c r="H24" s="174" t="s">
        <v>220</v>
      </c>
      <c r="I24" s="344" t="s">
        <v>16</v>
      </c>
      <c r="J24" s="336" t="s">
        <v>372</v>
      </c>
      <c r="K24" s="78" t="s">
        <v>231</v>
      </c>
      <c r="L24" s="130"/>
      <c r="M24" s="117"/>
      <c r="N24" s="167"/>
      <c r="O24" s="145"/>
      <c r="P24" s="167"/>
      <c r="Q24" s="139"/>
      <c r="R24" s="138"/>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row>
    <row r="25" spans="1:90" s="131" customFormat="1" ht="216.75" customHeight="1" x14ac:dyDescent="0.35">
      <c r="A25" s="84" t="s">
        <v>274</v>
      </c>
      <c r="B25" s="243"/>
      <c r="C25" s="158" t="s">
        <v>289</v>
      </c>
      <c r="D25" s="166" t="s">
        <v>285</v>
      </c>
      <c r="E25" s="313"/>
      <c r="F25" s="239" t="s">
        <v>306</v>
      </c>
      <c r="G25" s="160">
        <v>80000</v>
      </c>
      <c r="H25" s="174" t="s">
        <v>220</v>
      </c>
      <c r="I25" s="343" t="s">
        <v>37</v>
      </c>
      <c r="J25" s="4" t="s">
        <v>374</v>
      </c>
      <c r="K25" s="78" t="s">
        <v>231</v>
      </c>
      <c r="L25" s="130"/>
      <c r="M25" s="117"/>
      <c r="N25" s="139"/>
      <c r="O25" s="139"/>
      <c r="P25" s="167"/>
      <c r="Q25" s="139"/>
      <c r="R25" s="124"/>
    </row>
    <row r="26" spans="1:90" s="131" customFormat="1" ht="63" x14ac:dyDescent="0.35">
      <c r="A26" s="84" t="s">
        <v>279</v>
      </c>
      <c r="B26" s="243"/>
      <c r="C26" s="337" t="s">
        <v>278</v>
      </c>
      <c r="D26" s="165" t="s">
        <v>290</v>
      </c>
      <c r="E26" s="83" t="s">
        <v>311</v>
      </c>
      <c r="F26" s="83" t="s">
        <v>298</v>
      </c>
      <c r="G26" s="159">
        <v>20000</v>
      </c>
      <c r="H26" s="174" t="s">
        <v>220</v>
      </c>
      <c r="I26" s="344" t="s">
        <v>16</v>
      </c>
      <c r="J26" s="331"/>
      <c r="K26" s="78" t="s">
        <v>231</v>
      </c>
      <c r="L26" s="130"/>
      <c r="M26" s="117"/>
      <c r="N26" s="167"/>
      <c r="O26" s="139"/>
      <c r="P26" s="167"/>
      <c r="Q26" s="139"/>
      <c r="R26" s="124"/>
    </row>
    <row r="27" spans="1:90" s="72" customFormat="1" ht="42" x14ac:dyDescent="0.35">
      <c r="A27" s="237"/>
      <c r="B27" s="241"/>
      <c r="C27" s="70" t="s">
        <v>338</v>
      </c>
      <c r="D27" s="70"/>
      <c r="E27" s="70"/>
      <c r="F27" s="70"/>
      <c r="G27" s="71">
        <f>SUM(G28,G32)</f>
        <v>131352</v>
      </c>
      <c r="H27" s="150"/>
      <c r="I27" s="341"/>
      <c r="J27" s="333"/>
      <c r="K27" s="105"/>
      <c r="L27" s="143"/>
      <c r="M27" s="143"/>
      <c r="N27" s="143"/>
      <c r="O27" s="143"/>
      <c r="P27" s="69"/>
      <c r="Q27" s="113"/>
      <c r="R27" s="105"/>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row>
    <row r="28" spans="1:90" s="91" customFormat="1" ht="21" x14ac:dyDescent="0.35">
      <c r="A28" s="236">
        <v>5</v>
      </c>
      <c r="B28" s="236"/>
      <c r="C28" s="96" t="s">
        <v>23</v>
      </c>
      <c r="D28" s="96"/>
      <c r="E28" s="98"/>
      <c r="F28" s="96"/>
      <c r="G28" s="97">
        <f t="shared" ref="G28" si="1">SUM(G29:G31)</f>
        <v>96352</v>
      </c>
      <c r="H28" s="152"/>
      <c r="I28" s="345"/>
      <c r="J28" s="334"/>
      <c r="K28" s="102"/>
      <c r="L28" s="294"/>
      <c r="M28" s="146"/>
      <c r="N28" s="146"/>
      <c r="O28" s="146"/>
      <c r="P28" s="108"/>
      <c r="Q28" s="118"/>
      <c r="R28" s="109"/>
      <c r="S28" s="100"/>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row>
    <row r="29" spans="1:90" s="85" customFormat="1" ht="21" x14ac:dyDescent="0.25">
      <c r="A29" s="172" t="s">
        <v>314</v>
      </c>
      <c r="B29" s="172"/>
      <c r="C29" s="133" t="s">
        <v>361</v>
      </c>
      <c r="D29" s="133"/>
      <c r="E29" s="136"/>
      <c r="F29" s="133"/>
      <c r="G29" s="134">
        <f>SUM(G30:G31)</f>
        <v>48176</v>
      </c>
      <c r="H29" s="135"/>
      <c r="I29" s="346"/>
      <c r="J29" s="335"/>
      <c r="K29" s="141"/>
      <c r="L29" s="297"/>
      <c r="M29" s="148"/>
      <c r="N29" s="117"/>
      <c r="O29" s="117"/>
      <c r="P29" s="117"/>
      <c r="Q29" s="117"/>
      <c r="R29" s="137"/>
    </row>
    <row r="30" spans="1:90" s="85" customFormat="1" ht="73.5" customHeight="1" x14ac:dyDescent="0.25">
      <c r="A30" s="238" t="s">
        <v>315</v>
      </c>
      <c r="B30" s="238"/>
      <c r="C30" s="127" t="s">
        <v>252</v>
      </c>
      <c r="D30" s="127"/>
      <c r="E30" s="129"/>
      <c r="F30" s="127"/>
      <c r="G30" s="128">
        <v>24088</v>
      </c>
      <c r="H30" s="174" t="s">
        <v>19</v>
      </c>
      <c r="I30" s="347" t="s">
        <v>29</v>
      </c>
      <c r="J30" s="371" t="s">
        <v>375</v>
      </c>
      <c r="K30" s="123" t="s">
        <v>231</v>
      </c>
      <c r="L30" s="292"/>
      <c r="M30" s="117">
        <v>45658</v>
      </c>
      <c r="N30" s="117"/>
      <c r="O30" s="117"/>
      <c r="P30" s="117">
        <v>45747</v>
      </c>
      <c r="Q30" s="117"/>
      <c r="R30" s="126"/>
    </row>
    <row r="31" spans="1:90" s="85" customFormat="1" ht="102" customHeight="1" x14ac:dyDescent="0.25">
      <c r="A31" s="238" t="s">
        <v>316</v>
      </c>
      <c r="B31" s="238"/>
      <c r="C31" s="127" t="s">
        <v>253</v>
      </c>
      <c r="D31" s="127"/>
      <c r="E31" s="129"/>
      <c r="F31" s="127"/>
      <c r="G31" s="128">
        <v>24088</v>
      </c>
      <c r="H31" s="174" t="s">
        <v>19</v>
      </c>
      <c r="I31" s="347" t="s">
        <v>29</v>
      </c>
      <c r="J31" s="372"/>
      <c r="K31" s="123" t="s">
        <v>231</v>
      </c>
      <c r="L31" s="292"/>
      <c r="M31" s="117">
        <v>45748</v>
      </c>
      <c r="N31" s="117"/>
      <c r="O31" s="117"/>
      <c r="P31" s="117">
        <v>45838</v>
      </c>
      <c r="Q31" s="117"/>
      <c r="R31" s="126"/>
    </row>
    <row r="32" spans="1:90" s="95" customFormat="1" ht="21" x14ac:dyDescent="0.35">
      <c r="A32" s="236">
        <v>6</v>
      </c>
      <c r="B32" s="236"/>
      <c r="C32" s="92" t="s">
        <v>21</v>
      </c>
      <c r="D32" s="92"/>
      <c r="E32" s="94"/>
      <c r="F32" s="92"/>
      <c r="G32" s="93">
        <f>SUM(G33:G34)</f>
        <v>35000</v>
      </c>
      <c r="H32" s="153"/>
      <c r="I32" s="348"/>
      <c r="J32" s="372"/>
      <c r="K32" s="104"/>
      <c r="L32" s="295"/>
      <c r="M32" s="147"/>
      <c r="N32" s="147"/>
      <c r="O32" s="147"/>
      <c r="P32" s="119"/>
      <c r="Q32" s="119"/>
      <c r="R32" s="110"/>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row>
    <row r="33" spans="1:18" s="1" customFormat="1" ht="99" customHeight="1" x14ac:dyDescent="0.35">
      <c r="A33" s="78" t="s">
        <v>317</v>
      </c>
      <c r="B33" s="78"/>
      <c r="C33" s="77" t="s">
        <v>307</v>
      </c>
      <c r="D33" s="157"/>
      <c r="E33" s="76"/>
      <c r="F33" s="157"/>
      <c r="G33" s="159">
        <f>35000/2</f>
        <v>17500</v>
      </c>
      <c r="H33" s="174" t="s">
        <v>22</v>
      </c>
      <c r="I33" s="347" t="s">
        <v>29</v>
      </c>
      <c r="J33" s="372"/>
      <c r="K33" s="103" t="s">
        <v>18</v>
      </c>
      <c r="L33" s="292"/>
      <c r="M33" s="117">
        <v>45658</v>
      </c>
      <c r="N33" s="117"/>
      <c r="O33" s="117"/>
      <c r="P33" s="117">
        <v>45747</v>
      </c>
      <c r="Q33" s="117"/>
      <c r="R33" s="107"/>
    </row>
    <row r="34" spans="1:18" s="1" customFormat="1" ht="113.25" customHeight="1" x14ac:dyDescent="0.35">
      <c r="A34" s="78" t="s">
        <v>318</v>
      </c>
      <c r="B34" s="78"/>
      <c r="C34" s="77" t="s">
        <v>308</v>
      </c>
      <c r="D34" s="157"/>
      <c r="E34" s="76"/>
      <c r="F34" s="157"/>
      <c r="G34" s="159">
        <f t="shared" ref="G34" si="2">35000/2</f>
        <v>17500</v>
      </c>
      <c r="H34" s="174" t="s">
        <v>22</v>
      </c>
      <c r="I34" s="347" t="s">
        <v>29</v>
      </c>
      <c r="J34" s="373"/>
      <c r="K34" s="103" t="s">
        <v>18</v>
      </c>
      <c r="L34" s="292"/>
      <c r="M34" s="117">
        <v>45748</v>
      </c>
      <c r="N34" s="117"/>
      <c r="O34" s="117"/>
      <c r="P34" s="117">
        <v>45838</v>
      </c>
      <c r="Q34" s="117"/>
      <c r="R34" s="107"/>
    </row>
    <row r="35" spans="1:18" x14ac:dyDescent="0.35">
      <c r="I35" s="339"/>
      <c r="J35" s="296"/>
      <c r="K35"/>
      <c r="L35" s="296"/>
    </row>
    <row r="36" spans="1:18" x14ac:dyDescent="0.35">
      <c r="I36" s="339"/>
      <c r="J36" s="296"/>
      <c r="K36"/>
      <c r="L36" s="296"/>
    </row>
    <row r="37" spans="1:18" x14ac:dyDescent="0.35">
      <c r="I37" s="339"/>
      <c r="J37" s="296"/>
      <c r="K37"/>
      <c r="L37" s="296"/>
    </row>
    <row r="38" spans="1:18" x14ac:dyDescent="0.35">
      <c r="I38" s="339"/>
      <c r="J38" s="296"/>
      <c r="K38"/>
      <c r="L38" s="296"/>
    </row>
    <row r="39" spans="1:18" x14ac:dyDescent="0.35">
      <c r="I39" s="339"/>
      <c r="J39" s="296"/>
      <c r="K39"/>
      <c r="L39" s="296"/>
    </row>
    <row r="40" spans="1:18" x14ac:dyDescent="0.35">
      <c r="I40" s="339"/>
      <c r="J40" s="296"/>
      <c r="K40"/>
      <c r="L40" s="296"/>
    </row>
    <row r="41" spans="1:18" x14ac:dyDescent="0.35">
      <c r="I41" s="339"/>
      <c r="J41" s="296"/>
      <c r="K41"/>
      <c r="L41" s="296"/>
    </row>
    <row r="42" spans="1:18" x14ac:dyDescent="0.35">
      <c r="I42" s="339"/>
      <c r="J42" s="296"/>
      <c r="K42"/>
      <c r="L42" s="296"/>
    </row>
    <row r="43" spans="1:18" x14ac:dyDescent="0.35">
      <c r="I43" s="339"/>
      <c r="J43" s="296"/>
      <c r="K43"/>
      <c r="L43" s="296"/>
    </row>
    <row r="44" spans="1:18" x14ac:dyDescent="0.35">
      <c r="I44" s="339"/>
      <c r="J44" s="296"/>
      <c r="K44"/>
      <c r="L44" s="296"/>
    </row>
    <row r="45" spans="1:18" x14ac:dyDescent="0.35">
      <c r="I45" s="339"/>
      <c r="J45" s="296"/>
      <c r="K45"/>
      <c r="L45" s="296"/>
    </row>
    <row r="46" spans="1:18" x14ac:dyDescent="0.35">
      <c r="I46" s="339"/>
      <c r="J46" s="296"/>
      <c r="K46"/>
      <c r="L46" s="296"/>
    </row>
    <row r="47" spans="1:18" x14ac:dyDescent="0.35">
      <c r="I47" s="339"/>
      <c r="J47" s="296"/>
      <c r="K47"/>
      <c r="L47" s="296"/>
    </row>
    <row r="48" spans="1:18" x14ac:dyDescent="0.35">
      <c r="I48" s="339"/>
      <c r="J48" s="296"/>
      <c r="K48"/>
      <c r="L48" s="296"/>
    </row>
    <row r="49" spans="9:12" x14ac:dyDescent="0.35">
      <c r="I49" s="339"/>
      <c r="J49" s="296"/>
      <c r="K49"/>
      <c r="L49" s="296"/>
    </row>
    <row r="50" spans="9:12" x14ac:dyDescent="0.35">
      <c r="I50" s="339"/>
      <c r="J50" s="296"/>
      <c r="K50"/>
      <c r="L50" s="296"/>
    </row>
    <row r="51" spans="9:12" x14ac:dyDescent="0.35">
      <c r="I51" s="339"/>
      <c r="J51" s="296"/>
      <c r="K51"/>
      <c r="L51" s="296"/>
    </row>
    <row r="52" spans="9:12" x14ac:dyDescent="0.35">
      <c r="I52" s="339"/>
      <c r="J52" s="296"/>
      <c r="K52"/>
      <c r="L52" s="296"/>
    </row>
    <row r="53" spans="9:12" x14ac:dyDescent="0.35">
      <c r="I53" s="339"/>
      <c r="J53" s="296"/>
      <c r="K53"/>
      <c r="L53" s="296"/>
    </row>
    <row r="54" spans="9:12" x14ac:dyDescent="0.35">
      <c r="I54" s="339"/>
      <c r="J54" s="296"/>
      <c r="K54"/>
      <c r="L54" s="296"/>
    </row>
    <row r="55" spans="9:12" x14ac:dyDescent="0.35">
      <c r="I55" s="339"/>
      <c r="J55" s="296"/>
      <c r="K55"/>
      <c r="L55" s="296"/>
    </row>
    <row r="56" spans="9:12" x14ac:dyDescent="0.35">
      <c r="I56" s="339"/>
      <c r="J56" s="296"/>
      <c r="K56"/>
      <c r="L56" s="296"/>
    </row>
    <row r="57" spans="9:12" x14ac:dyDescent="0.35">
      <c r="I57" s="339"/>
      <c r="J57" s="296"/>
      <c r="K57"/>
      <c r="L57" s="296"/>
    </row>
    <row r="58" spans="9:12" x14ac:dyDescent="0.35">
      <c r="I58" s="339"/>
      <c r="J58" s="296"/>
      <c r="K58"/>
      <c r="L58" s="296"/>
    </row>
    <row r="59" spans="9:12" x14ac:dyDescent="0.35">
      <c r="I59" s="339"/>
      <c r="J59" s="296"/>
      <c r="K59"/>
      <c r="L59" s="296"/>
    </row>
    <row r="60" spans="9:12" x14ac:dyDescent="0.35">
      <c r="I60" s="339"/>
      <c r="J60" s="296"/>
      <c r="K60"/>
      <c r="L60" s="296"/>
    </row>
    <row r="61" spans="9:12" x14ac:dyDescent="0.35">
      <c r="I61" s="339"/>
      <c r="J61" s="296"/>
      <c r="K61"/>
      <c r="L61" s="296"/>
    </row>
    <row r="62" spans="9:12" x14ac:dyDescent="0.35">
      <c r="I62" s="339"/>
      <c r="J62" s="296"/>
      <c r="K62"/>
      <c r="L62" s="296"/>
    </row>
    <row r="63" spans="9:12" x14ac:dyDescent="0.35">
      <c r="I63" s="339"/>
      <c r="J63" s="296"/>
      <c r="K63"/>
      <c r="L63" s="296"/>
    </row>
    <row r="64" spans="9:12" x14ac:dyDescent="0.35">
      <c r="I64" s="339"/>
      <c r="J64" s="296"/>
      <c r="K64"/>
      <c r="L64" s="296"/>
    </row>
    <row r="65" spans="9:12" x14ac:dyDescent="0.35">
      <c r="I65" s="339"/>
      <c r="J65" s="296"/>
      <c r="K65"/>
      <c r="L65" s="296"/>
    </row>
    <row r="66" spans="9:12" x14ac:dyDescent="0.35">
      <c r="I66" s="339"/>
      <c r="J66" s="296"/>
      <c r="K66"/>
      <c r="L66" s="296"/>
    </row>
    <row r="67" spans="9:12" x14ac:dyDescent="0.35">
      <c r="I67" s="339"/>
      <c r="J67" s="296"/>
      <c r="K67"/>
      <c r="L67" s="296"/>
    </row>
    <row r="68" spans="9:12" x14ac:dyDescent="0.35">
      <c r="I68" s="339"/>
      <c r="J68" s="296"/>
      <c r="K68"/>
      <c r="L68" s="296"/>
    </row>
    <row r="69" spans="9:12" x14ac:dyDescent="0.35">
      <c r="I69" s="339"/>
      <c r="J69" s="296"/>
      <c r="K69"/>
      <c r="L69" s="296"/>
    </row>
    <row r="70" spans="9:12" x14ac:dyDescent="0.35">
      <c r="I70" s="339"/>
      <c r="J70" s="296"/>
      <c r="K70"/>
      <c r="L70" s="296"/>
    </row>
    <row r="71" spans="9:12" x14ac:dyDescent="0.35">
      <c r="I71" s="339"/>
      <c r="J71" s="296"/>
      <c r="K71"/>
      <c r="L71" s="296"/>
    </row>
    <row r="72" spans="9:12" x14ac:dyDescent="0.35">
      <c r="I72" s="339"/>
      <c r="J72" s="296"/>
      <c r="K72"/>
      <c r="L72" s="296"/>
    </row>
    <row r="73" spans="9:12" x14ac:dyDescent="0.35">
      <c r="I73" s="339"/>
      <c r="J73" s="296"/>
      <c r="K73"/>
      <c r="L73" s="296"/>
    </row>
    <row r="74" spans="9:12" x14ac:dyDescent="0.35">
      <c r="I74" s="339"/>
      <c r="J74" s="296"/>
      <c r="K74"/>
      <c r="L74" s="296"/>
    </row>
    <row r="75" spans="9:12" x14ac:dyDescent="0.35">
      <c r="I75" s="339"/>
      <c r="J75" s="296"/>
      <c r="K75"/>
      <c r="L75" s="296"/>
    </row>
    <row r="76" spans="9:12" x14ac:dyDescent="0.35">
      <c r="I76" s="339"/>
      <c r="J76" s="296"/>
      <c r="K76"/>
      <c r="L76" s="296"/>
    </row>
    <row r="77" spans="9:12" x14ac:dyDescent="0.35">
      <c r="I77" s="339"/>
      <c r="J77" s="296"/>
      <c r="K77"/>
      <c r="L77" s="296"/>
    </row>
    <row r="78" spans="9:12" x14ac:dyDescent="0.35">
      <c r="I78" s="339"/>
      <c r="J78" s="296"/>
      <c r="K78"/>
      <c r="L78" s="296"/>
    </row>
    <row r="79" spans="9:12" x14ac:dyDescent="0.35">
      <c r="I79" s="339"/>
      <c r="J79" s="296"/>
      <c r="K79"/>
      <c r="L79" s="296"/>
    </row>
    <row r="80" spans="9:12" x14ac:dyDescent="0.35">
      <c r="I80" s="339"/>
      <c r="J80" s="296"/>
      <c r="K80"/>
      <c r="L80" s="296"/>
    </row>
    <row r="81" spans="9:12" x14ac:dyDescent="0.35">
      <c r="I81" s="339"/>
      <c r="J81" s="296"/>
      <c r="K81"/>
      <c r="L81" s="296"/>
    </row>
    <row r="82" spans="9:12" x14ac:dyDescent="0.35">
      <c r="I82" s="339"/>
      <c r="J82" s="296"/>
      <c r="K82"/>
      <c r="L82" s="296"/>
    </row>
    <row r="83" spans="9:12" x14ac:dyDescent="0.35">
      <c r="I83" s="339"/>
      <c r="J83" s="296"/>
      <c r="K83"/>
      <c r="L83" s="296"/>
    </row>
    <row r="84" spans="9:12" x14ac:dyDescent="0.35">
      <c r="I84" s="339"/>
      <c r="J84" s="296"/>
      <c r="K84"/>
      <c r="L84" s="296"/>
    </row>
    <row r="85" spans="9:12" x14ac:dyDescent="0.35">
      <c r="I85" s="339"/>
      <c r="J85" s="296"/>
      <c r="K85"/>
      <c r="L85" s="296"/>
    </row>
    <row r="86" spans="9:12" x14ac:dyDescent="0.35">
      <c r="I86" s="339"/>
      <c r="J86" s="296"/>
      <c r="K86"/>
      <c r="L86" s="296"/>
    </row>
    <row r="87" spans="9:12" x14ac:dyDescent="0.35">
      <c r="I87" s="339"/>
      <c r="J87" s="296"/>
      <c r="K87"/>
      <c r="L87" s="296"/>
    </row>
    <row r="88" spans="9:12" x14ac:dyDescent="0.35">
      <c r="I88" s="339"/>
      <c r="J88" s="296"/>
      <c r="K88"/>
      <c r="L88" s="296"/>
    </row>
    <row r="89" spans="9:12" x14ac:dyDescent="0.35">
      <c r="I89" s="339"/>
      <c r="J89" s="296"/>
      <c r="K89"/>
      <c r="L89" s="296"/>
    </row>
    <row r="90" spans="9:12" x14ac:dyDescent="0.35">
      <c r="I90" s="339"/>
      <c r="J90" s="296"/>
      <c r="K90"/>
      <c r="L90" s="296"/>
    </row>
    <row r="91" spans="9:12" x14ac:dyDescent="0.35">
      <c r="I91" s="339"/>
      <c r="J91" s="296"/>
      <c r="K91"/>
      <c r="L91" s="296"/>
    </row>
    <row r="92" spans="9:12" x14ac:dyDescent="0.35">
      <c r="I92" s="339"/>
      <c r="J92" s="296"/>
      <c r="K92"/>
      <c r="L92" s="296"/>
    </row>
    <row r="93" spans="9:12" x14ac:dyDescent="0.35">
      <c r="I93" s="339"/>
      <c r="J93" s="296"/>
      <c r="K93"/>
      <c r="L93" s="296"/>
    </row>
    <row r="94" spans="9:12" x14ac:dyDescent="0.35">
      <c r="I94" s="339"/>
      <c r="J94" s="296"/>
      <c r="K94"/>
      <c r="L94" s="296"/>
    </row>
    <row r="95" spans="9:12" x14ac:dyDescent="0.35">
      <c r="I95" s="339"/>
      <c r="J95" s="296"/>
      <c r="K95"/>
      <c r="L95" s="296"/>
    </row>
    <row r="96" spans="9:12" x14ac:dyDescent="0.35">
      <c r="I96" s="339"/>
      <c r="J96" s="296"/>
      <c r="K96"/>
      <c r="L96" s="296"/>
    </row>
    <row r="97" spans="9:12" x14ac:dyDescent="0.35">
      <c r="I97" s="339"/>
      <c r="J97" s="296"/>
      <c r="K97"/>
      <c r="L97" s="296"/>
    </row>
    <row r="98" spans="9:12" x14ac:dyDescent="0.35">
      <c r="I98" s="339"/>
      <c r="J98" s="296"/>
      <c r="K98"/>
      <c r="L98" s="296"/>
    </row>
    <row r="99" spans="9:12" x14ac:dyDescent="0.35">
      <c r="I99" s="339"/>
      <c r="J99" s="296"/>
      <c r="K99"/>
      <c r="L99" s="296"/>
    </row>
    <row r="100" spans="9:12" x14ac:dyDescent="0.35">
      <c r="I100" s="339"/>
      <c r="J100" s="296"/>
      <c r="K100"/>
      <c r="L100" s="296"/>
    </row>
    <row r="101" spans="9:12" x14ac:dyDescent="0.35">
      <c r="I101" s="339"/>
      <c r="J101" s="296"/>
      <c r="K101"/>
      <c r="L101" s="296"/>
    </row>
    <row r="102" spans="9:12" x14ac:dyDescent="0.35">
      <c r="I102" s="339"/>
      <c r="J102" s="296"/>
      <c r="K102"/>
      <c r="L102" s="296"/>
    </row>
    <row r="103" spans="9:12" x14ac:dyDescent="0.35">
      <c r="I103" s="339"/>
      <c r="J103" s="296"/>
      <c r="K103"/>
      <c r="L103" s="296"/>
    </row>
    <row r="104" spans="9:12" x14ac:dyDescent="0.35">
      <c r="I104" s="339"/>
      <c r="J104" s="296"/>
      <c r="K104"/>
      <c r="L104" s="296"/>
    </row>
    <row r="105" spans="9:12" x14ac:dyDescent="0.35">
      <c r="I105" s="339"/>
      <c r="J105" s="296"/>
      <c r="K105"/>
      <c r="L105" s="296"/>
    </row>
    <row r="106" spans="9:12" x14ac:dyDescent="0.35">
      <c r="I106" s="339"/>
      <c r="J106" s="296"/>
      <c r="K106"/>
      <c r="L106" s="296"/>
    </row>
    <row r="107" spans="9:12" x14ac:dyDescent="0.35">
      <c r="I107" s="339"/>
      <c r="J107" s="296"/>
      <c r="K107"/>
      <c r="L107" s="296"/>
    </row>
    <row r="108" spans="9:12" x14ac:dyDescent="0.35">
      <c r="I108" s="339"/>
      <c r="J108" s="296"/>
      <c r="K108"/>
      <c r="L108" s="296"/>
    </row>
    <row r="109" spans="9:12" x14ac:dyDescent="0.35">
      <c r="I109" s="339"/>
      <c r="J109" s="296"/>
      <c r="K109"/>
      <c r="L109" s="296"/>
    </row>
    <row r="110" spans="9:12" x14ac:dyDescent="0.35">
      <c r="I110" s="339"/>
      <c r="J110" s="296"/>
      <c r="K110"/>
      <c r="L110" s="296"/>
    </row>
    <row r="111" spans="9:12" x14ac:dyDescent="0.35">
      <c r="I111" s="339"/>
      <c r="J111" s="296"/>
      <c r="K111"/>
      <c r="L111" s="296"/>
    </row>
    <row r="112" spans="9:12" x14ac:dyDescent="0.35">
      <c r="I112" s="339"/>
      <c r="J112" s="296"/>
      <c r="K112"/>
      <c r="L112" s="296"/>
    </row>
    <row r="113" spans="9:12" x14ac:dyDescent="0.35">
      <c r="I113" s="339"/>
      <c r="J113" s="296"/>
      <c r="K113"/>
      <c r="L113" s="296"/>
    </row>
    <row r="114" spans="9:12" x14ac:dyDescent="0.35">
      <c r="I114" s="339"/>
      <c r="J114" s="296"/>
      <c r="K114"/>
      <c r="L114" s="296"/>
    </row>
    <row r="115" spans="9:12" x14ac:dyDescent="0.35">
      <c r="I115" s="339"/>
      <c r="J115" s="296"/>
      <c r="K115"/>
      <c r="L115" s="296"/>
    </row>
    <row r="116" spans="9:12" x14ac:dyDescent="0.35">
      <c r="I116" s="339"/>
      <c r="J116" s="296"/>
      <c r="K116"/>
      <c r="L116" s="296"/>
    </row>
    <row r="117" spans="9:12" x14ac:dyDescent="0.35">
      <c r="I117" s="339"/>
      <c r="J117" s="296"/>
      <c r="K117"/>
      <c r="L117" s="296"/>
    </row>
    <row r="118" spans="9:12" x14ac:dyDescent="0.35">
      <c r="I118" s="339"/>
      <c r="J118" s="296"/>
      <c r="K118"/>
      <c r="L118" s="296"/>
    </row>
    <row r="119" spans="9:12" x14ac:dyDescent="0.35">
      <c r="I119" s="339"/>
      <c r="J119" s="296"/>
      <c r="K119"/>
      <c r="L119" s="296"/>
    </row>
    <row r="120" spans="9:12" x14ac:dyDescent="0.35">
      <c r="I120" s="339"/>
      <c r="J120" s="296"/>
      <c r="K120"/>
      <c r="L120" s="296"/>
    </row>
    <row r="121" spans="9:12" x14ac:dyDescent="0.35">
      <c r="I121" s="339"/>
      <c r="J121" s="296"/>
      <c r="K121"/>
      <c r="L121" s="296"/>
    </row>
    <row r="122" spans="9:12" x14ac:dyDescent="0.35">
      <c r="I122" s="339"/>
      <c r="J122" s="296"/>
      <c r="K122"/>
      <c r="L122" s="296"/>
    </row>
    <row r="123" spans="9:12" x14ac:dyDescent="0.35">
      <c r="I123" s="339"/>
      <c r="J123" s="296"/>
      <c r="K123"/>
      <c r="L123" s="296"/>
    </row>
    <row r="124" spans="9:12" x14ac:dyDescent="0.35">
      <c r="I124" s="339"/>
      <c r="J124" s="296"/>
      <c r="K124"/>
      <c r="L124" s="296"/>
    </row>
    <row r="125" spans="9:12" x14ac:dyDescent="0.35">
      <c r="I125" s="339"/>
      <c r="J125" s="296"/>
      <c r="K125"/>
      <c r="L125" s="296"/>
    </row>
    <row r="126" spans="9:12" x14ac:dyDescent="0.35">
      <c r="I126" s="339"/>
      <c r="J126" s="296"/>
      <c r="K126"/>
      <c r="L126" s="296"/>
    </row>
    <row r="127" spans="9:12" x14ac:dyDescent="0.35">
      <c r="I127" s="339"/>
      <c r="J127" s="296"/>
      <c r="K127"/>
      <c r="L127" s="296"/>
    </row>
    <row r="128" spans="9:12" x14ac:dyDescent="0.35">
      <c r="I128" s="339"/>
      <c r="J128" s="296"/>
      <c r="K128"/>
      <c r="L128" s="296"/>
    </row>
    <row r="129" spans="9:12" x14ac:dyDescent="0.35">
      <c r="I129" s="339"/>
      <c r="J129" s="296"/>
      <c r="K129"/>
      <c r="L129" s="296"/>
    </row>
    <row r="130" spans="9:12" x14ac:dyDescent="0.35">
      <c r="I130" s="339"/>
      <c r="J130" s="296"/>
      <c r="K130"/>
      <c r="L130" s="296"/>
    </row>
    <row r="131" spans="9:12" x14ac:dyDescent="0.35">
      <c r="I131" s="339"/>
      <c r="J131" s="296"/>
      <c r="K131"/>
      <c r="L131" s="296"/>
    </row>
    <row r="132" spans="9:12" x14ac:dyDescent="0.35">
      <c r="I132" s="339"/>
      <c r="J132" s="296"/>
      <c r="K132"/>
      <c r="L132" s="296"/>
    </row>
    <row r="133" spans="9:12" x14ac:dyDescent="0.35">
      <c r="I133" s="339"/>
      <c r="J133" s="296"/>
      <c r="K133"/>
      <c r="L133" s="296"/>
    </row>
    <row r="134" spans="9:12" x14ac:dyDescent="0.35">
      <c r="I134" s="339"/>
      <c r="J134" s="296"/>
      <c r="K134"/>
      <c r="L134" s="296"/>
    </row>
    <row r="135" spans="9:12" x14ac:dyDescent="0.35">
      <c r="I135" s="339"/>
      <c r="J135" s="296"/>
      <c r="K135"/>
      <c r="L135" s="296"/>
    </row>
    <row r="136" spans="9:12" x14ac:dyDescent="0.35">
      <c r="I136" s="339"/>
      <c r="J136" s="296"/>
      <c r="K136"/>
      <c r="L136" s="296"/>
    </row>
    <row r="137" spans="9:12" x14ac:dyDescent="0.35">
      <c r="I137" s="339"/>
      <c r="J137" s="296"/>
      <c r="K137"/>
      <c r="L137" s="296"/>
    </row>
    <row r="138" spans="9:12" x14ac:dyDescent="0.35">
      <c r="I138" s="339"/>
      <c r="J138" s="296"/>
      <c r="K138"/>
      <c r="L138" s="296"/>
    </row>
    <row r="139" spans="9:12" x14ac:dyDescent="0.35">
      <c r="I139" s="339"/>
      <c r="J139" s="296"/>
      <c r="K139"/>
      <c r="L139" s="296"/>
    </row>
    <row r="140" spans="9:12" x14ac:dyDescent="0.35">
      <c r="I140" s="339"/>
      <c r="J140" s="296"/>
      <c r="K140"/>
      <c r="L140" s="296"/>
    </row>
    <row r="141" spans="9:12" x14ac:dyDescent="0.35">
      <c r="I141" s="339"/>
      <c r="J141" s="296"/>
      <c r="K141"/>
      <c r="L141" s="296"/>
    </row>
    <row r="142" spans="9:12" x14ac:dyDescent="0.35">
      <c r="I142" s="339"/>
      <c r="J142" s="296"/>
      <c r="K142"/>
      <c r="L142" s="296"/>
    </row>
    <row r="143" spans="9:12" x14ac:dyDescent="0.35">
      <c r="I143" s="339"/>
      <c r="J143" s="296"/>
      <c r="K143"/>
      <c r="L143" s="296"/>
    </row>
    <row r="144" spans="9:12" x14ac:dyDescent="0.35">
      <c r="I144" s="339"/>
      <c r="J144" s="296"/>
      <c r="K144"/>
      <c r="L144" s="296"/>
    </row>
    <row r="145" spans="9:12" x14ac:dyDescent="0.35">
      <c r="I145" s="339"/>
      <c r="J145" s="296"/>
      <c r="K145"/>
      <c r="L145" s="296"/>
    </row>
    <row r="146" spans="9:12" x14ac:dyDescent="0.35">
      <c r="I146" s="339"/>
      <c r="J146" s="296"/>
      <c r="K146"/>
      <c r="L146" s="296"/>
    </row>
    <row r="147" spans="9:12" x14ac:dyDescent="0.35">
      <c r="I147" s="339"/>
      <c r="J147" s="296"/>
      <c r="K147"/>
      <c r="L147" s="296"/>
    </row>
    <row r="148" spans="9:12" x14ac:dyDescent="0.35">
      <c r="I148" s="339"/>
      <c r="J148" s="296"/>
      <c r="K148"/>
      <c r="L148" s="296"/>
    </row>
    <row r="149" spans="9:12" x14ac:dyDescent="0.35">
      <c r="I149" s="339"/>
      <c r="J149" s="296"/>
      <c r="K149"/>
      <c r="L149" s="296"/>
    </row>
    <row r="150" spans="9:12" x14ac:dyDescent="0.35">
      <c r="I150" s="339"/>
      <c r="J150" s="296"/>
      <c r="K150"/>
      <c r="L150" s="296"/>
    </row>
    <row r="151" spans="9:12" x14ac:dyDescent="0.35">
      <c r="I151" s="339"/>
      <c r="J151" s="296"/>
      <c r="K151"/>
      <c r="L151" s="296"/>
    </row>
    <row r="152" spans="9:12" x14ac:dyDescent="0.35">
      <c r="I152" s="339"/>
      <c r="J152" s="296"/>
      <c r="K152"/>
      <c r="L152" s="296"/>
    </row>
    <row r="153" spans="9:12" x14ac:dyDescent="0.35">
      <c r="I153" s="339"/>
      <c r="J153" s="296"/>
      <c r="K153"/>
      <c r="L153" s="296"/>
    </row>
    <row r="154" spans="9:12" x14ac:dyDescent="0.35">
      <c r="I154" s="339"/>
      <c r="J154" s="296"/>
      <c r="K154"/>
      <c r="L154" s="296"/>
    </row>
    <row r="155" spans="9:12" x14ac:dyDescent="0.35">
      <c r="I155" s="339"/>
      <c r="J155" s="296"/>
      <c r="K155"/>
      <c r="L155" s="296"/>
    </row>
    <row r="156" spans="9:12" x14ac:dyDescent="0.35">
      <c r="I156" s="339"/>
      <c r="J156" s="296"/>
      <c r="K156"/>
      <c r="L156" s="296"/>
    </row>
    <row r="157" spans="9:12" x14ac:dyDescent="0.35">
      <c r="I157" s="339"/>
      <c r="J157" s="296"/>
      <c r="K157"/>
      <c r="L157" s="296"/>
    </row>
    <row r="158" spans="9:12" x14ac:dyDescent="0.35">
      <c r="I158" s="339"/>
      <c r="J158" s="296"/>
      <c r="K158"/>
      <c r="L158" s="296"/>
    </row>
    <row r="159" spans="9:12" x14ac:dyDescent="0.35">
      <c r="I159" s="339"/>
      <c r="J159" s="296"/>
      <c r="K159"/>
      <c r="L159" s="296"/>
    </row>
    <row r="160" spans="9:12" x14ac:dyDescent="0.35">
      <c r="I160" s="339"/>
      <c r="J160" s="296"/>
      <c r="K160"/>
      <c r="L160" s="296"/>
    </row>
    <row r="161" spans="9:12" x14ac:dyDescent="0.35">
      <c r="I161" s="339"/>
      <c r="J161" s="296"/>
      <c r="K161"/>
      <c r="L161" s="296"/>
    </row>
    <row r="162" spans="9:12" x14ac:dyDescent="0.35">
      <c r="I162" s="339"/>
      <c r="J162" s="296"/>
      <c r="K162"/>
      <c r="L162" s="296"/>
    </row>
    <row r="163" spans="9:12" x14ac:dyDescent="0.35">
      <c r="I163" s="339"/>
      <c r="J163" s="296"/>
      <c r="K163"/>
      <c r="L163" s="296"/>
    </row>
    <row r="164" spans="9:12" x14ac:dyDescent="0.35">
      <c r="I164" s="339"/>
      <c r="J164" s="296"/>
      <c r="K164"/>
      <c r="L164" s="296"/>
    </row>
    <row r="165" spans="9:12" x14ac:dyDescent="0.35">
      <c r="I165" s="339"/>
      <c r="J165" s="296"/>
      <c r="K165"/>
      <c r="L165" s="296"/>
    </row>
    <row r="166" spans="9:12" x14ac:dyDescent="0.35">
      <c r="I166" s="339"/>
      <c r="J166" s="296"/>
      <c r="K166"/>
      <c r="L166" s="296"/>
    </row>
    <row r="167" spans="9:12" x14ac:dyDescent="0.35">
      <c r="I167" s="339"/>
      <c r="J167" s="296"/>
      <c r="K167"/>
      <c r="L167" s="296"/>
    </row>
    <row r="168" spans="9:12" x14ac:dyDescent="0.35">
      <c r="I168" s="339"/>
      <c r="J168" s="296"/>
      <c r="K168"/>
      <c r="L168" s="296"/>
    </row>
    <row r="169" spans="9:12" x14ac:dyDescent="0.35">
      <c r="I169" s="339"/>
      <c r="J169" s="296"/>
      <c r="K169"/>
      <c r="L169" s="296"/>
    </row>
    <row r="170" spans="9:12" x14ac:dyDescent="0.35">
      <c r="I170" s="339"/>
      <c r="J170" s="296"/>
      <c r="K170"/>
      <c r="L170" s="296"/>
    </row>
    <row r="171" spans="9:12" x14ac:dyDescent="0.35">
      <c r="I171" s="339"/>
      <c r="J171" s="296"/>
      <c r="K171"/>
      <c r="L171" s="296"/>
    </row>
    <row r="172" spans="9:12" x14ac:dyDescent="0.35">
      <c r="I172" s="339"/>
      <c r="J172" s="296"/>
      <c r="K172"/>
      <c r="L172" s="296"/>
    </row>
    <row r="173" spans="9:12" x14ac:dyDescent="0.35">
      <c r="I173" s="339"/>
      <c r="J173" s="296"/>
      <c r="K173"/>
      <c r="L173" s="296"/>
    </row>
    <row r="174" spans="9:12" x14ac:dyDescent="0.35">
      <c r="I174" s="339"/>
      <c r="J174" s="296"/>
      <c r="K174"/>
      <c r="L174" s="296"/>
    </row>
    <row r="175" spans="9:12" x14ac:dyDescent="0.35">
      <c r="I175" s="339"/>
      <c r="J175" s="296"/>
      <c r="K175"/>
      <c r="L175" s="296"/>
    </row>
    <row r="176" spans="9:12" x14ac:dyDescent="0.35">
      <c r="I176" s="339"/>
      <c r="J176" s="296"/>
      <c r="K176"/>
      <c r="L176" s="296"/>
    </row>
    <row r="177" spans="9:12" x14ac:dyDescent="0.35">
      <c r="I177" s="339"/>
      <c r="J177" s="296"/>
      <c r="K177"/>
      <c r="L177" s="296"/>
    </row>
    <row r="178" spans="9:12" x14ac:dyDescent="0.35">
      <c r="I178" s="339"/>
      <c r="J178" s="296"/>
      <c r="K178"/>
      <c r="L178" s="296"/>
    </row>
    <row r="179" spans="9:12" x14ac:dyDescent="0.35">
      <c r="I179" s="339"/>
      <c r="J179" s="296"/>
      <c r="K179"/>
      <c r="L179" s="296"/>
    </row>
    <row r="180" spans="9:12" x14ac:dyDescent="0.35">
      <c r="I180" s="339"/>
      <c r="J180" s="296"/>
      <c r="K180"/>
      <c r="L180" s="296"/>
    </row>
    <row r="181" spans="9:12" x14ac:dyDescent="0.35">
      <c r="I181" s="339"/>
      <c r="J181" s="296"/>
      <c r="K181"/>
      <c r="L181" s="296"/>
    </row>
    <row r="182" spans="9:12" x14ac:dyDescent="0.35">
      <c r="I182" s="339"/>
      <c r="J182" s="296"/>
      <c r="K182"/>
      <c r="L182" s="296"/>
    </row>
    <row r="183" spans="9:12" x14ac:dyDescent="0.35">
      <c r="I183" s="339"/>
      <c r="J183" s="296"/>
      <c r="K183"/>
      <c r="L183" s="296"/>
    </row>
    <row r="184" spans="9:12" x14ac:dyDescent="0.35">
      <c r="I184" s="339"/>
      <c r="J184" s="296"/>
      <c r="K184"/>
      <c r="L184" s="296"/>
    </row>
    <row r="185" spans="9:12" x14ac:dyDescent="0.35">
      <c r="I185" s="339"/>
      <c r="J185" s="296"/>
      <c r="K185"/>
      <c r="L185" s="296"/>
    </row>
    <row r="186" spans="9:12" x14ac:dyDescent="0.35">
      <c r="I186" s="339"/>
      <c r="J186" s="296"/>
      <c r="K186"/>
      <c r="L186" s="296"/>
    </row>
    <row r="187" spans="9:12" x14ac:dyDescent="0.35">
      <c r="I187" s="339"/>
      <c r="J187" s="296"/>
      <c r="K187"/>
      <c r="L187" s="296"/>
    </row>
    <row r="188" spans="9:12" x14ac:dyDescent="0.35">
      <c r="I188" s="339"/>
      <c r="J188" s="296"/>
      <c r="K188"/>
      <c r="L188" s="296"/>
    </row>
    <row r="189" spans="9:12" x14ac:dyDescent="0.35">
      <c r="I189" s="339"/>
      <c r="J189" s="296"/>
      <c r="K189"/>
      <c r="L189" s="296"/>
    </row>
    <row r="190" spans="9:12" x14ac:dyDescent="0.35">
      <c r="I190" s="339"/>
      <c r="J190" s="296"/>
      <c r="K190"/>
      <c r="L190" s="296"/>
    </row>
    <row r="191" spans="9:12" x14ac:dyDescent="0.35">
      <c r="I191" s="339"/>
      <c r="J191" s="296"/>
      <c r="K191"/>
      <c r="L191" s="296"/>
    </row>
    <row r="192" spans="9:12" x14ac:dyDescent="0.35">
      <c r="I192" s="339"/>
      <c r="J192" s="296"/>
      <c r="K192"/>
      <c r="L192" s="296"/>
    </row>
    <row r="193" spans="9:12" x14ac:dyDescent="0.35">
      <c r="I193" s="339"/>
      <c r="J193" s="296"/>
      <c r="K193"/>
      <c r="L193" s="296"/>
    </row>
    <row r="194" spans="9:12" x14ac:dyDescent="0.35">
      <c r="I194" s="339"/>
      <c r="J194" s="296"/>
      <c r="K194"/>
      <c r="L194" s="296"/>
    </row>
    <row r="195" spans="9:12" x14ac:dyDescent="0.35">
      <c r="I195" s="339"/>
      <c r="J195" s="296"/>
      <c r="K195"/>
      <c r="L195" s="296"/>
    </row>
    <row r="196" spans="9:12" x14ac:dyDescent="0.35">
      <c r="I196" s="339"/>
      <c r="J196" s="296"/>
      <c r="K196"/>
      <c r="L196" s="296"/>
    </row>
    <row r="197" spans="9:12" x14ac:dyDescent="0.35">
      <c r="I197" s="339"/>
      <c r="J197" s="296"/>
      <c r="K197"/>
      <c r="L197" s="296"/>
    </row>
    <row r="198" spans="9:12" x14ac:dyDescent="0.35">
      <c r="I198" s="339"/>
      <c r="J198" s="296"/>
      <c r="K198"/>
      <c r="L198" s="296"/>
    </row>
    <row r="199" spans="9:12" x14ac:dyDescent="0.35">
      <c r="I199" s="339"/>
      <c r="J199" s="296"/>
      <c r="K199"/>
      <c r="L199" s="296"/>
    </row>
    <row r="200" spans="9:12" x14ac:dyDescent="0.35">
      <c r="I200" s="339"/>
      <c r="J200" s="296"/>
      <c r="K200"/>
      <c r="L200" s="296"/>
    </row>
    <row r="201" spans="9:12" x14ac:dyDescent="0.35">
      <c r="I201" s="339"/>
      <c r="J201" s="296"/>
      <c r="K201"/>
      <c r="L201" s="296"/>
    </row>
    <row r="202" spans="9:12" x14ac:dyDescent="0.35">
      <c r="I202" s="339"/>
      <c r="J202" s="296"/>
      <c r="K202"/>
      <c r="L202" s="296"/>
    </row>
    <row r="203" spans="9:12" x14ac:dyDescent="0.35">
      <c r="I203" s="339"/>
      <c r="J203" s="296"/>
      <c r="K203"/>
      <c r="L203" s="296"/>
    </row>
    <row r="204" spans="9:12" x14ac:dyDescent="0.35">
      <c r="I204" s="339"/>
      <c r="J204" s="296"/>
      <c r="K204"/>
      <c r="L204" s="296"/>
    </row>
    <row r="205" spans="9:12" x14ac:dyDescent="0.35">
      <c r="I205" s="339"/>
      <c r="J205" s="296"/>
      <c r="K205"/>
      <c r="L205" s="296"/>
    </row>
    <row r="206" spans="9:12" x14ac:dyDescent="0.35">
      <c r="I206" s="339"/>
      <c r="J206" s="296"/>
      <c r="K206"/>
      <c r="L206" s="296"/>
    </row>
    <row r="207" spans="9:12" x14ac:dyDescent="0.35">
      <c r="I207" s="339"/>
      <c r="J207" s="296"/>
      <c r="K207"/>
      <c r="L207" s="296"/>
    </row>
    <row r="208" spans="9:12" x14ac:dyDescent="0.35">
      <c r="I208" s="339"/>
      <c r="J208" s="296"/>
      <c r="K208"/>
      <c r="L208" s="296"/>
    </row>
    <row r="209" spans="9:12" x14ac:dyDescent="0.35">
      <c r="I209" s="339"/>
      <c r="J209" s="296"/>
      <c r="K209"/>
      <c r="L209" s="296"/>
    </row>
    <row r="210" spans="9:12" x14ac:dyDescent="0.35">
      <c r="I210" s="339"/>
      <c r="J210" s="296"/>
      <c r="K210"/>
      <c r="L210" s="296"/>
    </row>
    <row r="211" spans="9:12" x14ac:dyDescent="0.35">
      <c r="I211" s="339"/>
      <c r="J211" s="296"/>
      <c r="K211"/>
      <c r="L211" s="296"/>
    </row>
    <row r="212" spans="9:12" x14ac:dyDescent="0.35">
      <c r="I212" s="339"/>
      <c r="J212" s="296"/>
      <c r="K212"/>
      <c r="L212" s="296"/>
    </row>
    <row r="213" spans="9:12" x14ac:dyDescent="0.35">
      <c r="I213" s="339"/>
      <c r="J213" s="296"/>
      <c r="K213"/>
      <c r="L213" s="296"/>
    </row>
    <row r="214" spans="9:12" x14ac:dyDescent="0.35">
      <c r="I214" s="339"/>
      <c r="J214" s="296"/>
      <c r="K214"/>
      <c r="L214" s="296"/>
    </row>
    <row r="215" spans="9:12" x14ac:dyDescent="0.35">
      <c r="I215" s="339"/>
      <c r="J215" s="296"/>
      <c r="K215"/>
      <c r="L215" s="296"/>
    </row>
    <row r="216" spans="9:12" x14ac:dyDescent="0.35">
      <c r="I216" s="339"/>
      <c r="J216" s="296"/>
      <c r="K216"/>
      <c r="L216" s="296"/>
    </row>
    <row r="217" spans="9:12" x14ac:dyDescent="0.35">
      <c r="I217" s="339"/>
      <c r="J217" s="296"/>
      <c r="K217"/>
      <c r="L217" s="296"/>
    </row>
    <row r="218" spans="9:12" x14ac:dyDescent="0.35">
      <c r="I218" s="339"/>
      <c r="J218" s="296"/>
      <c r="K218"/>
      <c r="L218" s="296"/>
    </row>
    <row r="219" spans="9:12" x14ac:dyDescent="0.35">
      <c r="I219" s="339"/>
      <c r="J219" s="296"/>
      <c r="K219"/>
      <c r="L219" s="296"/>
    </row>
    <row r="220" spans="9:12" x14ac:dyDescent="0.35">
      <c r="I220" s="339"/>
      <c r="J220" s="296"/>
      <c r="K220"/>
      <c r="L220" s="296"/>
    </row>
    <row r="221" spans="9:12" x14ac:dyDescent="0.35">
      <c r="I221" s="339"/>
      <c r="J221" s="296"/>
      <c r="K221"/>
      <c r="L221" s="296"/>
    </row>
    <row r="222" spans="9:12" x14ac:dyDescent="0.35">
      <c r="I222" s="339"/>
      <c r="J222" s="296"/>
      <c r="K222"/>
      <c r="L222" s="296"/>
    </row>
    <row r="223" spans="9:12" x14ac:dyDescent="0.35">
      <c r="I223" s="339"/>
      <c r="J223" s="296"/>
      <c r="K223"/>
      <c r="L223" s="296"/>
    </row>
    <row r="224" spans="9:12" x14ac:dyDescent="0.35">
      <c r="I224" s="339"/>
      <c r="J224" s="296"/>
      <c r="K224"/>
      <c r="L224" s="296"/>
    </row>
    <row r="225" spans="9:12" x14ac:dyDescent="0.35">
      <c r="I225" s="339"/>
      <c r="J225" s="296"/>
      <c r="K225"/>
      <c r="L225" s="296"/>
    </row>
    <row r="226" spans="9:12" x14ac:dyDescent="0.35">
      <c r="I226" s="339"/>
      <c r="J226" s="296"/>
      <c r="K226"/>
      <c r="L226" s="296"/>
    </row>
    <row r="227" spans="9:12" x14ac:dyDescent="0.35">
      <c r="I227" s="339"/>
      <c r="J227" s="296"/>
      <c r="K227"/>
      <c r="L227" s="296"/>
    </row>
    <row r="228" spans="9:12" x14ac:dyDescent="0.35">
      <c r="I228" s="339"/>
      <c r="J228" s="296"/>
      <c r="K228"/>
      <c r="L228" s="296"/>
    </row>
    <row r="229" spans="9:12" x14ac:dyDescent="0.35">
      <c r="I229" s="339"/>
      <c r="J229" s="296"/>
      <c r="K229"/>
      <c r="L229" s="296"/>
    </row>
    <row r="230" spans="9:12" x14ac:dyDescent="0.35">
      <c r="I230" s="339"/>
      <c r="J230" s="296"/>
      <c r="K230"/>
      <c r="L230" s="296"/>
    </row>
    <row r="231" spans="9:12" x14ac:dyDescent="0.35">
      <c r="I231" s="339"/>
      <c r="J231" s="296"/>
      <c r="K231"/>
      <c r="L231" s="296"/>
    </row>
    <row r="232" spans="9:12" x14ac:dyDescent="0.35">
      <c r="I232" s="339"/>
      <c r="J232" s="296"/>
      <c r="K232"/>
      <c r="L232" s="296"/>
    </row>
    <row r="233" spans="9:12" x14ac:dyDescent="0.35">
      <c r="I233" s="339"/>
      <c r="J233" s="296"/>
      <c r="K233"/>
      <c r="L233" s="296"/>
    </row>
    <row r="234" spans="9:12" x14ac:dyDescent="0.35">
      <c r="I234" s="339"/>
      <c r="J234" s="296"/>
      <c r="K234"/>
      <c r="L234" s="296"/>
    </row>
    <row r="235" spans="9:12" x14ac:dyDescent="0.35">
      <c r="I235" s="339"/>
      <c r="J235" s="296"/>
      <c r="K235"/>
      <c r="L235" s="296"/>
    </row>
    <row r="236" spans="9:12" x14ac:dyDescent="0.35">
      <c r="I236" s="339"/>
      <c r="J236" s="296"/>
      <c r="K236"/>
      <c r="L236" s="296"/>
    </row>
    <row r="237" spans="9:12" x14ac:dyDescent="0.35">
      <c r="I237" s="339"/>
      <c r="J237" s="296"/>
      <c r="K237"/>
      <c r="L237" s="296"/>
    </row>
    <row r="238" spans="9:12" x14ac:dyDescent="0.35">
      <c r="I238" s="339"/>
      <c r="J238" s="296"/>
      <c r="K238"/>
      <c r="L238" s="296"/>
    </row>
    <row r="239" spans="9:12" x14ac:dyDescent="0.35">
      <c r="I239" s="339"/>
      <c r="J239" s="296"/>
      <c r="K239"/>
      <c r="L239" s="296"/>
    </row>
    <row r="240" spans="9:12" x14ac:dyDescent="0.35">
      <c r="I240" s="339"/>
      <c r="J240" s="296"/>
      <c r="K240"/>
      <c r="L240" s="296"/>
    </row>
    <row r="241" spans="9:12" x14ac:dyDescent="0.35">
      <c r="I241" s="339"/>
      <c r="J241" s="296"/>
      <c r="K241"/>
      <c r="L241" s="296"/>
    </row>
    <row r="242" spans="9:12" x14ac:dyDescent="0.35">
      <c r="I242" s="339"/>
      <c r="J242" s="296"/>
      <c r="K242"/>
      <c r="L242" s="296"/>
    </row>
    <row r="243" spans="9:12" x14ac:dyDescent="0.35">
      <c r="I243" s="339"/>
      <c r="J243" s="296"/>
      <c r="K243"/>
      <c r="L243" s="296"/>
    </row>
    <row r="244" spans="9:12" x14ac:dyDescent="0.35">
      <c r="I244" s="339"/>
      <c r="J244" s="296"/>
      <c r="K244"/>
      <c r="L244" s="296"/>
    </row>
    <row r="245" spans="9:12" x14ac:dyDescent="0.35">
      <c r="I245" s="339"/>
      <c r="J245" s="296"/>
      <c r="K245"/>
      <c r="L245" s="296"/>
    </row>
    <row r="246" spans="9:12" x14ac:dyDescent="0.35">
      <c r="I246" s="339"/>
      <c r="J246" s="296"/>
      <c r="K246"/>
      <c r="L246" s="296"/>
    </row>
    <row r="247" spans="9:12" x14ac:dyDescent="0.35">
      <c r="I247" s="339"/>
      <c r="J247" s="296"/>
      <c r="K247"/>
      <c r="L247" s="296"/>
    </row>
    <row r="248" spans="9:12" x14ac:dyDescent="0.35">
      <c r="I248" s="339"/>
      <c r="J248" s="296"/>
      <c r="K248"/>
      <c r="L248" s="296"/>
    </row>
    <row r="249" spans="9:12" x14ac:dyDescent="0.35">
      <c r="I249" s="339"/>
      <c r="J249" s="296"/>
      <c r="K249"/>
      <c r="L249" s="296"/>
    </row>
    <row r="250" spans="9:12" x14ac:dyDescent="0.35">
      <c r="I250" s="339"/>
      <c r="J250" s="296"/>
      <c r="K250"/>
      <c r="L250" s="296"/>
    </row>
    <row r="251" spans="9:12" x14ac:dyDescent="0.35">
      <c r="I251" s="339"/>
      <c r="J251" s="296"/>
      <c r="K251"/>
      <c r="L251" s="296"/>
    </row>
    <row r="252" spans="9:12" x14ac:dyDescent="0.35">
      <c r="I252" s="339"/>
      <c r="J252" s="296"/>
      <c r="K252"/>
      <c r="L252" s="296"/>
    </row>
    <row r="253" spans="9:12" x14ac:dyDescent="0.35">
      <c r="I253" s="339"/>
      <c r="J253" s="296"/>
      <c r="K253"/>
      <c r="L253" s="296"/>
    </row>
    <row r="254" spans="9:12" x14ac:dyDescent="0.35">
      <c r="I254" s="339"/>
      <c r="J254" s="296"/>
      <c r="K254"/>
      <c r="L254" s="296"/>
    </row>
    <row r="255" spans="9:12" x14ac:dyDescent="0.35">
      <c r="I255" s="339"/>
      <c r="J255" s="296"/>
      <c r="K255"/>
      <c r="L255" s="296"/>
    </row>
    <row r="256" spans="9:12" x14ac:dyDescent="0.35">
      <c r="I256" s="339"/>
      <c r="J256" s="296"/>
      <c r="K256"/>
      <c r="L256" s="296"/>
    </row>
    <row r="257" spans="9:12" x14ac:dyDescent="0.35">
      <c r="I257" s="339"/>
      <c r="J257" s="296"/>
      <c r="K257"/>
      <c r="L257" s="296"/>
    </row>
    <row r="258" spans="9:12" x14ac:dyDescent="0.35">
      <c r="I258" s="339"/>
      <c r="J258" s="296"/>
      <c r="K258"/>
      <c r="L258" s="296"/>
    </row>
    <row r="259" spans="9:12" x14ac:dyDescent="0.35">
      <c r="I259" s="339"/>
      <c r="J259" s="296"/>
      <c r="K259"/>
      <c r="L259" s="296"/>
    </row>
    <row r="260" spans="9:12" x14ac:dyDescent="0.35">
      <c r="I260" s="339"/>
      <c r="J260" s="296"/>
      <c r="K260"/>
      <c r="L260" s="296"/>
    </row>
    <row r="261" spans="9:12" x14ac:dyDescent="0.35">
      <c r="I261" s="339"/>
      <c r="J261" s="296"/>
      <c r="K261"/>
      <c r="L261" s="296"/>
    </row>
    <row r="262" spans="9:12" x14ac:dyDescent="0.35">
      <c r="I262" s="339"/>
      <c r="J262" s="296"/>
      <c r="K262"/>
      <c r="L262" s="296"/>
    </row>
    <row r="263" spans="9:12" x14ac:dyDescent="0.35">
      <c r="I263" s="339"/>
      <c r="J263" s="296"/>
      <c r="K263"/>
      <c r="L263" s="296"/>
    </row>
    <row r="264" spans="9:12" x14ac:dyDescent="0.35">
      <c r="I264" s="339"/>
      <c r="J264" s="296"/>
      <c r="K264"/>
      <c r="L264" s="296"/>
    </row>
    <row r="265" spans="9:12" x14ac:dyDescent="0.35">
      <c r="I265" s="339"/>
      <c r="J265" s="296"/>
      <c r="K265"/>
      <c r="L265" s="296"/>
    </row>
    <row r="266" spans="9:12" x14ac:dyDescent="0.35">
      <c r="I266" s="339"/>
      <c r="J266" s="296"/>
      <c r="K266"/>
      <c r="L266" s="296"/>
    </row>
    <row r="267" spans="9:12" x14ac:dyDescent="0.35">
      <c r="I267" s="339"/>
      <c r="J267" s="296"/>
      <c r="K267"/>
      <c r="L267" s="296"/>
    </row>
    <row r="268" spans="9:12" x14ac:dyDescent="0.35">
      <c r="I268" s="339"/>
      <c r="J268" s="296"/>
      <c r="K268"/>
      <c r="L268" s="296"/>
    </row>
    <row r="269" spans="9:12" x14ac:dyDescent="0.35">
      <c r="I269" s="339"/>
      <c r="J269" s="296"/>
      <c r="K269"/>
      <c r="L269" s="296"/>
    </row>
    <row r="270" spans="9:12" x14ac:dyDescent="0.35">
      <c r="I270" s="339"/>
      <c r="J270" s="296"/>
      <c r="K270"/>
      <c r="L270" s="296"/>
    </row>
    <row r="271" spans="9:12" x14ac:dyDescent="0.35">
      <c r="I271" s="339"/>
      <c r="J271" s="296"/>
      <c r="K271"/>
      <c r="L271" s="296"/>
    </row>
    <row r="272" spans="9:12" x14ac:dyDescent="0.35">
      <c r="I272" s="339"/>
      <c r="J272" s="296"/>
      <c r="K272"/>
      <c r="L272" s="296"/>
    </row>
    <row r="273" spans="9:12" x14ac:dyDescent="0.35">
      <c r="I273" s="339"/>
      <c r="J273" s="296"/>
      <c r="K273"/>
      <c r="L273" s="296"/>
    </row>
    <row r="274" spans="9:12" x14ac:dyDescent="0.35">
      <c r="I274" s="339"/>
      <c r="J274" s="296"/>
      <c r="K274"/>
      <c r="L274" s="296"/>
    </row>
    <row r="275" spans="9:12" x14ac:dyDescent="0.35">
      <c r="I275" s="339"/>
      <c r="J275" s="296"/>
      <c r="K275"/>
      <c r="L275" s="296"/>
    </row>
    <row r="276" spans="9:12" x14ac:dyDescent="0.35">
      <c r="I276" s="339"/>
      <c r="J276" s="296"/>
      <c r="K276"/>
      <c r="L276" s="296"/>
    </row>
    <row r="277" spans="9:12" x14ac:dyDescent="0.35">
      <c r="I277" s="339"/>
      <c r="J277" s="296"/>
      <c r="K277"/>
      <c r="L277" s="296"/>
    </row>
    <row r="278" spans="9:12" x14ac:dyDescent="0.35">
      <c r="I278" s="339"/>
      <c r="J278" s="296"/>
      <c r="K278"/>
      <c r="L278" s="296"/>
    </row>
    <row r="279" spans="9:12" x14ac:dyDescent="0.35">
      <c r="I279" s="339"/>
      <c r="J279" s="296"/>
      <c r="K279"/>
      <c r="L279" s="296"/>
    </row>
    <row r="280" spans="9:12" x14ac:dyDescent="0.35">
      <c r="I280" s="339"/>
      <c r="J280" s="296"/>
      <c r="K280"/>
      <c r="L280" s="296"/>
    </row>
    <row r="281" spans="9:12" x14ac:dyDescent="0.35">
      <c r="I281" s="339"/>
      <c r="J281" s="296"/>
      <c r="K281"/>
      <c r="L281" s="296"/>
    </row>
    <row r="282" spans="9:12" x14ac:dyDescent="0.35">
      <c r="I282" s="339"/>
      <c r="J282" s="296"/>
      <c r="K282"/>
      <c r="L282" s="296"/>
    </row>
    <row r="283" spans="9:12" x14ac:dyDescent="0.35">
      <c r="I283" s="339"/>
      <c r="J283" s="296"/>
      <c r="K283"/>
      <c r="L283" s="296"/>
    </row>
    <row r="284" spans="9:12" x14ac:dyDescent="0.35">
      <c r="I284" s="339"/>
      <c r="J284" s="296"/>
      <c r="K284"/>
      <c r="L284" s="296"/>
    </row>
    <row r="285" spans="9:12" x14ac:dyDescent="0.35">
      <c r="I285" s="339"/>
      <c r="J285" s="296"/>
      <c r="K285"/>
      <c r="L285" s="296"/>
    </row>
    <row r="286" spans="9:12" x14ac:dyDescent="0.35">
      <c r="I286" s="339"/>
      <c r="J286" s="296"/>
      <c r="K286"/>
      <c r="L286" s="296"/>
    </row>
    <row r="287" spans="9:12" x14ac:dyDescent="0.35">
      <c r="I287" s="339"/>
      <c r="J287" s="296"/>
      <c r="K287"/>
      <c r="L287" s="296"/>
    </row>
    <row r="288" spans="9:12" x14ac:dyDescent="0.35">
      <c r="I288" s="339"/>
      <c r="J288" s="296"/>
      <c r="K288"/>
      <c r="L288" s="296"/>
    </row>
    <row r="289" spans="9:12" x14ac:dyDescent="0.35">
      <c r="I289" s="339"/>
      <c r="J289" s="296"/>
      <c r="K289"/>
      <c r="L289" s="296"/>
    </row>
    <row r="290" spans="9:12" x14ac:dyDescent="0.35">
      <c r="I290" s="339"/>
      <c r="J290" s="296"/>
      <c r="K290"/>
      <c r="L290" s="296"/>
    </row>
    <row r="291" spans="9:12" x14ac:dyDescent="0.35">
      <c r="I291" s="339"/>
      <c r="J291" s="296"/>
      <c r="K291"/>
      <c r="L291" s="296"/>
    </row>
    <row r="292" spans="9:12" x14ac:dyDescent="0.35">
      <c r="I292" s="339"/>
      <c r="J292" s="296"/>
      <c r="K292"/>
      <c r="L292" s="296"/>
    </row>
    <row r="293" spans="9:12" x14ac:dyDescent="0.35">
      <c r="I293" s="339"/>
      <c r="J293" s="296"/>
      <c r="K293"/>
      <c r="L293" s="296"/>
    </row>
    <row r="294" spans="9:12" x14ac:dyDescent="0.35">
      <c r="I294" s="339"/>
      <c r="J294" s="296"/>
      <c r="K294"/>
      <c r="L294" s="296"/>
    </row>
    <row r="295" spans="9:12" x14ac:dyDescent="0.35">
      <c r="I295" s="339"/>
      <c r="J295" s="296"/>
      <c r="K295"/>
      <c r="L295" s="296"/>
    </row>
    <row r="296" spans="9:12" x14ac:dyDescent="0.35">
      <c r="I296" s="339"/>
      <c r="J296" s="296"/>
      <c r="K296"/>
      <c r="L296" s="296"/>
    </row>
    <row r="297" spans="9:12" x14ac:dyDescent="0.35">
      <c r="I297" s="339"/>
      <c r="J297" s="296"/>
      <c r="K297"/>
      <c r="L297" s="296"/>
    </row>
    <row r="298" spans="9:12" x14ac:dyDescent="0.35">
      <c r="I298" s="339"/>
      <c r="J298" s="296"/>
      <c r="K298"/>
      <c r="L298" s="296"/>
    </row>
    <row r="299" spans="9:12" x14ac:dyDescent="0.35">
      <c r="I299" s="339"/>
      <c r="J299" s="296"/>
      <c r="K299"/>
      <c r="L299" s="296"/>
    </row>
    <row r="300" spans="9:12" x14ac:dyDescent="0.35">
      <c r="I300" s="339"/>
      <c r="J300" s="296"/>
      <c r="K300"/>
      <c r="L300" s="296"/>
    </row>
    <row r="301" spans="9:12" x14ac:dyDescent="0.35">
      <c r="I301" s="339"/>
      <c r="J301" s="296"/>
      <c r="K301"/>
      <c r="L301" s="296"/>
    </row>
    <row r="302" spans="9:12" x14ac:dyDescent="0.35">
      <c r="I302" s="339"/>
      <c r="J302" s="296"/>
      <c r="K302"/>
      <c r="L302" s="296"/>
    </row>
    <row r="303" spans="9:12" x14ac:dyDescent="0.35">
      <c r="I303" s="339"/>
      <c r="J303" s="296"/>
      <c r="K303"/>
      <c r="L303" s="296"/>
    </row>
    <row r="304" spans="9:12" x14ac:dyDescent="0.35">
      <c r="I304" s="339"/>
      <c r="J304" s="296"/>
      <c r="K304"/>
      <c r="L304" s="296"/>
    </row>
    <row r="305" spans="9:12" x14ac:dyDescent="0.35">
      <c r="I305" s="339"/>
      <c r="J305" s="296"/>
      <c r="K305"/>
      <c r="L305" s="296"/>
    </row>
    <row r="306" spans="9:12" x14ac:dyDescent="0.35">
      <c r="I306" s="339"/>
      <c r="J306" s="296"/>
      <c r="K306"/>
      <c r="L306" s="296"/>
    </row>
    <row r="307" spans="9:12" x14ac:dyDescent="0.35">
      <c r="I307" s="339"/>
      <c r="J307" s="296"/>
      <c r="K307"/>
      <c r="L307" s="296"/>
    </row>
    <row r="308" spans="9:12" x14ac:dyDescent="0.35">
      <c r="I308" s="339"/>
      <c r="J308" s="296"/>
      <c r="K308"/>
      <c r="L308" s="296"/>
    </row>
    <row r="309" spans="9:12" x14ac:dyDescent="0.35">
      <c r="I309" s="339"/>
      <c r="J309" s="296"/>
      <c r="K309"/>
      <c r="L309" s="296"/>
    </row>
    <row r="310" spans="9:12" x14ac:dyDescent="0.35">
      <c r="I310" s="339"/>
      <c r="J310" s="296"/>
      <c r="K310"/>
      <c r="L310" s="296"/>
    </row>
    <row r="311" spans="9:12" x14ac:dyDescent="0.35">
      <c r="I311" s="339"/>
      <c r="J311" s="296"/>
      <c r="K311"/>
      <c r="L311" s="296"/>
    </row>
    <row r="312" spans="9:12" x14ac:dyDescent="0.35">
      <c r="I312" s="339"/>
      <c r="J312" s="296"/>
      <c r="K312"/>
      <c r="L312" s="296"/>
    </row>
    <row r="313" spans="9:12" x14ac:dyDescent="0.35">
      <c r="I313" s="339"/>
      <c r="J313" s="296"/>
      <c r="K313"/>
      <c r="L313" s="296"/>
    </row>
    <row r="314" spans="9:12" x14ac:dyDescent="0.35">
      <c r="I314" s="339"/>
      <c r="J314" s="296"/>
      <c r="K314"/>
      <c r="L314" s="296"/>
    </row>
    <row r="315" spans="9:12" x14ac:dyDescent="0.35">
      <c r="I315" s="339"/>
      <c r="J315" s="296"/>
      <c r="K315"/>
      <c r="L315" s="296"/>
    </row>
    <row r="316" spans="9:12" x14ac:dyDescent="0.35">
      <c r="I316" s="339"/>
      <c r="J316" s="296"/>
      <c r="K316"/>
      <c r="L316" s="296"/>
    </row>
    <row r="317" spans="9:12" x14ac:dyDescent="0.35">
      <c r="I317" s="339"/>
      <c r="J317" s="296"/>
      <c r="K317"/>
      <c r="L317" s="296"/>
    </row>
    <row r="318" spans="9:12" x14ac:dyDescent="0.35">
      <c r="I318" s="339"/>
      <c r="J318" s="296"/>
      <c r="K318"/>
      <c r="L318" s="296"/>
    </row>
    <row r="319" spans="9:12" x14ac:dyDescent="0.35">
      <c r="I319" s="339"/>
      <c r="J319" s="296"/>
      <c r="K319"/>
      <c r="L319" s="296"/>
    </row>
    <row r="320" spans="9:12" x14ac:dyDescent="0.35">
      <c r="I320" s="339"/>
      <c r="J320" s="296"/>
      <c r="K320"/>
      <c r="L320" s="296"/>
    </row>
    <row r="321" spans="9:12" x14ac:dyDescent="0.35">
      <c r="I321" s="339"/>
      <c r="J321" s="296"/>
      <c r="K321"/>
      <c r="L321" s="296"/>
    </row>
    <row r="322" spans="9:12" x14ac:dyDescent="0.35">
      <c r="I322" s="339"/>
      <c r="J322" s="296"/>
      <c r="K322"/>
      <c r="L322" s="296"/>
    </row>
    <row r="323" spans="9:12" x14ac:dyDescent="0.35">
      <c r="I323" s="339"/>
      <c r="J323" s="296"/>
      <c r="K323"/>
      <c r="L323" s="296"/>
    </row>
    <row r="324" spans="9:12" x14ac:dyDescent="0.35">
      <c r="I324" s="339"/>
      <c r="J324" s="296"/>
      <c r="K324"/>
      <c r="L324" s="296"/>
    </row>
    <row r="325" spans="9:12" x14ac:dyDescent="0.35">
      <c r="I325" s="339"/>
      <c r="J325" s="296"/>
      <c r="K325"/>
      <c r="L325" s="296"/>
    </row>
    <row r="326" spans="9:12" x14ac:dyDescent="0.35">
      <c r="I326" s="339"/>
      <c r="J326" s="296"/>
      <c r="K326"/>
      <c r="L326" s="296"/>
    </row>
    <row r="327" spans="9:12" x14ac:dyDescent="0.35">
      <c r="I327" s="339"/>
      <c r="J327" s="296"/>
      <c r="K327"/>
      <c r="L327" s="296"/>
    </row>
    <row r="328" spans="9:12" x14ac:dyDescent="0.35">
      <c r="I328" s="339"/>
      <c r="J328" s="296"/>
      <c r="K328"/>
      <c r="L328" s="296"/>
    </row>
    <row r="329" spans="9:12" x14ac:dyDescent="0.35">
      <c r="I329" s="339"/>
      <c r="J329" s="296"/>
      <c r="K329"/>
      <c r="L329" s="296"/>
    </row>
    <row r="330" spans="9:12" x14ac:dyDescent="0.35">
      <c r="I330" s="339"/>
      <c r="J330" s="296"/>
      <c r="K330"/>
      <c r="L330" s="296"/>
    </row>
    <row r="331" spans="9:12" x14ac:dyDescent="0.35">
      <c r="I331" s="339"/>
      <c r="J331" s="296"/>
      <c r="K331"/>
      <c r="L331" s="296"/>
    </row>
    <row r="332" spans="9:12" x14ac:dyDescent="0.35">
      <c r="I332" s="339"/>
      <c r="J332" s="296"/>
      <c r="K332"/>
      <c r="L332" s="296"/>
    </row>
    <row r="333" spans="9:12" x14ac:dyDescent="0.35">
      <c r="I333" s="339"/>
      <c r="J333" s="296"/>
      <c r="K333"/>
      <c r="L333" s="296"/>
    </row>
    <row r="334" spans="9:12" x14ac:dyDescent="0.35">
      <c r="I334" s="339"/>
      <c r="J334" s="296"/>
      <c r="K334"/>
      <c r="L334" s="296"/>
    </row>
    <row r="335" spans="9:12" x14ac:dyDescent="0.35">
      <c r="I335" s="339"/>
      <c r="J335" s="296"/>
      <c r="K335"/>
      <c r="L335" s="296"/>
    </row>
    <row r="336" spans="9:12" x14ac:dyDescent="0.35">
      <c r="I336" s="339"/>
      <c r="J336" s="296"/>
      <c r="K336"/>
      <c r="L336" s="296"/>
    </row>
    <row r="337" spans="9:12" x14ac:dyDescent="0.35">
      <c r="I337" s="339"/>
      <c r="J337" s="296"/>
      <c r="K337"/>
      <c r="L337" s="296"/>
    </row>
    <row r="338" spans="9:12" x14ac:dyDescent="0.35">
      <c r="I338" s="339"/>
      <c r="J338" s="296"/>
      <c r="K338"/>
      <c r="L338" s="296"/>
    </row>
    <row r="339" spans="9:12" x14ac:dyDescent="0.35">
      <c r="I339" s="339"/>
      <c r="J339" s="296"/>
      <c r="K339"/>
      <c r="L339" s="296"/>
    </row>
    <row r="340" spans="9:12" x14ac:dyDescent="0.35">
      <c r="I340" s="339"/>
      <c r="J340" s="296"/>
      <c r="K340"/>
      <c r="L340" s="296"/>
    </row>
    <row r="341" spans="9:12" x14ac:dyDescent="0.35">
      <c r="I341" s="339"/>
      <c r="J341" s="296"/>
      <c r="K341"/>
      <c r="L341" s="296"/>
    </row>
    <row r="342" spans="9:12" x14ac:dyDescent="0.35">
      <c r="I342" s="339"/>
      <c r="J342" s="296"/>
      <c r="K342"/>
      <c r="L342" s="296"/>
    </row>
    <row r="343" spans="9:12" x14ac:dyDescent="0.35">
      <c r="I343" s="339"/>
      <c r="J343" s="296"/>
      <c r="K343"/>
      <c r="L343" s="296"/>
    </row>
    <row r="344" spans="9:12" x14ac:dyDescent="0.35">
      <c r="I344" s="339"/>
      <c r="J344" s="296"/>
      <c r="K344"/>
      <c r="L344" s="296"/>
    </row>
    <row r="345" spans="9:12" x14ac:dyDescent="0.35">
      <c r="I345" s="339"/>
      <c r="J345" s="296"/>
      <c r="K345"/>
      <c r="L345" s="296"/>
    </row>
    <row r="346" spans="9:12" x14ac:dyDescent="0.35">
      <c r="I346" s="339"/>
      <c r="J346" s="296"/>
      <c r="K346"/>
      <c r="L346" s="296"/>
    </row>
    <row r="347" spans="9:12" x14ac:dyDescent="0.35">
      <c r="I347" s="339"/>
      <c r="J347" s="296"/>
      <c r="K347"/>
      <c r="L347" s="296"/>
    </row>
    <row r="348" spans="9:12" x14ac:dyDescent="0.35">
      <c r="I348" s="339"/>
      <c r="J348" s="296"/>
      <c r="K348"/>
      <c r="L348" s="296"/>
    </row>
    <row r="349" spans="9:12" x14ac:dyDescent="0.35">
      <c r="I349" s="339"/>
      <c r="J349" s="296"/>
      <c r="K349"/>
      <c r="L349" s="296"/>
    </row>
    <row r="350" spans="9:12" x14ac:dyDescent="0.35">
      <c r="I350" s="339"/>
      <c r="J350" s="296"/>
      <c r="K350"/>
      <c r="L350" s="296"/>
    </row>
    <row r="351" spans="9:12" x14ac:dyDescent="0.35">
      <c r="I351" s="339"/>
      <c r="J351" s="296"/>
      <c r="K351"/>
      <c r="L351" s="296"/>
    </row>
    <row r="352" spans="9:12" x14ac:dyDescent="0.35">
      <c r="I352" s="339"/>
      <c r="J352" s="296"/>
      <c r="K352"/>
      <c r="L352" s="296"/>
    </row>
    <row r="353" spans="9:12" x14ac:dyDescent="0.35">
      <c r="I353" s="339"/>
      <c r="J353" s="296"/>
      <c r="K353"/>
      <c r="L353" s="296"/>
    </row>
    <row r="354" spans="9:12" x14ac:dyDescent="0.35">
      <c r="I354" s="339"/>
      <c r="J354" s="296"/>
      <c r="K354"/>
      <c r="L354" s="296"/>
    </row>
    <row r="355" spans="9:12" x14ac:dyDescent="0.35">
      <c r="I355" s="339"/>
      <c r="J355" s="296"/>
      <c r="K355"/>
      <c r="L355" s="296"/>
    </row>
    <row r="356" spans="9:12" x14ac:dyDescent="0.35">
      <c r="I356" s="339"/>
      <c r="J356" s="296"/>
      <c r="K356"/>
      <c r="L356" s="296"/>
    </row>
    <row r="357" spans="9:12" x14ac:dyDescent="0.35">
      <c r="I357" s="339"/>
      <c r="J357" s="296"/>
      <c r="K357"/>
      <c r="L357" s="296"/>
    </row>
    <row r="358" spans="9:12" x14ac:dyDescent="0.35">
      <c r="I358" s="339"/>
      <c r="J358" s="296"/>
      <c r="K358"/>
      <c r="L358" s="296"/>
    </row>
    <row r="359" spans="9:12" x14ac:dyDescent="0.35">
      <c r="I359" s="339"/>
      <c r="J359" s="296"/>
      <c r="K359"/>
      <c r="L359" s="296"/>
    </row>
    <row r="360" spans="9:12" x14ac:dyDescent="0.35">
      <c r="I360" s="339"/>
      <c r="J360" s="296"/>
      <c r="K360"/>
      <c r="L360" s="296"/>
    </row>
    <row r="361" spans="9:12" x14ac:dyDescent="0.35">
      <c r="I361" s="339"/>
      <c r="J361" s="296"/>
      <c r="K361"/>
      <c r="L361" s="296"/>
    </row>
    <row r="362" spans="9:12" x14ac:dyDescent="0.35">
      <c r="I362" s="339"/>
      <c r="J362" s="296"/>
      <c r="K362"/>
      <c r="L362" s="296"/>
    </row>
    <row r="363" spans="9:12" x14ac:dyDescent="0.35">
      <c r="I363" s="339"/>
      <c r="J363" s="296"/>
      <c r="K363"/>
      <c r="L363" s="296"/>
    </row>
    <row r="364" spans="9:12" x14ac:dyDescent="0.35">
      <c r="I364" s="339"/>
      <c r="J364" s="296"/>
      <c r="K364"/>
      <c r="L364" s="296"/>
    </row>
    <row r="365" spans="9:12" x14ac:dyDescent="0.35">
      <c r="I365" s="339"/>
      <c r="J365" s="296"/>
      <c r="K365"/>
      <c r="L365" s="296"/>
    </row>
    <row r="366" spans="9:12" x14ac:dyDescent="0.35">
      <c r="I366" s="339"/>
      <c r="J366" s="296"/>
      <c r="K366"/>
      <c r="L366" s="296"/>
    </row>
    <row r="367" spans="9:12" x14ac:dyDescent="0.35">
      <c r="I367" s="339"/>
      <c r="J367" s="296"/>
      <c r="K367"/>
      <c r="L367" s="296"/>
    </row>
    <row r="368" spans="9:12" x14ac:dyDescent="0.35">
      <c r="I368" s="339"/>
      <c r="J368" s="296"/>
      <c r="K368"/>
      <c r="L368" s="296"/>
    </row>
    <row r="369" spans="9:12" x14ac:dyDescent="0.35">
      <c r="I369" s="339"/>
      <c r="J369" s="296"/>
      <c r="K369"/>
      <c r="L369" s="296"/>
    </row>
    <row r="370" spans="9:12" x14ac:dyDescent="0.35">
      <c r="I370" s="339"/>
      <c r="J370" s="296"/>
      <c r="K370"/>
      <c r="L370" s="296"/>
    </row>
    <row r="371" spans="9:12" x14ac:dyDescent="0.35">
      <c r="I371" s="339"/>
      <c r="J371" s="296"/>
      <c r="K371"/>
      <c r="L371" s="296"/>
    </row>
    <row r="372" spans="9:12" x14ac:dyDescent="0.35">
      <c r="I372" s="339"/>
      <c r="J372" s="296"/>
      <c r="K372"/>
      <c r="L372" s="296"/>
    </row>
    <row r="373" spans="9:12" x14ac:dyDescent="0.35">
      <c r="I373" s="339"/>
      <c r="J373" s="296"/>
      <c r="K373"/>
      <c r="L373" s="296"/>
    </row>
    <row r="374" spans="9:12" x14ac:dyDescent="0.35">
      <c r="I374" s="339"/>
      <c r="J374" s="296"/>
      <c r="K374"/>
      <c r="L374" s="296"/>
    </row>
    <row r="375" spans="9:12" x14ac:dyDescent="0.35">
      <c r="I375" s="339"/>
      <c r="J375" s="296"/>
      <c r="K375"/>
      <c r="L375" s="296"/>
    </row>
    <row r="376" spans="9:12" x14ac:dyDescent="0.35">
      <c r="I376" s="339"/>
      <c r="J376" s="296"/>
      <c r="K376"/>
      <c r="L376" s="296"/>
    </row>
    <row r="377" spans="9:12" x14ac:dyDescent="0.35">
      <c r="I377" s="339"/>
      <c r="J377" s="296"/>
      <c r="K377"/>
      <c r="L377" s="296"/>
    </row>
    <row r="378" spans="9:12" x14ac:dyDescent="0.35">
      <c r="I378" s="339"/>
      <c r="J378" s="296"/>
      <c r="K378"/>
      <c r="L378" s="296"/>
    </row>
    <row r="379" spans="9:12" x14ac:dyDescent="0.35">
      <c r="I379" s="339"/>
      <c r="J379" s="296"/>
      <c r="K379"/>
      <c r="L379" s="296"/>
    </row>
    <row r="380" spans="9:12" x14ac:dyDescent="0.35">
      <c r="I380" s="339"/>
      <c r="J380" s="296"/>
      <c r="K380"/>
      <c r="L380" s="296"/>
    </row>
    <row r="381" spans="9:12" x14ac:dyDescent="0.35">
      <c r="I381" s="339"/>
      <c r="J381" s="296"/>
      <c r="K381"/>
      <c r="L381" s="296"/>
    </row>
    <row r="382" spans="9:12" x14ac:dyDescent="0.35">
      <c r="I382" s="339"/>
      <c r="J382" s="296"/>
      <c r="K382"/>
      <c r="L382" s="296"/>
    </row>
    <row r="383" spans="9:12" x14ac:dyDescent="0.35">
      <c r="I383" s="339"/>
      <c r="J383" s="296"/>
      <c r="K383"/>
      <c r="L383" s="296"/>
    </row>
    <row r="384" spans="9:12" x14ac:dyDescent="0.35">
      <c r="I384" s="339"/>
      <c r="J384" s="296"/>
      <c r="K384"/>
      <c r="L384" s="296"/>
    </row>
    <row r="385" spans="9:12" x14ac:dyDescent="0.35">
      <c r="I385" s="339"/>
      <c r="J385" s="296"/>
      <c r="K385"/>
      <c r="L385" s="296"/>
    </row>
    <row r="386" spans="9:12" x14ac:dyDescent="0.35">
      <c r="I386" s="339"/>
      <c r="J386" s="296"/>
      <c r="K386"/>
      <c r="L386" s="296"/>
    </row>
    <row r="387" spans="9:12" x14ac:dyDescent="0.35">
      <c r="I387" s="339"/>
      <c r="J387" s="296"/>
      <c r="K387"/>
      <c r="L387" s="296"/>
    </row>
    <row r="388" spans="9:12" x14ac:dyDescent="0.35">
      <c r="I388" s="339"/>
      <c r="J388" s="296"/>
      <c r="K388"/>
      <c r="L388" s="296"/>
    </row>
    <row r="389" spans="9:12" x14ac:dyDescent="0.35">
      <c r="I389" s="339"/>
      <c r="J389" s="296"/>
      <c r="K389"/>
      <c r="L389" s="296"/>
    </row>
    <row r="390" spans="9:12" x14ac:dyDescent="0.35">
      <c r="I390" s="339"/>
      <c r="J390" s="296"/>
      <c r="K390"/>
      <c r="L390" s="296"/>
    </row>
    <row r="391" spans="9:12" x14ac:dyDescent="0.35">
      <c r="I391" s="339"/>
      <c r="J391" s="296"/>
      <c r="K391"/>
      <c r="L391" s="296"/>
    </row>
    <row r="392" spans="9:12" x14ac:dyDescent="0.35">
      <c r="I392" s="339"/>
      <c r="J392" s="296"/>
      <c r="K392"/>
      <c r="L392" s="296"/>
    </row>
    <row r="393" spans="9:12" x14ac:dyDescent="0.35">
      <c r="I393" s="339"/>
      <c r="J393" s="296"/>
      <c r="K393"/>
      <c r="L393" s="296"/>
    </row>
    <row r="394" spans="9:12" x14ac:dyDescent="0.35">
      <c r="I394" s="339"/>
      <c r="J394" s="296"/>
      <c r="K394"/>
      <c r="L394" s="296"/>
    </row>
    <row r="395" spans="9:12" x14ac:dyDescent="0.35">
      <c r="I395" s="339"/>
      <c r="J395" s="296"/>
      <c r="K395"/>
      <c r="L395" s="296"/>
    </row>
    <row r="396" spans="9:12" x14ac:dyDescent="0.35">
      <c r="I396" s="339"/>
      <c r="J396" s="296"/>
      <c r="K396"/>
      <c r="L396" s="296"/>
    </row>
    <row r="397" spans="9:12" x14ac:dyDescent="0.35">
      <c r="I397" s="339"/>
      <c r="J397" s="296"/>
      <c r="K397"/>
      <c r="L397" s="296"/>
    </row>
    <row r="398" spans="9:12" x14ac:dyDescent="0.35">
      <c r="I398" s="339"/>
      <c r="J398" s="296"/>
      <c r="K398"/>
      <c r="L398" s="296"/>
    </row>
    <row r="399" spans="9:12" x14ac:dyDescent="0.35">
      <c r="I399" s="339"/>
      <c r="J399" s="296"/>
      <c r="K399"/>
      <c r="L399" s="296"/>
    </row>
    <row r="400" spans="9:12" x14ac:dyDescent="0.35">
      <c r="I400" s="339"/>
      <c r="J400" s="296"/>
      <c r="K400"/>
      <c r="L400" s="296"/>
    </row>
    <row r="401" spans="9:12" x14ac:dyDescent="0.35">
      <c r="I401" s="339"/>
      <c r="J401" s="296"/>
      <c r="K401"/>
      <c r="L401" s="296"/>
    </row>
    <row r="402" spans="9:12" x14ac:dyDescent="0.35">
      <c r="I402" s="339"/>
      <c r="J402" s="296"/>
      <c r="K402"/>
      <c r="L402" s="296"/>
    </row>
    <row r="403" spans="9:12" x14ac:dyDescent="0.35">
      <c r="I403" s="339"/>
      <c r="J403" s="296"/>
      <c r="K403"/>
      <c r="L403" s="296"/>
    </row>
    <row r="404" spans="9:12" x14ac:dyDescent="0.35">
      <c r="I404" s="339"/>
      <c r="J404" s="296"/>
      <c r="K404"/>
      <c r="L404" s="296"/>
    </row>
    <row r="405" spans="9:12" x14ac:dyDescent="0.35">
      <c r="I405" s="339"/>
      <c r="J405" s="296"/>
      <c r="K405"/>
      <c r="L405" s="296"/>
    </row>
    <row r="406" spans="9:12" x14ac:dyDescent="0.35">
      <c r="I406" s="339"/>
      <c r="J406" s="296"/>
      <c r="K406"/>
      <c r="L406" s="296"/>
    </row>
    <row r="407" spans="9:12" x14ac:dyDescent="0.35">
      <c r="I407" s="339"/>
      <c r="J407" s="296"/>
      <c r="K407"/>
      <c r="L407" s="296"/>
    </row>
    <row r="408" spans="9:12" x14ac:dyDescent="0.35">
      <c r="I408" s="339"/>
      <c r="J408" s="296"/>
      <c r="K408"/>
      <c r="L408" s="296"/>
    </row>
    <row r="409" spans="9:12" x14ac:dyDescent="0.35">
      <c r="I409" s="339"/>
      <c r="J409" s="296"/>
      <c r="K409"/>
      <c r="L409" s="296"/>
    </row>
    <row r="410" spans="9:12" x14ac:dyDescent="0.35">
      <c r="I410" s="339"/>
      <c r="J410" s="296"/>
      <c r="K410"/>
      <c r="L410" s="296"/>
    </row>
    <row r="411" spans="9:12" x14ac:dyDescent="0.35">
      <c r="I411" s="339"/>
      <c r="J411" s="296"/>
      <c r="K411"/>
      <c r="L411" s="296"/>
    </row>
    <row r="412" spans="9:12" x14ac:dyDescent="0.35">
      <c r="I412" s="339"/>
      <c r="J412" s="296"/>
      <c r="K412"/>
      <c r="L412" s="296"/>
    </row>
    <row r="413" spans="9:12" x14ac:dyDescent="0.35">
      <c r="I413" s="339"/>
      <c r="J413" s="296"/>
      <c r="K413"/>
      <c r="L413" s="296"/>
    </row>
    <row r="414" spans="9:12" x14ac:dyDescent="0.35">
      <c r="I414" s="339"/>
      <c r="J414" s="296"/>
      <c r="K414"/>
      <c r="L414" s="296"/>
    </row>
    <row r="415" spans="9:12" x14ac:dyDescent="0.35">
      <c r="I415" s="339"/>
      <c r="J415" s="296"/>
      <c r="K415"/>
      <c r="L415" s="296"/>
    </row>
    <row r="416" spans="9:12" x14ac:dyDescent="0.35">
      <c r="I416" s="339"/>
      <c r="J416" s="296"/>
      <c r="K416"/>
      <c r="L416" s="296"/>
    </row>
    <row r="417" spans="9:12" x14ac:dyDescent="0.35">
      <c r="I417" s="339"/>
      <c r="J417" s="296"/>
      <c r="K417"/>
      <c r="L417" s="296"/>
    </row>
    <row r="418" spans="9:12" x14ac:dyDescent="0.35">
      <c r="I418" s="339"/>
      <c r="J418" s="296"/>
      <c r="K418"/>
      <c r="L418" s="296"/>
    </row>
    <row r="419" spans="9:12" x14ac:dyDescent="0.35">
      <c r="I419" s="339"/>
      <c r="J419" s="296"/>
      <c r="K419"/>
      <c r="L419" s="296"/>
    </row>
    <row r="420" spans="9:12" x14ac:dyDescent="0.35">
      <c r="I420" s="339"/>
      <c r="J420" s="296"/>
      <c r="K420"/>
      <c r="L420" s="296"/>
    </row>
    <row r="421" spans="9:12" x14ac:dyDescent="0.35">
      <c r="I421" s="339"/>
      <c r="J421" s="296"/>
      <c r="K421"/>
      <c r="L421" s="296"/>
    </row>
    <row r="422" spans="9:12" x14ac:dyDescent="0.35">
      <c r="I422" s="339"/>
      <c r="J422" s="296"/>
      <c r="K422"/>
      <c r="L422" s="296"/>
    </row>
    <row r="423" spans="9:12" x14ac:dyDescent="0.35">
      <c r="I423" s="339"/>
      <c r="J423" s="296"/>
      <c r="K423"/>
      <c r="L423" s="296"/>
    </row>
    <row r="424" spans="9:12" x14ac:dyDescent="0.35">
      <c r="I424" s="339"/>
      <c r="J424" s="296"/>
      <c r="K424"/>
      <c r="L424" s="296"/>
    </row>
    <row r="425" spans="9:12" x14ac:dyDescent="0.35">
      <c r="I425" s="339"/>
      <c r="J425" s="296"/>
      <c r="K425"/>
      <c r="L425" s="296"/>
    </row>
    <row r="426" spans="9:12" x14ac:dyDescent="0.35">
      <c r="I426" s="339"/>
      <c r="J426" s="296"/>
      <c r="K426"/>
      <c r="L426" s="296"/>
    </row>
    <row r="427" spans="9:12" x14ac:dyDescent="0.35">
      <c r="I427" s="339"/>
      <c r="J427" s="296"/>
      <c r="K427"/>
      <c r="L427" s="296"/>
    </row>
    <row r="428" spans="9:12" x14ac:dyDescent="0.35">
      <c r="I428" s="339"/>
      <c r="J428" s="296"/>
      <c r="K428"/>
      <c r="L428" s="296"/>
    </row>
    <row r="429" spans="9:12" x14ac:dyDescent="0.35">
      <c r="I429" s="339"/>
      <c r="J429" s="296"/>
      <c r="K429"/>
      <c r="L429" s="296"/>
    </row>
    <row r="430" spans="9:12" x14ac:dyDescent="0.35">
      <c r="I430" s="339"/>
      <c r="J430" s="296"/>
      <c r="K430"/>
      <c r="L430" s="296"/>
    </row>
    <row r="431" spans="9:12" x14ac:dyDescent="0.35">
      <c r="I431" s="339"/>
      <c r="J431" s="296"/>
      <c r="K431"/>
      <c r="L431" s="296"/>
    </row>
    <row r="432" spans="9:12" x14ac:dyDescent="0.35">
      <c r="I432" s="339"/>
      <c r="J432" s="296"/>
      <c r="K432"/>
      <c r="L432" s="296"/>
    </row>
    <row r="433" spans="9:12" x14ac:dyDescent="0.35">
      <c r="I433" s="339"/>
      <c r="J433" s="296"/>
      <c r="K433"/>
      <c r="L433" s="296"/>
    </row>
    <row r="434" spans="9:12" x14ac:dyDescent="0.35">
      <c r="I434" s="339"/>
      <c r="J434" s="296"/>
      <c r="K434"/>
      <c r="L434" s="296"/>
    </row>
    <row r="435" spans="9:12" x14ac:dyDescent="0.35">
      <c r="I435" s="339"/>
      <c r="J435" s="296"/>
      <c r="K435"/>
      <c r="L435" s="296"/>
    </row>
    <row r="436" spans="9:12" x14ac:dyDescent="0.35">
      <c r="I436" s="339"/>
      <c r="J436" s="296"/>
      <c r="K436"/>
      <c r="L436" s="296"/>
    </row>
    <row r="437" spans="9:12" x14ac:dyDescent="0.35">
      <c r="I437" s="339"/>
      <c r="J437" s="296"/>
      <c r="K437"/>
      <c r="L437" s="296"/>
    </row>
    <row r="438" spans="9:12" x14ac:dyDescent="0.35">
      <c r="I438" s="339"/>
      <c r="J438" s="296"/>
      <c r="K438"/>
      <c r="L438" s="296"/>
    </row>
    <row r="439" spans="9:12" x14ac:dyDescent="0.35">
      <c r="I439" s="339"/>
      <c r="J439" s="296"/>
      <c r="K439"/>
      <c r="L439" s="296"/>
    </row>
    <row r="440" spans="9:12" x14ac:dyDescent="0.35">
      <c r="I440" s="339"/>
      <c r="J440" s="296"/>
      <c r="K440"/>
      <c r="L440" s="296"/>
    </row>
    <row r="441" spans="9:12" x14ac:dyDescent="0.35">
      <c r="I441" s="339"/>
      <c r="J441" s="296"/>
      <c r="K441"/>
      <c r="L441" s="296"/>
    </row>
    <row r="442" spans="9:12" x14ac:dyDescent="0.35">
      <c r="I442" s="339"/>
      <c r="J442" s="296"/>
      <c r="K442"/>
      <c r="L442" s="296"/>
    </row>
    <row r="443" spans="9:12" x14ac:dyDescent="0.35">
      <c r="I443" s="339"/>
      <c r="J443" s="296"/>
      <c r="K443"/>
      <c r="L443" s="296"/>
    </row>
    <row r="444" spans="9:12" x14ac:dyDescent="0.35">
      <c r="I444" s="339"/>
      <c r="J444" s="296"/>
      <c r="K444"/>
      <c r="L444" s="296"/>
    </row>
    <row r="445" spans="9:12" x14ac:dyDescent="0.35">
      <c r="I445" s="339"/>
      <c r="J445" s="296"/>
      <c r="K445"/>
      <c r="L445" s="296"/>
    </row>
    <row r="446" spans="9:12" x14ac:dyDescent="0.35">
      <c r="I446" s="339"/>
      <c r="J446" s="296"/>
      <c r="K446"/>
      <c r="L446" s="296"/>
    </row>
    <row r="447" spans="9:12" x14ac:dyDescent="0.35">
      <c r="I447" s="339"/>
      <c r="J447" s="296"/>
      <c r="K447"/>
      <c r="L447" s="296"/>
    </row>
    <row r="448" spans="9:12" x14ac:dyDescent="0.35">
      <c r="I448" s="339"/>
      <c r="J448" s="296"/>
      <c r="K448"/>
      <c r="L448" s="296"/>
    </row>
    <row r="449" spans="9:12" x14ac:dyDescent="0.35">
      <c r="I449" s="339"/>
      <c r="J449" s="296"/>
      <c r="K449"/>
      <c r="L449" s="296"/>
    </row>
    <row r="450" spans="9:12" x14ac:dyDescent="0.35">
      <c r="I450" s="339"/>
      <c r="J450" s="296"/>
      <c r="K450"/>
      <c r="L450" s="296"/>
    </row>
    <row r="451" spans="9:12" x14ac:dyDescent="0.35">
      <c r="I451" s="339"/>
      <c r="J451" s="296"/>
      <c r="K451"/>
      <c r="L451" s="296"/>
    </row>
    <row r="452" spans="9:12" x14ac:dyDescent="0.35">
      <c r="I452" s="339"/>
      <c r="J452" s="296"/>
      <c r="K452"/>
      <c r="L452" s="296"/>
    </row>
    <row r="453" spans="9:12" x14ac:dyDescent="0.35">
      <c r="I453" s="339"/>
      <c r="J453" s="296"/>
      <c r="K453"/>
      <c r="L453" s="296"/>
    </row>
    <row r="454" spans="9:12" x14ac:dyDescent="0.35">
      <c r="I454" s="339"/>
      <c r="J454" s="296"/>
      <c r="K454"/>
      <c r="L454" s="296"/>
    </row>
    <row r="455" spans="9:12" x14ac:dyDescent="0.35">
      <c r="I455" s="339"/>
      <c r="J455" s="296"/>
      <c r="K455"/>
      <c r="L455" s="296"/>
    </row>
    <row r="456" spans="9:12" x14ac:dyDescent="0.35">
      <c r="I456" s="339"/>
      <c r="J456" s="296"/>
      <c r="K456"/>
      <c r="L456" s="296"/>
    </row>
    <row r="457" spans="9:12" x14ac:dyDescent="0.35">
      <c r="I457" s="339"/>
      <c r="J457" s="296"/>
      <c r="K457"/>
      <c r="L457" s="296"/>
    </row>
    <row r="458" spans="9:12" x14ac:dyDescent="0.35">
      <c r="I458" s="339"/>
      <c r="J458" s="296"/>
      <c r="K458"/>
      <c r="L458" s="296"/>
    </row>
    <row r="459" spans="9:12" x14ac:dyDescent="0.35">
      <c r="I459" s="339"/>
      <c r="J459" s="296"/>
      <c r="K459"/>
      <c r="L459" s="296"/>
    </row>
    <row r="460" spans="9:12" x14ac:dyDescent="0.35">
      <c r="I460" s="339"/>
      <c r="J460" s="296"/>
      <c r="K460"/>
      <c r="L460" s="296"/>
    </row>
    <row r="461" spans="9:12" x14ac:dyDescent="0.35">
      <c r="I461" s="339"/>
      <c r="J461" s="296"/>
      <c r="K461"/>
      <c r="L461" s="296"/>
    </row>
    <row r="462" spans="9:12" x14ac:dyDescent="0.35">
      <c r="I462" s="339"/>
      <c r="J462" s="296"/>
      <c r="K462"/>
      <c r="L462" s="296"/>
    </row>
    <row r="463" spans="9:12" x14ac:dyDescent="0.35">
      <c r="I463" s="339"/>
      <c r="J463" s="296"/>
      <c r="K463"/>
      <c r="L463" s="296"/>
    </row>
    <row r="464" spans="9:12" x14ac:dyDescent="0.35">
      <c r="I464" s="339"/>
      <c r="J464" s="296"/>
      <c r="K464"/>
      <c r="L464" s="296"/>
    </row>
    <row r="465" spans="9:12" x14ac:dyDescent="0.35">
      <c r="I465" s="339"/>
      <c r="J465" s="296"/>
      <c r="K465"/>
      <c r="L465" s="296"/>
    </row>
    <row r="466" spans="9:12" x14ac:dyDescent="0.35">
      <c r="I466" s="339"/>
      <c r="J466" s="296"/>
      <c r="K466"/>
      <c r="L466" s="296"/>
    </row>
    <row r="467" spans="9:12" x14ac:dyDescent="0.35">
      <c r="I467" s="339"/>
      <c r="J467" s="296"/>
      <c r="K467"/>
      <c r="L467" s="296"/>
    </row>
    <row r="468" spans="9:12" x14ac:dyDescent="0.35">
      <c r="I468" s="339"/>
      <c r="J468" s="296"/>
      <c r="K468"/>
      <c r="L468" s="296"/>
    </row>
    <row r="469" spans="9:12" x14ac:dyDescent="0.35">
      <c r="I469" s="339"/>
      <c r="J469" s="296"/>
      <c r="K469"/>
      <c r="L469" s="296"/>
    </row>
    <row r="470" spans="9:12" x14ac:dyDescent="0.35">
      <c r="I470" s="339"/>
      <c r="J470" s="296"/>
      <c r="K470"/>
      <c r="L470" s="296"/>
    </row>
    <row r="471" spans="9:12" x14ac:dyDescent="0.35">
      <c r="I471" s="339"/>
      <c r="J471" s="296"/>
      <c r="K471"/>
      <c r="L471" s="296"/>
    </row>
    <row r="472" spans="9:12" x14ac:dyDescent="0.35">
      <c r="I472" s="339"/>
      <c r="J472" s="296"/>
      <c r="K472"/>
      <c r="L472" s="296"/>
    </row>
    <row r="473" spans="9:12" x14ac:dyDescent="0.35">
      <c r="I473" s="339"/>
      <c r="J473" s="296"/>
      <c r="K473"/>
      <c r="L473" s="296"/>
    </row>
    <row r="474" spans="9:12" x14ac:dyDescent="0.35">
      <c r="I474" s="339"/>
      <c r="J474" s="296"/>
      <c r="K474"/>
      <c r="L474" s="296"/>
    </row>
    <row r="475" spans="9:12" x14ac:dyDescent="0.35">
      <c r="I475" s="339"/>
      <c r="J475" s="296"/>
      <c r="K475"/>
      <c r="L475" s="296"/>
    </row>
    <row r="476" spans="9:12" x14ac:dyDescent="0.35">
      <c r="I476" s="339"/>
      <c r="J476" s="296"/>
      <c r="K476"/>
      <c r="L476" s="296"/>
    </row>
    <row r="477" spans="9:12" x14ac:dyDescent="0.35">
      <c r="I477" s="339"/>
      <c r="J477" s="296"/>
      <c r="K477"/>
      <c r="L477" s="296"/>
    </row>
    <row r="478" spans="9:12" x14ac:dyDescent="0.35">
      <c r="I478" s="339"/>
      <c r="J478" s="296"/>
      <c r="K478"/>
      <c r="L478" s="296"/>
    </row>
    <row r="479" spans="9:12" x14ac:dyDescent="0.35">
      <c r="I479" s="339"/>
      <c r="J479" s="296"/>
      <c r="K479"/>
      <c r="L479" s="296"/>
    </row>
    <row r="480" spans="9:12" x14ac:dyDescent="0.35">
      <c r="I480" s="339"/>
      <c r="J480" s="296"/>
      <c r="K480"/>
      <c r="L480" s="296"/>
    </row>
    <row r="481" spans="9:12" x14ac:dyDescent="0.35">
      <c r="I481" s="339"/>
      <c r="J481" s="296"/>
      <c r="K481"/>
      <c r="L481" s="296"/>
    </row>
    <row r="482" spans="9:12" x14ac:dyDescent="0.35">
      <c r="I482" s="339"/>
      <c r="J482" s="296"/>
      <c r="K482"/>
      <c r="L482" s="296"/>
    </row>
    <row r="483" spans="9:12" x14ac:dyDescent="0.35">
      <c r="I483" s="339"/>
      <c r="J483" s="296"/>
      <c r="K483"/>
      <c r="L483" s="296"/>
    </row>
    <row r="484" spans="9:12" x14ac:dyDescent="0.35">
      <c r="I484" s="339"/>
      <c r="J484" s="296"/>
      <c r="K484"/>
      <c r="L484" s="296"/>
    </row>
    <row r="485" spans="9:12" x14ac:dyDescent="0.35">
      <c r="I485" s="339"/>
      <c r="J485" s="296"/>
      <c r="K485"/>
      <c r="L485" s="296"/>
    </row>
    <row r="486" spans="9:12" x14ac:dyDescent="0.35">
      <c r="I486" s="339"/>
      <c r="J486" s="296"/>
      <c r="K486"/>
      <c r="L486" s="296"/>
    </row>
    <row r="487" spans="9:12" x14ac:dyDescent="0.35">
      <c r="I487" s="339"/>
      <c r="J487" s="296"/>
      <c r="K487"/>
      <c r="L487" s="296"/>
    </row>
    <row r="488" spans="9:12" x14ac:dyDescent="0.35">
      <c r="I488" s="339"/>
      <c r="J488" s="296"/>
      <c r="K488"/>
      <c r="L488" s="296"/>
    </row>
    <row r="489" spans="9:12" x14ac:dyDescent="0.35">
      <c r="I489" s="339"/>
      <c r="J489" s="296"/>
      <c r="K489"/>
      <c r="L489" s="296"/>
    </row>
    <row r="490" spans="9:12" x14ac:dyDescent="0.35">
      <c r="I490" s="339"/>
      <c r="J490" s="296"/>
      <c r="K490"/>
      <c r="L490" s="296"/>
    </row>
    <row r="491" spans="9:12" x14ac:dyDescent="0.35">
      <c r="I491" s="339"/>
      <c r="J491" s="296"/>
      <c r="K491"/>
      <c r="L491" s="296"/>
    </row>
    <row r="492" spans="9:12" x14ac:dyDescent="0.35">
      <c r="I492" s="339"/>
      <c r="J492" s="296"/>
      <c r="K492"/>
      <c r="L492" s="296"/>
    </row>
    <row r="493" spans="9:12" x14ac:dyDescent="0.35">
      <c r="I493" s="339"/>
      <c r="J493" s="296"/>
      <c r="K493"/>
      <c r="L493" s="296"/>
    </row>
    <row r="494" spans="9:12" x14ac:dyDescent="0.35">
      <c r="I494" s="339"/>
      <c r="J494" s="296"/>
      <c r="K494"/>
      <c r="L494" s="296"/>
    </row>
    <row r="495" spans="9:12" x14ac:dyDescent="0.35">
      <c r="I495" s="339"/>
      <c r="J495" s="296"/>
      <c r="K495"/>
      <c r="L495" s="296"/>
    </row>
    <row r="496" spans="9:12" x14ac:dyDescent="0.35">
      <c r="I496" s="339"/>
      <c r="J496" s="296"/>
      <c r="K496"/>
      <c r="L496" s="296"/>
    </row>
    <row r="497" spans="9:12" x14ac:dyDescent="0.35">
      <c r="I497" s="339"/>
      <c r="J497" s="296"/>
      <c r="K497"/>
      <c r="L497" s="296"/>
    </row>
    <row r="498" spans="9:12" x14ac:dyDescent="0.35">
      <c r="I498" s="349"/>
      <c r="J498" s="298"/>
      <c r="K498" s="63"/>
      <c r="L498" s="298"/>
    </row>
  </sheetData>
  <mergeCells count="6">
    <mergeCell ref="I11:I12"/>
    <mergeCell ref="J20:J23"/>
    <mergeCell ref="J30:J34"/>
    <mergeCell ref="I6:I7"/>
    <mergeCell ref="J6:J7"/>
    <mergeCell ref="J8:J9"/>
  </mergeCells>
  <phoneticPr fontId="32" type="noConversion"/>
  <conditionalFormatting sqref="I3">
    <cfRule type="iconSet" priority="6558">
      <iconSet iconSet="5Rating">
        <cfvo type="percent" val="0"/>
        <cfvo type="percent" val="20"/>
        <cfvo type="percent" val="40"/>
        <cfvo type="percent" val="60"/>
        <cfvo type="percent" val="80"/>
      </iconSet>
    </cfRule>
    <cfRule type="iconSet" priority="6557">
      <iconSet iconSet="4Rating">
        <cfvo type="percent" val="0"/>
        <cfvo type="percent" val="25"/>
        <cfvo type="percent" val="50"/>
        <cfvo type="percent" val="75"/>
      </iconSet>
    </cfRule>
    <cfRule type="iconSet" priority="6556">
      <iconSet iconSet="5Rating">
        <cfvo type="percent" val="0"/>
        <cfvo type="percent" val="20"/>
        <cfvo type="percent" val="40"/>
        <cfvo type="percent" val="60"/>
        <cfvo type="percent" val="80"/>
      </iconSet>
    </cfRule>
  </conditionalFormatting>
  <conditionalFormatting sqref="I5:I6 I8:I11 I13:I21 I24:I27 I31:I1048576">
    <cfRule type="containsText" dxfId="138" priority="13634" operator="containsText" text="RILASCIATO IN COLLAUDO">
      <formula>NOT(ISERROR(SEARCH("RILASCIATO IN COLLAUDO",I5)))</formula>
    </cfRule>
  </conditionalFormatting>
  <conditionalFormatting sqref="I6 I8:I9">
    <cfRule type="cellIs" dxfId="137" priority="132" operator="equal">
      <formula>"IN CORSO"</formula>
    </cfRule>
    <cfRule type="cellIs" dxfId="136" priority="136" operator="equal">
      <formula>"CANCELLATO"</formula>
    </cfRule>
    <cfRule type="cellIs" dxfId="135" priority="135" operator="equal">
      <formula>"DA RIPIANIFICARE"</formula>
    </cfRule>
    <cfRule type="cellIs" dxfId="134" priority="134" operator="equal">
      <formula>"COMPLETATO"</formula>
    </cfRule>
    <cfRule type="cellIs" dxfId="133" priority="133" operator="equal">
      <formula>"PIANIFICATO"</formula>
    </cfRule>
    <cfRule type="containsText" dxfId="132" priority="125" operator="containsText" text="RILASCIATO IN COLLAUDO">
      <formula>NOT(ISERROR(SEARCH("RILASCIATO IN COLLAUDO",I6)))</formula>
    </cfRule>
  </conditionalFormatting>
  <conditionalFormatting sqref="I6">
    <cfRule type="cellIs" dxfId="131" priority="148" operator="equal">
      <formula>"DA RIPIANIFICARE"</formula>
    </cfRule>
    <cfRule type="cellIs" dxfId="130" priority="147" operator="equal">
      <formula>"COMPLETATO"</formula>
    </cfRule>
    <cfRule type="cellIs" dxfId="129" priority="146" operator="equal">
      <formula>"PIANIFICATO"</formula>
    </cfRule>
    <cfRule type="cellIs" dxfId="128" priority="145" operator="equal">
      <formula>"IN CORSO"</formula>
    </cfRule>
    <cfRule type="cellIs" dxfId="127" priority="149" operator="equal">
      <formula>"CANCELLATO"</formula>
    </cfRule>
    <cfRule type="containsText" dxfId="126" priority="150" operator="containsText" text="RILASCIATO IN COLLAUDO">
      <formula>NOT(ISERROR(SEARCH("RILASCIATO IN COLLAUDO",#REF!)))</formula>
    </cfRule>
    <cfRule type="containsText" dxfId="125" priority="144" operator="containsText" text="RILASCIATO IN COLLAUDO">
      <formula>NOT(ISERROR(SEARCH("RILASCIATO IN COLLAUDO",#REF!)))</formula>
    </cfRule>
  </conditionalFormatting>
  <conditionalFormatting sqref="I8:I9">
    <cfRule type="cellIs" dxfId="124" priority="158" operator="equal">
      <formula>"IN CORSO"</formula>
    </cfRule>
    <cfRule type="containsText" dxfId="123" priority="157" operator="containsText" text="RILASCIATO IN COLLAUDO">
      <formula>NOT(ISERROR(SEARCH("RILASCIATO IN COLLAUDO",#REF!)))</formula>
    </cfRule>
    <cfRule type="containsText" dxfId="122" priority="163" operator="containsText" text="RILASCIATO IN COLLAUDO">
      <formula>NOT(ISERROR(SEARCH("RILASCIATO IN COLLAUDO",#REF!)))</formula>
    </cfRule>
    <cfRule type="cellIs" dxfId="121" priority="162" operator="equal">
      <formula>"CANCELLATO"</formula>
    </cfRule>
    <cfRule type="cellIs" dxfId="120" priority="161" operator="equal">
      <formula>"DA RIPIANIFICARE"</formula>
    </cfRule>
    <cfRule type="cellIs" dxfId="119" priority="160" operator="equal">
      <formula>"COMPLETATO"</formula>
    </cfRule>
    <cfRule type="cellIs" dxfId="118" priority="159" operator="equal">
      <formula>"PIANIFICATO"</formula>
    </cfRule>
  </conditionalFormatting>
  <conditionalFormatting sqref="I11">
    <cfRule type="cellIs" dxfId="117" priority="75" operator="equal">
      <formula>"COMPLETATO"</formula>
    </cfRule>
    <cfRule type="containsText" dxfId="116" priority="78" operator="containsText" text="RILASCIATO IN COLLAUDO">
      <formula>NOT(ISERROR(SEARCH("RILASCIATO IN COLLAUDO",#REF!)))</formula>
    </cfRule>
    <cfRule type="cellIs" dxfId="115" priority="71" operator="equal">
      <formula>"CANCELLATO"</formula>
    </cfRule>
    <cfRule type="containsText" dxfId="114" priority="66" operator="containsText" text="RILASCIATO IN COLLAUDO">
      <formula>NOT(ISERROR(SEARCH("RILASCIATO IN COLLAUDO",I11)))</formula>
    </cfRule>
    <cfRule type="cellIs" dxfId="113" priority="67" operator="equal">
      <formula>"IN CORSO"</formula>
    </cfRule>
    <cfRule type="cellIs" dxfId="112" priority="68" operator="equal">
      <formula>"PIANIFICATO"</formula>
    </cfRule>
    <cfRule type="cellIs" dxfId="111" priority="69" operator="equal">
      <formula>"COMPLETATO"</formula>
    </cfRule>
    <cfRule type="cellIs" dxfId="110" priority="76" operator="equal">
      <formula>"DA RIPIANIFICARE"</formula>
    </cfRule>
    <cfRule type="cellIs" dxfId="109" priority="70" operator="equal">
      <formula>"DA RIPIANIFICARE"</formula>
    </cfRule>
    <cfRule type="cellIs" dxfId="108" priority="77" operator="equal">
      <formula>"CANCELLATO"</formula>
    </cfRule>
    <cfRule type="containsText" dxfId="107" priority="72" operator="containsText" text="RILASCIATO IN COLLAUDO">
      <formula>NOT(ISERROR(SEARCH("RILASCIATO IN COLLAUDO",#REF!)))</formula>
    </cfRule>
    <cfRule type="cellIs" dxfId="106" priority="73" operator="equal">
      <formula>"IN CORSO"</formula>
    </cfRule>
    <cfRule type="cellIs" dxfId="105" priority="74" operator="equal">
      <formula>"PIANIFICATO"</formula>
    </cfRule>
  </conditionalFormatting>
  <conditionalFormatting sqref="I13:I1048576 I8:I11 I4:I6 I1">
    <cfRule type="containsText" dxfId="104" priority="7097" operator="containsText" text="RILASCIATO IN ESERCIZIO">
      <formula>NOT(ISERROR(SEARCH("RILASCIATO IN ESERCIZIO",I1)))</formula>
    </cfRule>
  </conditionalFormatting>
  <conditionalFormatting sqref="I14 I16">
    <cfRule type="cellIs" dxfId="103" priority="187" operator="equal">
      <formula>"IN CORSO"</formula>
    </cfRule>
    <cfRule type="containsText" dxfId="102" priority="186" operator="containsText" text="RILASCIATO IN COLLAUDO">
      <formula>NOT(ISERROR(SEARCH("RILASCIATO IN COLLAUDO",#REF!)))</formula>
    </cfRule>
    <cfRule type="containsText" dxfId="101" priority="192" operator="containsText" text="RILASCIATO IN COLLAUDO">
      <formula>NOT(ISERROR(SEARCH("RILASCIATO IN COLLAUDO",#REF!)))</formula>
    </cfRule>
    <cfRule type="cellIs" dxfId="100" priority="188" operator="equal">
      <formula>"PIANIFICATO"</formula>
    </cfRule>
    <cfRule type="cellIs" dxfId="99" priority="189" operator="equal">
      <formula>"COMPLETATO"</formula>
    </cfRule>
    <cfRule type="cellIs" dxfId="98" priority="190" operator="equal">
      <formula>"DA RIPIANIFICARE"</formula>
    </cfRule>
    <cfRule type="cellIs" dxfId="97" priority="191" operator="equal">
      <formula>"CANCELLATO"</formula>
    </cfRule>
  </conditionalFormatting>
  <conditionalFormatting sqref="I14:I16">
    <cfRule type="containsText" dxfId="96" priority="53" operator="containsText" text="RILASCIATO IN COLLAUDO">
      <formula>NOT(ISERROR(SEARCH("RILASCIATO IN COLLAUDO",I14)))</formula>
    </cfRule>
    <cfRule type="cellIs" dxfId="95" priority="62" operator="equal">
      <formula>"COMPLETATO"</formula>
    </cfRule>
    <cfRule type="cellIs" dxfId="94" priority="60" operator="equal">
      <formula>"IN CORSO"</formula>
    </cfRule>
    <cfRule type="cellIs" dxfId="93" priority="61" operator="equal">
      <formula>"PIANIFICATO"</formula>
    </cfRule>
    <cfRule type="cellIs" dxfId="92" priority="63" operator="equal">
      <formula>"DA RIPIANIFICARE"</formula>
    </cfRule>
    <cfRule type="cellIs" dxfId="91" priority="64" operator="equal">
      <formula>"CANCELLATO"</formula>
    </cfRule>
  </conditionalFormatting>
  <conditionalFormatting sqref="I15">
    <cfRule type="cellIs" dxfId="90" priority="49" operator="equal">
      <formula>"COMPLETATO"</formula>
    </cfRule>
    <cfRule type="cellIs" dxfId="89" priority="50" operator="equal">
      <formula>"DA RIPIANIFICARE"</formula>
    </cfRule>
    <cfRule type="cellIs" dxfId="88" priority="51" operator="equal">
      <formula>"CANCELLATO"</formula>
    </cfRule>
    <cfRule type="containsText" dxfId="87" priority="52" operator="containsText" text="RILASCIATO IN COLLAUDO">
      <formula>NOT(ISERROR(SEARCH("RILASCIATO IN COLLAUDO",#REF!)))</formula>
    </cfRule>
    <cfRule type="cellIs" dxfId="86" priority="54" operator="equal">
      <formula>"IN CORSO"</formula>
    </cfRule>
    <cfRule type="cellIs" dxfId="85" priority="55" operator="equal">
      <formula>"PIANIFICATO"</formula>
    </cfRule>
    <cfRule type="cellIs" dxfId="84" priority="56" operator="equal">
      <formula>"COMPLETATO"</formula>
    </cfRule>
    <cfRule type="cellIs" dxfId="83" priority="43" operator="equal">
      <formula>"COMPLETATO"</formula>
    </cfRule>
    <cfRule type="containsText" dxfId="82" priority="59" operator="containsText" text="RILASCIATO IN COLLAUDO">
      <formula>NOT(ISERROR(SEARCH("RILASCIATO IN COLLAUDO",#REF!)))</formula>
    </cfRule>
    <cfRule type="cellIs" dxfId="81" priority="29" operator="equal">
      <formula>"PIANIFICATO"</formula>
    </cfRule>
    <cfRule type="cellIs" dxfId="80" priority="58" operator="equal">
      <formula>"CANCELLATO"</formula>
    </cfRule>
    <cfRule type="containsText" dxfId="79" priority="65" operator="containsText" text="RILASCIATO IN COLLAUDO">
      <formula>NOT(ISERROR(SEARCH("RILASCIATO IN COLLAUDO",#REF!)))</formula>
    </cfRule>
    <cfRule type="cellIs" dxfId="78" priority="42" operator="equal">
      <formula>"PIANIFICATO"</formula>
    </cfRule>
    <cfRule type="cellIs" dxfId="77" priority="41" operator="equal">
      <formula>"IN CORSO"</formula>
    </cfRule>
    <cfRule type="containsText" dxfId="76" priority="40" operator="containsText" text="RILASCIATO IN COLLAUDO">
      <formula>NOT(ISERROR(SEARCH("RILASCIATO IN COLLAUDO",I15)))</formula>
    </cfRule>
    <cfRule type="containsText" dxfId="75" priority="39" operator="containsText" text="RILASCIATO IN COLLAUDO">
      <formula>NOT(ISERROR(SEARCH("RILASCIATO IN COLLAUDO",#REF!)))</formula>
    </cfRule>
    <cfRule type="cellIs" dxfId="74" priority="37" operator="equal">
      <formula>"DA RIPIANIFICARE"</formula>
    </cfRule>
    <cfRule type="cellIs" dxfId="73" priority="36" operator="equal">
      <formula>"COMPLETATO"</formula>
    </cfRule>
    <cfRule type="cellIs" dxfId="72" priority="35" operator="equal">
      <formula>"PIANIFICATO"</formula>
    </cfRule>
    <cfRule type="cellIs" dxfId="71" priority="34" operator="equal">
      <formula>"IN CORSO"</formula>
    </cfRule>
    <cfRule type="containsText" dxfId="70" priority="33" operator="containsText" text="RILASCIATO IN COLLAUDO">
      <formula>NOT(ISERROR(SEARCH("RILASCIATO IN COLLAUDO",#REF!)))</formula>
    </cfRule>
    <cfRule type="cellIs" dxfId="69" priority="38" operator="equal">
      <formula>"CANCELLATO"</formula>
    </cfRule>
    <cfRule type="containsText" dxfId="68" priority="27" operator="containsText" text="RILASCIATO IN COLLAUDO">
      <formula>NOT(ISERROR(SEARCH("RILASCIATO IN COLLAUDO",I15)))</formula>
    </cfRule>
    <cfRule type="cellIs" dxfId="67" priority="28" operator="equal">
      <formula>"IN CORSO"</formula>
    </cfRule>
    <cfRule type="cellIs" dxfId="66" priority="45" operator="equal">
      <formula>"CANCELLATO"</formula>
    </cfRule>
    <cfRule type="containsText" dxfId="65" priority="46" operator="containsText" text="RILASCIATO IN COLLAUDO">
      <formula>NOT(ISERROR(SEARCH("RILASCIATO IN COLLAUDO",#REF!)))</formula>
    </cfRule>
    <cfRule type="cellIs" dxfId="64" priority="47" operator="equal">
      <formula>"IN CORSO"</formula>
    </cfRule>
    <cfRule type="cellIs" dxfId="63" priority="57" operator="equal">
      <formula>"DA RIPIANIFICARE"</formula>
    </cfRule>
    <cfRule type="cellIs" dxfId="62" priority="32" operator="equal">
      <formula>"CANCELLATO"</formula>
    </cfRule>
    <cfRule type="cellIs" dxfId="61" priority="31" operator="equal">
      <formula>"DA RIPIANIFICARE"</formula>
    </cfRule>
    <cfRule type="cellIs" dxfId="60" priority="30" operator="equal">
      <formula>"COMPLETATO"</formula>
    </cfRule>
    <cfRule type="cellIs" dxfId="59" priority="48" operator="equal">
      <formula>"PIANIFICATO"</formula>
    </cfRule>
    <cfRule type="cellIs" dxfId="58" priority="44" operator="equal">
      <formula>"DA RIPIANIFICARE"</formula>
    </cfRule>
  </conditionalFormatting>
  <conditionalFormatting sqref="I18">
    <cfRule type="cellIs" dxfId="57" priority="25" operator="equal">
      <formula>"CANCELLATO"</formula>
    </cfRule>
    <cfRule type="containsText" dxfId="56" priority="26" operator="containsText" text="RILASCIATO IN COLLAUDO">
      <formula>NOT(ISERROR(SEARCH("RILASCIATO IN COLLAUDO",#REF!)))</formula>
    </cfRule>
    <cfRule type="containsText" dxfId="55" priority="20" operator="containsText" text="RILASCIATO IN COLLAUDO">
      <formula>NOT(ISERROR(SEARCH("RILASCIATO IN COLLAUDO",#REF!)))</formula>
    </cfRule>
    <cfRule type="cellIs" dxfId="54" priority="15" operator="equal">
      <formula>"IN CORSO"</formula>
    </cfRule>
    <cfRule type="cellIs" dxfId="53" priority="16" operator="equal">
      <formula>"PIANIFICATO"</formula>
    </cfRule>
    <cfRule type="cellIs" dxfId="52" priority="17" operator="equal">
      <formula>"COMPLETATO"</formula>
    </cfRule>
    <cfRule type="cellIs" dxfId="51" priority="18" operator="equal">
      <formula>"DA RIPIANIFICARE"</formula>
    </cfRule>
    <cfRule type="cellIs" dxfId="50" priority="19" operator="equal">
      <formula>"CANCELLATO"</formula>
    </cfRule>
    <cfRule type="cellIs" dxfId="49" priority="21" operator="equal">
      <formula>"IN CORSO"</formula>
    </cfRule>
    <cfRule type="cellIs" dxfId="48" priority="22" operator="equal">
      <formula>"PIANIFICATO"</formula>
    </cfRule>
    <cfRule type="cellIs" dxfId="47" priority="23" operator="equal">
      <formula>"COMPLETATO"</formula>
    </cfRule>
    <cfRule type="cellIs" dxfId="46" priority="24" operator="equal">
      <formula>"DA RIPIANIFICARE"</formula>
    </cfRule>
  </conditionalFormatting>
  <conditionalFormatting sqref="I18:I27">
    <cfRule type="containsText" dxfId="45" priority="1" operator="containsText" text="RILASCIATO IN COLLAUDO">
      <formula>NOT(ISERROR(SEARCH("RILASCIATO IN COLLAUDO",I18)))</formula>
    </cfRule>
  </conditionalFormatting>
  <conditionalFormatting sqref="I19:I24 I26:I27">
    <cfRule type="cellIs" dxfId="44" priority="218" operator="equal">
      <formula>"IN CORSO"</formula>
    </cfRule>
    <cfRule type="containsText" dxfId="43" priority="223" operator="containsText" text="RILASCIATO IN COLLAUDO">
      <formula>NOT(ISERROR(SEARCH("RILASCIATO IN COLLAUDO",#REF!)))</formula>
    </cfRule>
    <cfRule type="cellIs" dxfId="42" priority="222" operator="equal">
      <formula>"CANCELLATO"</formula>
    </cfRule>
    <cfRule type="cellIs" dxfId="41" priority="221" operator="equal">
      <formula>"DA RIPIANIFICARE"</formula>
    </cfRule>
    <cfRule type="cellIs" dxfId="40" priority="219" operator="equal">
      <formula>"PIANIFICATO"</formula>
    </cfRule>
    <cfRule type="containsText" dxfId="39" priority="217" operator="containsText" text="RILASCIATO IN COLLAUDO">
      <formula>NOT(ISERROR(SEARCH("RILASCIATO IN COLLAUDO",#REF!)))</formula>
    </cfRule>
    <cfRule type="cellIs" dxfId="38" priority="216" operator="equal">
      <formula>"CANCELLATO"</formula>
    </cfRule>
    <cfRule type="cellIs" dxfId="37" priority="220" operator="equal">
      <formula>"COMPLETATO"</formula>
    </cfRule>
    <cfRule type="cellIs" dxfId="36" priority="215" operator="equal">
      <formula>"DA RIPIANIFICARE"</formula>
    </cfRule>
    <cfRule type="cellIs" dxfId="35" priority="214" operator="equal">
      <formula>"COMPLETATO"</formula>
    </cfRule>
    <cfRule type="cellIs" dxfId="34" priority="213" operator="equal">
      <formula>"PIANIFICATO"</formula>
    </cfRule>
    <cfRule type="cellIs" dxfId="33" priority="212" operator="equal">
      <formula>"IN CORSO"</formula>
    </cfRule>
  </conditionalFormatting>
  <conditionalFormatting sqref="I23:I24 I26:I27">
    <cfRule type="containsText" dxfId="32" priority="211" operator="containsText" text="RILASCIATO IN COLLAUDO">
      <formula>NOT(ISERROR(SEARCH("RILASCIATO IN COLLAUDO",#REF!)))</formula>
    </cfRule>
  </conditionalFormatting>
  <conditionalFormatting sqref="I25">
    <cfRule type="cellIs" dxfId="31" priority="2" operator="equal">
      <formula>"IN CORSO"</formula>
    </cfRule>
    <cfRule type="containsText" dxfId="30" priority="13" operator="containsText" text="RILASCIATO IN COLLAUDO">
      <formula>NOT(ISERROR(SEARCH("RILASCIATO IN COLLAUDO",#REF!)))</formula>
    </cfRule>
    <cfRule type="cellIs" dxfId="29" priority="5" operator="equal">
      <formula>"DA RIPIANIFICARE"</formula>
    </cfRule>
    <cfRule type="containsText" dxfId="28" priority="7" operator="containsText" text="RILASCIATO IN COLLAUDO">
      <formula>NOT(ISERROR(SEARCH("RILASCIATO IN COLLAUDO",#REF!)))</formula>
    </cfRule>
    <cfRule type="cellIs" dxfId="27" priority="6" operator="equal">
      <formula>"CANCELLATO"</formula>
    </cfRule>
    <cfRule type="cellIs" dxfId="26" priority="12" operator="equal">
      <formula>"CANCELLATO"</formula>
    </cfRule>
    <cfRule type="cellIs" dxfId="25" priority="11" operator="equal">
      <formula>"DA RIPIANIFICARE"</formula>
    </cfRule>
    <cfRule type="cellIs" dxfId="24" priority="10" operator="equal">
      <formula>"COMPLETATO"</formula>
    </cfRule>
    <cfRule type="cellIs" dxfId="23" priority="9" operator="equal">
      <formula>"PIANIFICATO"</formula>
    </cfRule>
    <cfRule type="cellIs" dxfId="22" priority="8" operator="equal">
      <formula>"IN CORSO"</formula>
    </cfRule>
    <cfRule type="cellIs" dxfId="21" priority="4" operator="equal">
      <formula>"COMPLETATO"</formula>
    </cfRule>
    <cfRule type="cellIs" dxfId="20" priority="3" operator="equal">
      <formula>"PIANIFICATO"</formula>
    </cfRule>
  </conditionalFormatting>
  <conditionalFormatting sqref="I27 I29:I34">
    <cfRule type="containsText" dxfId="19" priority="611" operator="containsText" text="RILASCIATO IN COLLAUDO">
      <formula>NOT(ISERROR(SEARCH("RILASCIATO IN COLLAUDO",#REF!)))</formula>
    </cfRule>
  </conditionalFormatting>
  <conditionalFormatting sqref="I27 I30:I31">
    <cfRule type="containsText" dxfId="18" priority="177" operator="containsText" text="RILASCIATO IN COLLAUDO">
      <formula>NOT(ISERROR(SEARCH("RILASCIATO IN COLLAUDO",#REF!)))</formula>
    </cfRule>
  </conditionalFormatting>
  <conditionalFormatting sqref="I27:I31">
    <cfRule type="cellIs" dxfId="17" priority="473" operator="equal">
      <formula>"COMPLETATO"</formula>
    </cfRule>
    <cfRule type="cellIs" dxfId="16" priority="474" operator="equal">
      <formula>"DA RIPIANIFICARE"</formula>
    </cfRule>
    <cfRule type="cellIs" dxfId="15" priority="475" operator="equal">
      <formula>"CANCELLATO"</formula>
    </cfRule>
    <cfRule type="cellIs" dxfId="14" priority="472" operator="equal">
      <formula>"PIANIFICATO"</formula>
    </cfRule>
    <cfRule type="cellIs" dxfId="13" priority="471" operator="equal">
      <formula>"IN CORSO"</formula>
    </cfRule>
  </conditionalFormatting>
  <conditionalFormatting sqref="I27:I34">
    <cfRule type="containsText" dxfId="12" priority="229" operator="containsText" text="RILASCIATO IN COLLAUDO">
      <formula>NOT(ISERROR(SEARCH("RILASCIATO IN COLLAUDO",#REF!)))</formula>
    </cfRule>
  </conditionalFormatting>
  <conditionalFormatting sqref="I33:I34">
    <cfRule type="cellIs" dxfId="11" priority="166" operator="equal">
      <formula>"PIANIFICATO"</formula>
    </cfRule>
    <cfRule type="cellIs" dxfId="10" priority="165" operator="equal">
      <formula>"IN CORSO"</formula>
    </cfRule>
    <cfRule type="containsText" dxfId="9" priority="164" operator="containsText" text="RILASCIATO IN COLLAUDO">
      <formula>NOT(ISERROR(SEARCH("RILASCIATO IN COLLAUDO",#REF!)))</formula>
    </cfRule>
    <cfRule type="cellIs" dxfId="8" priority="100" operator="equal">
      <formula>"COMPLETATO"</formula>
    </cfRule>
    <cfRule type="cellIs" dxfId="7" priority="99" operator="equal">
      <formula>"PIANIFICATO"</formula>
    </cfRule>
    <cfRule type="cellIs" dxfId="6" priority="102" operator="equal">
      <formula>"CANCELLATO"</formula>
    </cfRule>
    <cfRule type="cellIs" dxfId="5" priority="98" operator="equal">
      <formula>"IN CORSO"</formula>
    </cfRule>
    <cfRule type="cellIs" dxfId="4" priority="101" operator="equal">
      <formula>"DA RIPIANIFICARE"</formula>
    </cfRule>
    <cfRule type="cellIs" dxfId="3" priority="169" operator="equal">
      <formula>"CANCELLATO"</formula>
    </cfRule>
    <cfRule type="containsText" dxfId="2" priority="82" operator="containsText" text="RILASCIATO IN COLLAUDO">
      <formula>NOT(ISERROR(SEARCH("RILASCIATO IN COLLAUDO",#REF!)))</formula>
    </cfRule>
    <cfRule type="cellIs" dxfId="1" priority="168" operator="equal">
      <formula>"DA RIPIANIFICARE"</formula>
    </cfRule>
    <cfRule type="cellIs" dxfId="0" priority="167" operator="equal">
      <formula>"COMPLETATO"</formula>
    </cfRule>
  </conditionalFormatting>
  <conditionalFormatting sqref="J1 J3:J6 J10 J8 J24 J12:J19 J26:J30 J35:J1048576">
    <cfRule type="iconSet" priority="80">
      <iconSet iconSet="5Rating">
        <cfvo type="percent" val="0"/>
        <cfvo type="percent" val="20"/>
        <cfvo type="percent" val="40"/>
        <cfvo type="percent" val="60"/>
        <cfvo type="percent" val="80"/>
      </iconSet>
    </cfRule>
    <cfRule type="iconSet" priority="79">
      <iconSet iconSet="4Rating">
        <cfvo type="percent" val="0"/>
        <cfvo type="percent" val="25"/>
        <cfvo type="percent" val="50"/>
        <cfvo type="percent" val="75"/>
      </iconSet>
    </cfRule>
  </conditionalFormatting>
  <conditionalFormatting sqref="J35:J1048576 J1 J3 J28:J30 J5:J6 J10 J8 J24 J12:J19 J26">
    <cfRule type="iconSet" priority="81">
      <iconSet iconSet="5Rating">
        <cfvo type="percent" val="0"/>
        <cfvo type="percent" val="20"/>
        <cfvo type="percent" val="40"/>
        <cfvo type="percent" val="60"/>
        <cfvo type="percent" val="80"/>
      </iconSet>
    </cfRule>
  </conditionalFormatting>
  <conditionalFormatting sqref="L1 L3:L1048576">
    <cfRule type="iconSet" priority="17544">
      <iconSet iconSet="4Rating">
        <cfvo type="percent" val="0"/>
        <cfvo type="percent" val="25"/>
        <cfvo type="percent" val="50"/>
        <cfvo type="percent" val="75"/>
      </iconSet>
    </cfRule>
    <cfRule type="iconSet" priority="17545">
      <iconSet iconSet="5Rating">
        <cfvo type="percent" val="0"/>
        <cfvo type="percent" val="20"/>
        <cfvo type="percent" val="40"/>
        <cfvo type="percent" val="60"/>
        <cfvo type="percent" val="80"/>
      </iconSet>
    </cfRule>
  </conditionalFormatting>
  <conditionalFormatting sqref="L32:L1048576 L1 L3 L28:L30 L5:L26">
    <cfRule type="iconSet" priority="17560">
      <iconSet iconSet="5Rating">
        <cfvo type="percent" val="0"/>
        <cfvo type="percent" val="20"/>
        <cfvo type="percent" val="40"/>
        <cfvo type="percent" val="60"/>
        <cfvo type="percent" val="80"/>
      </iconSet>
    </cfRule>
  </conditionalFormatting>
  <pageMargins left="0.7" right="0.7" top="0.75" bottom="0.75" header="0.3" footer="0.3"/>
  <pageSetup paperSize="9" orientation="portrait" horizontalDpi="90" verticalDpi="90" r:id="rId1"/>
  <headerFooter>
    <oddFooter>&amp;C&amp;1#&amp;"Calibri"&amp;10&amp;K000000Company General Use</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'Valori per liste a discesa'!$C$2:$C$12</xm:f>
          </x14:formula1>
          <xm:sqref>I1 I4:I6 I8:I11 I13:I1048576</xm:sqref>
        </x14:dataValidation>
        <x14:dataValidation type="list" allowBlank="1" showInputMessage="1" showErrorMessage="1" xr:uid="{9E8DECF3-A306-4D37-BACB-1205812C0A0A}">
          <x14:formula1>
            <xm:f>Legende!$A$9:$A$14</xm:f>
          </x14:formula1>
          <xm:sqref>H4:H34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1:H12"/>
  <sheetViews>
    <sheetView zoomScale="70" workbookViewId="0">
      <selection activeCell="H38" sqref="H38"/>
    </sheetView>
  </sheetViews>
  <sheetFormatPr defaultColWidth="19.42578125" defaultRowHeight="15.75" x14ac:dyDescent="0.25"/>
  <cols>
    <col min="3" max="7" width="38.85546875" style="11" customWidth="1"/>
    <col min="8" max="8" width="35.42578125" bestFit="1" customWidth="1"/>
  </cols>
  <sheetData>
    <row r="1" spans="3:8" x14ac:dyDescent="0.25">
      <c r="C1" s="18" t="s">
        <v>24</v>
      </c>
      <c r="D1" s="18" t="s">
        <v>25</v>
      </c>
      <c r="E1" s="19" t="s">
        <v>26</v>
      </c>
      <c r="F1" s="20" t="s">
        <v>27</v>
      </c>
      <c r="G1" s="18" t="s">
        <v>28</v>
      </c>
      <c r="H1" s="18" t="s">
        <v>9</v>
      </c>
    </row>
    <row r="2" spans="3:8" x14ac:dyDescent="0.25">
      <c r="C2" s="21" t="s">
        <v>29</v>
      </c>
      <c r="D2" s="22" t="s">
        <v>30</v>
      </c>
      <c r="E2" s="22"/>
      <c r="F2" s="16"/>
      <c r="G2" s="22" t="s">
        <v>31</v>
      </c>
      <c r="H2" s="15" t="s">
        <v>32</v>
      </c>
    </row>
    <row r="3" spans="3:8" x14ac:dyDescent="0.25">
      <c r="C3" s="21" t="s">
        <v>16</v>
      </c>
      <c r="D3" s="22" t="s">
        <v>33</v>
      </c>
      <c r="E3" s="22"/>
      <c r="F3" s="23"/>
      <c r="G3" s="22" t="s">
        <v>34</v>
      </c>
      <c r="H3" s="15"/>
    </row>
    <row r="4" spans="3:8" x14ac:dyDescent="0.25">
      <c r="C4" s="21" t="s">
        <v>17</v>
      </c>
      <c r="D4" s="22" t="s">
        <v>35</v>
      </c>
      <c r="E4" s="22"/>
      <c r="F4" s="16"/>
      <c r="G4" s="12"/>
      <c r="H4" s="15"/>
    </row>
    <row r="5" spans="3:8" x14ac:dyDescent="0.25">
      <c r="C5" s="21" t="s">
        <v>20</v>
      </c>
      <c r="D5" s="22"/>
      <c r="E5" s="22"/>
      <c r="F5" s="16"/>
      <c r="G5" s="12"/>
      <c r="H5" s="15"/>
    </row>
    <row r="6" spans="3:8" x14ac:dyDescent="0.25">
      <c r="C6" s="21" t="s">
        <v>36</v>
      </c>
      <c r="D6" s="22"/>
      <c r="E6" s="22"/>
      <c r="F6" s="16"/>
      <c r="G6" s="12"/>
      <c r="H6" s="15"/>
    </row>
    <row r="7" spans="3:8" ht="31.5" x14ac:dyDescent="0.25">
      <c r="C7" s="21" t="s">
        <v>37</v>
      </c>
      <c r="D7" s="22"/>
      <c r="E7" s="22"/>
      <c r="F7" s="16"/>
      <c r="G7" s="12"/>
      <c r="H7" s="15"/>
    </row>
    <row r="8" spans="3:8" x14ac:dyDescent="0.25">
      <c r="C8" s="21" t="s">
        <v>38</v>
      </c>
      <c r="D8" s="12"/>
      <c r="E8" s="22"/>
      <c r="F8" s="16"/>
      <c r="G8" s="12"/>
      <c r="H8" s="15"/>
    </row>
    <row r="9" spans="3:8" x14ac:dyDescent="0.25">
      <c r="C9" s="21" t="s">
        <v>13</v>
      </c>
      <c r="D9" s="12"/>
      <c r="E9" s="22"/>
      <c r="F9" s="16"/>
      <c r="G9" s="12"/>
      <c r="H9" s="15"/>
    </row>
    <row r="10" spans="3:8" x14ac:dyDescent="0.25">
      <c r="C10" s="21" t="s">
        <v>39</v>
      </c>
      <c r="D10" s="12"/>
      <c r="E10" s="22"/>
      <c r="F10" s="16"/>
      <c r="G10" s="12"/>
      <c r="H10" s="15"/>
    </row>
    <row r="11" spans="3:8" x14ac:dyDescent="0.25">
      <c r="C11" s="21" t="s">
        <v>40</v>
      </c>
      <c r="D11" s="12"/>
      <c r="E11" s="22"/>
      <c r="F11" s="16"/>
      <c r="G11" s="12"/>
      <c r="H11" s="15"/>
    </row>
    <row r="12" spans="3:8" x14ac:dyDescent="0.25">
      <c r="C12" s="21" t="s">
        <v>15</v>
      </c>
      <c r="D12" s="12"/>
      <c r="E12" s="12"/>
      <c r="F12" s="16"/>
      <c r="G12" s="12"/>
      <c r="H12" s="15"/>
    </row>
  </sheetData>
  <sheetProtection algorithmName="SHA-512" hashValue="PZJUpa8r4HqhmbvTInu7lo0oXmwzhKBHEKoqIilrpF5H2shpuKxKpAM9xtp7XcRQxHJfpW9Y6V9HTdfmOiEQ2g==" saltValue="8hPaKTEey6KKtWTholTqDw==" spinCount="100000" sheet="1" objects="1" scenarios="1"/>
  <pageMargins left="0.7" right="0.7" top="0.75" bottom="0.75" header="0.3" footer="0.3"/>
  <pageSetup paperSize="9" orientation="portrait" horizontalDpi="90" verticalDpi="90" r:id="rId1"/>
  <headerFooter>
    <oddFooter>&amp;C&amp;1#&amp;"Calibri"&amp;10&amp;K000000Company General Use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89"/>
  <sheetViews>
    <sheetView zoomScale="80" workbookViewId="0">
      <pane ySplit="1" topLeftCell="A2" activePane="bottomLeft" state="frozen"/>
      <selection pane="bottomLeft"/>
    </sheetView>
  </sheetViews>
  <sheetFormatPr defaultColWidth="8.5703125" defaultRowHeight="15" x14ac:dyDescent="0.25"/>
  <cols>
    <col min="1" max="1" width="11.42578125" customWidth="1"/>
    <col min="2" max="2" width="152.85546875" bestFit="1" customWidth="1"/>
  </cols>
  <sheetData>
    <row r="1" spans="1:2" ht="45" x14ac:dyDescent="0.25">
      <c r="A1" s="24" t="s">
        <v>41</v>
      </c>
      <c r="B1" s="25" t="s">
        <v>42</v>
      </c>
    </row>
    <row r="2" spans="1:2" x14ac:dyDescent="0.25">
      <c r="A2" s="26" t="s">
        <v>43</v>
      </c>
      <c r="B2" s="15" t="s">
        <v>44</v>
      </c>
    </row>
    <row r="3" spans="1:2" x14ac:dyDescent="0.25">
      <c r="A3" s="26" t="s">
        <v>45</v>
      </c>
      <c r="B3" s="15" t="s">
        <v>46</v>
      </c>
    </row>
    <row r="4" spans="1:2" x14ac:dyDescent="0.25">
      <c r="A4" s="26" t="s">
        <v>47</v>
      </c>
      <c r="B4" s="15" t="s">
        <v>48</v>
      </c>
    </row>
    <row r="5" spans="1:2" x14ac:dyDescent="0.25">
      <c r="A5" s="26" t="s">
        <v>49</v>
      </c>
      <c r="B5" s="15" t="s">
        <v>50</v>
      </c>
    </row>
    <row r="6" spans="1:2" x14ac:dyDescent="0.25">
      <c r="A6" s="26" t="s">
        <v>51</v>
      </c>
      <c r="B6" s="15" t="s">
        <v>52</v>
      </c>
    </row>
    <row r="7" spans="1:2" x14ac:dyDescent="0.25">
      <c r="A7" s="26" t="s">
        <v>53</v>
      </c>
      <c r="B7" s="15" t="s">
        <v>54</v>
      </c>
    </row>
    <row r="8" spans="1:2" x14ac:dyDescent="0.25">
      <c r="A8" s="26" t="s">
        <v>55</v>
      </c>
      <c r="B8" s="15" t="s">
        <v>56</v>
      </c>
    </row>
    <row r="9" spans="1:2" x14ac:dyDescent="0.25">
      <c r="A9" s="26" t="s">
        <v>57</v>
      </c>
      <c r="B9" s="15" t="s">
        <v>58</v>
      </c>
    </row>
    <row r="10" spans="1:2" x14ac:dyDescent="0.25">
      <c r="A10" s="26" t="s">
        <v>59</v>
      </c>
      <c r="B10" s="15" t="s">
        <v>60</v>
      </c>
    </row>
    <row r="11" spans="1:2" x14ac:dyDescent="0.25">
      <c r="A11" s="26" t="s">
        <v>61</v>
      </c>
      <c r="B11" s="15" t="s">
        <v>62</v>
      </c>
    </row>
    <row r="12" spans="1:2" x14ac:dyDescent="0.25">
      <c r="A12" s="26" t="s">
        <v>63</v>
      </c>
      <c r="B12" s="15" t="s">
        <v>64</v>
      </c>
    </row>
    <row r="13" spans="1:2" x14ac:dyDescent="0.25">
      <c r="A13" s="26" t="s">
        <v>65</v>
      </c>
      <c r="B13" s="15" t="s">
        <v>66</v>
      </c>
    </row>
    <row r="14" spans="1:2" x14ac:dyDescent="0.25">
      <c r="A14" s="26" t="s">
        <v>67</v>
      </c>
      <c r="B14" s="15" t="s">
        <v>68</v>
      </c>
    </row>
    <row r="15" spans="1:2" x14ac:dyDescent="0.25">
      <c r="A15" s="27" t="s">
        <v>69</v>
      </c>
      <c r="B15" s="15" t="s">
        <v>70</v>
      </c>
    </row>
    <row r="16" spans="1:2" x14ac:dyDescent="0.25">
      <c r="A16" s="26" t="s">
        <v>71</v>
      </c>
      <c r="B16" s="15" t="s">
        <v>72</v>
      </c>
    </row>
    <row r="17" spans="1:2" x14ac:dyDescent="0.25">
      <c r="A17" s="26" t="s">
        <v>73</v>
      </c>
      <c r="B17" s="15" t="s">
        <v>74</v>
      </c>
    </row>
    <row r="18" spans="1:2" x14ac:dyDescent="0.25">
      <c r="A18" s="26" t="s">
        <v>75</v>
      </c>
      <c r="B18" s="15" t="s">
        <v>76</v>
      </c>
    </row>
    <row r="19" spans="1:2" x14ac:dyDescent="0.25">
      <c r="A19" s="26" t="s">
        <v>77</v>
      </c>
      <c r="B19" s="15" t="s">
        <v>78</v>
      </c>
    </row>
    <row r="20" spans="1:2" x14ac:dyDescent="0.25">
      <c r="A20" s="26" t="s">
        <v>79</v>
      </c>
      <c r="B20" s="28" t="s">
        <v>80</v>
      </c>
    </row>
    <row r="21" spans="1:2" x14ac:dyDescent="0.25">
      <c r="A21" s="26" t="s">
        <v>81</v>
      </c>
      <c r="B21" s="15" t="s">
        <v>82</v>
      </c>
    </row>
    <row r="22" spans="1:2" x14ac:dyDescent="0.25">
      <c r="A22" s="26" t="s">
        <v>83</v>
      </c>
      <c r="B22" s="15" t="s">
        <v>84</v>
      </c>
    </row>
    <row r="23" spans="1:2" x14ac:dyDescent="0.25">
      <c r="A23" s="26" t="s">
        <v>85</v>
      </c>
      <c r="B23" s="15" t="s">
        <v>86</v>
      </c>
    </row>
    <row r="24" spans="1:2" x14ac:dyDescent="0.25">
      <c r="A24" s="26" t="s">
        <v>87</v>
      </c>
      <c r="B24" s="29" t="s">
        <v>88</v>
      </c>
    </row>
    <row r="25" spans="1:2" x14ac:dyDescent="0.25">
      <c r="A25" s="26" t="s">
        <v>89</v>
      </c>
      <c r="B25" s="15" t="s">
        <v>90</v>
      </c>
    </row>
    <row r="26" spans="1:2" x14ac:dyDescent="0.25">
      <c r="A26" s="26" t="s">
        <v>91</v>
      </c>
      <c r="B26" s="15" t="s">
        <v>92</v>
      </c>
    </row>
    <row r="27" spans="1:2" x14ac:dyDescent="0.25">
      <c r="A27" s="26" t="s">
        <v>93</v>
      </c>
      <c r="B27" s="15" t="s">
        <v>94</v>
      </c>
    </row>
    <row r="28" spans="1:2" x14ac:dyDescent="0.25">
      <c r="A28" s="26" t="s">
        <v>95</v>
      </c>
      <c r="B28" s="29" t="s">
        <v>96</v>
      </c>
    </row>
    <row r="29" spans="1:2" x14ac:dyDescent="0.25">
      <c r="A29" s="26" t="s">
        <v>97</v>
      </c>
      <c r="B29" s="15" t="s">
        <v>98</v>
      </c>
    </row>
    <row r="30" spans="1:2" x14ac:dyDescent="0.25">
      <c r="A30" s="26" t="s">
        <v>99</v>
      </c>
      <c r="B30" s="15" t="s">
        <v>100</v>
      </c>
    </row>
    <row r="31" spans="1:2" x14ac:dyDescent="0.25">
      <c r="A31" s="26" t="s">
        <v>101</v>
      </c>
      <c r="B31" s="15" t="s">
        <v>102</v>
      </c>
    </row>
    <row r="32" spans="1:2" x14ac:dyDescent="0.25">
      <c r="A32" s="26" t="s">
        <v>103</v>
      </c>
      <c r="B32" s="15" t="s">
        <v>104</v>
      </c>
    </row>
    <row r="33" spans="1:2" x14ac:dyDescent="0.25">
      <c r="A33" s="26" t="s">
        <v>105</v>
      </c>
      <c r="B33" s="29" t="s">
        <v>106</v>
      </c>
    </row>
    <row r="34" spans="1:2" x14ac:dyDescent="0.25">
      <c r="A34" s="26" t="s">
        <v>107</v>
      </c>
      <c r="B34" s="15" t="s">
        <v>108</v>
      </c>
    </row>
    <row r="35" spans="1:2" x14ac:dyDescent="0.25">
      <c r="A35" s="26" t="s">
        <v>109</v>
      </c>
      <c r="B35" s="15" t="s">
        <v>110</v>
      </c>
    </row>
    <row r="36" spans="1:2" x14ac:dyDescent="0.25">
      <c r="A36" s="26" t="s">
        <v>111</v>
      </c>
      <c r="B36" s="15" t="s">
        <v>112</v>
      </c>
    </row>
    <row r="37" spans="1:2" x14ac:dyDescent="0.25">
      <c r="A37" s="26" t="s">
        <v>113</v>
      </c>
      <c r="B37" s="29" t="s">
        <v>114</v>
      </c>
    </row>
    <row r="38" spans="1:2" x14ac:dyDescent="0.25">
      <c r="A38" s="26" t="s">
        <v>115</v>
      </c>
      <c r="B38" s="15" t="s">
        <v>116</v>
      </c>
    </row>
    <row r="39" spans="1:2" x14ac:dyDescent="0.25">
      <c r="A39" s="26" t="s">
        <v>117</v>
      </c>
      <c r="B39" s="15" t="s">
        <v>118</v>
      </c>
    </row>
    <row r="40" spans="1:2" x14ac:dyDescent="0.25">
      <c r="A40" s="26" t="s">
        <v>119</v>
      </c>
      <c r="B40" s="15" t="s">
        <v>120</v>
      </c>
    </row>
    <row r="41" spans="1:2" x14ac:dyDescent="0.25">
      <c r="A41" s="26" t="s">
        <v>121</v>
      </c>
      <c r="B41" s="15" t="s">
        <v>122</v>
      </c>
    </row>
    <row r="42" spans="1:2" x14ac:dyDescent="0.25">
      <c r="A42" s="26" t="s">
        <v>123</v>
      </c>
      <c r="B42" s="15" t="s">
        <v>124</v>
      </c>
    </row>
    <row r="43" spans="1:2" x14ac:dyDescent="0.25">
      <c r="A43" s="26" t="s">
        <v>125</v>
      </c>
      <c r="B43" s="15" t="s">
        <v>126</v>
      </c>
    </row>
    <row r="44" spans="1:2" x14ac:dyDescent="0.25">
      <c r="A44" s="27" t="s">
        <v>127</v>
      </c>
      <c r="B44" s="28" t="s">
        <v>128</v>
      </c>
    </row>
    <row r="45" spans="1:2" x14ac:dyDescent="0.25">
      <c r="A45" s="26" t="s">
        <v>129</v>
      </c>
      <c r="B45" s="15" t="s">
        <v>130</v>
      </c>
    </row>
    <row r="46" spans="1:2" x14ac:dyDescent="0.25">
      <c r="A46" s="26" t="s">
        <v>131</v>
      </c>
      <c r="B46" s="15" t="s">
        <v>132</v>
      </c>
    </row>
    <row r="47" spans="1:2" x14ac:dyDescent="0.25">
      <c r="A47" s="26" t="s">
        <v>133</v>
      </c>
      <c r="B47" s="29" t="s">
        <v>134</v>
      </c>
    </row>
    <row r="48" spans="1:2" x14ac:dyDescent="0.25">
      <c r="A48" s="26" t="s">
        <v>135</v>
      </c>
      <c r="B48" s="15" t="s">
        <v>136</v>
      </c>
    </row>
    <row r="49" spans="1:2" x14ac:dyDescent="0.25">
      <c r="A49" s="26" t="s">
        <v>137</v>
      </c>
      <c r="B49" s="28" t="s">
        <v>138</v>
      </c>
    </row>
    <row r="50" spans="1:2" x14ac:dyDescent="0.25">
      <c r="A50" s="15" t="s">
        <v>139</v>
      </c>
      <c r="B50" s="15" t="s">
        <v>140</v>
      </c>
    </row>
    <row r="51" spans="1:2" x14ac:dyDescent="0.25">
      <c r="A51" s="15" t="s">
        <v>141</v>
      </c>
      <c r="B51" s="15" t="s">
        <v>142</v>
      </c>
    </row>
    <row r="52" spans="1:2" x14ac:dyDescent="0.25">
      <c r="A52" s="15" t="s">
        <v>143</v>
      </c>
      <c r="B52" s="15" t="s">
        <v>144</v>
      </c>
    </row>
    <row r="53" spans="1:2" x14ac:dyDescent="0.25">
      <c r="A53" s="26" t="s">
        <v>145</v>
      </c>
      <c r="B53" s="15" t="s">
        <v>146</v>
      </c>
    </row>
    <row r="54" spans="1:2" x14ac:dyDescent="0.25">
      <c r="A54" s="26" t="s">
        <v>147</v>
      </c>
      <c r="B54" s="15" t="s">
        <v>148</v>
      </c>
    </row>
    <row r="55" spans="1:2" x14ac:dyDescent="0.25">
      <c r="A55" s="26" t="s">
        <v>149</v>
      </c>
      <c r="B55" s="15" t="s">
        <v>150</v>
      </c>
    </row>
    <row r="56" spans="1:2" x14ac:dyDescent="0.25">
      <c r="A56" s="26" t="s">
        <v>151</v>
      </c>
      <c r="B56" s="15" t="s">
        <v>152</v>
      </c>
    </row>
    <row r="57" spans="1:2" x14ac:dyDescent="0.25">
      <c r="A57" s="26" t="s">
        <v>153</v>
      </c>
      <c r="B57" s="15" t="s">
        <v>154</v>
      </c>
    </row>
    <row r="58" spans="1:2" x14ac:dyDescent="0.25">
      <c r="A58" s="26" t="s">
        <v>155</v>
      </c>
      <c r="B58" s="15" t="s">
        <v>156</v>
      </c>
    </row>
    <row r="59" spans="1:2" x14ac:dyDescent="0.25">
      <c r="A59" s="26" t="s">
        <v>157</v>
      </c>
      <c r="B59" s="15" t="s">
        <v>158</v>
      </c>
    </row>
    <row r="60" spans="1:2" x14ac:dyDescent="0.25">
      <c r="A60" s="26" t="s">
        <v>159</v>
      </c>
      <c r="B60" s="15" t="s">
        <v>160</v>
      </c>
    </row>
    <row r="61" spans="1:2" x14ac:dyDescent="0.25">
      <c r="A61" s="26" t="s">
        <v>161</v>
      </c>
      <c r="B61" s="15" t="s">
        <v>162</v>
      </c>
    </row>
    <row r="62" spans="1:2" x14ac:dyDescent="0.25">
      <c r="A62" s="26" t="s">
        <v>163</v>
      </c>
      <c r="B62" s="15" t="s">
        <v>164</v>
      </c>
    </row>
    <row r="63" spans="1:2" x14ac:dyDescent="0.25">
      <c r="A63" s="26" t="s">
        <v>165</v>
      </c>
      <c r="B63" s="15" t="s">
        <v>166</v>
      </c>
    </row>
    <row r="64" spans="1:2" x14ac:dyDescent="0.25">
      <c r="A64" s="26" t="s">
        <v>167</v>
      </c>
      <c r="B64" s="15" t="s">
        <v>168</v>
      </c>
    </row>
    <row r="65" spans="1:2" x14ac:dyDescent="0.25">
      <c r="A65" s="26" t="s">
        <v>169</v>
      </c>
      <c r="B65" s="15" t="s">
        <v>170</v>
      </c>
    </row>
    <row r="66" spans="1:2" x14ac:dyDescent="0.25">
      <c r="A66" s="26" t="s">
        <v>171</v>
      </c>
      <c r="B66" s="15" t="s">
        <v>172</v>
      </c>
    </row>
    <row r="67" spans="1:2" x14ac:dyDescent="0.25">
      <c r="A67" s="26" t="s">
        <v>173</v>
      </c>
      <c r="B67" s="15" t="s">
        <v>174</v>
      </c>
    </row>
    <row r="68" spans="1:2" x14ac:dyDescent="0.25">
      <c r="A68" s="26" t="s">
        <v>175</v>
      </c>
      <c r="B68" s="15" t="s">
        <v>176</v>
      </c>
    </row>
    <row r="69" spans="1:2" x14ac:dyDescent="0.25">
      <c r="A69" s="26" t="s">
        <v>177</v>
      </c>
      <c r="B69" s="15" t="s">
        <v>178</v>
      </c>
    </row>
    <row r="70" spans="1:2" x14ac:dyDescent="0.25">
      <c r="A70" s="26" t="s">
        <v>179</v>
      </c>
      <c r="B70" s="15" t="s">
        <v>180</v>
      </c>
    </row>
    <row r="71" spans="1:2" x14ac:dyDescent="0.25">
      <c r="A71" s="26" t="s">
        <v>181</v>
      </c>
      <c r="B71" s="15" t="s">
        <v>182</v>
      </c>
    </row>
    <row r="72" spans="1:2" x14ac:dyDescent="0.25">
      <c r="A72" s="15" t="s">
        <v>183</v>
      </c>
      <c r="B72" s="15" t="s">
        <v>184</v>
      </c>
    </row>
    <row r="73" spans="1:2" x14ac:dyDescent="0.25">
      <c r="A73" s="26" t="s">
        <v>185</v>
      </c>
      <c r="B73" s="15" t="s">
        <v>186</v>
      </c>
    </row>
    <row r="74" spans="1:2" x14ac:dyDescent="0.25">
      <c r="A74" s="15" t="s">
        <v>187</v>
      </c>
      <c r="B74" s="15" t="s">
        <v>188</v>
      </c>
    </row>
    <row r="75" spans="1:2" x14ac:dyDescent="0.25">
      <c r="A75" s="26" t="s">
        <v>189</v>
      </c>
      <c r="B75" s="15" t="s">
        <v>190</v>
      </c>
    </row>
    <row r="76" spans="1:2" x14ac:dyDescent="0.25">
      <c r="A76" s="26" t="s">
        <v>191</v>
      </c>
      <c r="B76" s="15" t="s">
        <v>192</v>
      </c>
    </row>
    <row r="77" spans="1:2" x14ac:dyDescent="0.25">
      <c r="A77" s="26" t="s">
        <v>193</v>
      </c>
      <c r="B77" s="15" t="s">
        <v>194</v>
      </c>
    </row>
    <row r="78" spans="1:2" x14ac:dyDescent="0.25">
      <c r="A78" s="26" t="s">
        <v>195</v>
      </c>
      <c r="B78" s="15" t="s">
        <v>196</v>
      </c>
    </row>
    <row r="79" spans="1:2" x14ac:dyDescent="0.25">
      <c r="A79" s="26" t="s">
        <v>197</v>
      </c>
      <c r="B79" s="15" t="s">
        <v>198</v>
      </c>
    </row>
    <row r="80" spans="1:2" x14ac:dyDescent="0.25">
      <c r="A80" s="26" t="s">
        <v>199</v>
      </c>
      <c r="B80" s="15" t="s">
        <v>200</v>
      </c>
    </row>
    <row r="81" spans="1:2" x14ac:dyDescent="0.25">
      <c r="A81" s="26" t="s">
        <v>201</v>
      </c>
      <c r="B81" s="15" t="s">
        <v>202</v>
      </c>
    </row>
    <row r="82" spans="1:2" x14ac:dyDescent="0.25">
      <c r="A82" s="26" t="s">
        <v>203</v>
      </c>
      <c r="B82" s="15" t="s">
        <v>204</v>
      </c>
    </row>
    <row r="83" spans="1:2" x14ac:dyDescent="0.25">
      <c r="A83" s="26" t="s">
        <v>205</v>
      </c>
      <c r="B83" s="30" t="s">
        <v>206</v>
      </c>
    </row>
    <row r="84" spans="1:2" x14ac:dyDescent="0.25">
      <c r="A84" s="26" t="s">
        <v>207</v>
      </c>
      <c r="B84" s="31" t="s">
        <v>208</v>
      </c>
    </row>
    <row r="85" spans="1:2" x14ac:dyDescent="0.25">
      <c r="A85" s="32" t="s">
        <v>209</v>
      </c>
      <c r="B85" s="31" t="s">
        <v>210</v>
      </c>
    </row>
    <row r="86" spans="1:2" x14ac:dyDescent="0.25">
      <c r="A86" s="32" t="s">
        <v>211</v>
      </c>
      <c r="B86" s="31" t="s">
        <v>212</v>
      </c>
    </row>
    <row r="87" spans="1:2" x14ac:dyDescent="0.25">
      <c r="A87" s="32" t="s">
        <v>213</v>
      </c>
      <c r="B87" s="31" t="s">
        <v>214</v>
      </c>
    </row>
    <row r="89" spans="1:2" ht="45" x14ac:dyDescent="0.25">
      <c r="A89" s="33" t="s">
        <v>41</v>
      </c>
      <c r="B89" s="34" t="s">
        <v>215</v>
      </c>
    </row>
  </sheetData>
  <autoFilter ref="A1:B87" xr:uid="{00000000-0009-0000-0000-000004000000}"/>
  <pageMargins left="0.7" right="0.7" top="0.75" bottom="0.75" header="0.3" footer="0.3"/>
  <pageSetup paperSize="9" orientation="portrait" r:id="rId1"/>
  <headerFooter>
    <oddFooter>&amp;C&amp;1#&amp;"Calibri"&amp;10&amp;K000000Company General Use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6"/>
  <sheetViews>
    <sheetView workbookViewId="0">
      <selection activeCell="A9" sqref="A9"/>
    </sheetView>
  </sheetViews>
  <sheetFormatPr defaultRowHeight="15" x14ac:dyDescent="0.25"/>
  <cols>
    <col min="1" max="1" width="31" customWidth="1"/>
  </cols>
  <sheetData>
    <row r="1" spans="1:1" x14ac:dyDescent="0.25">
      <c r="A1" s="35" t="s">
        <v>29</v>
      </c>
    </row>
    <row r="2" spans="1:1" x14ac:dyDescent="0.25">
      <c r="A2" s="35" t="s">
        <v>16</v>
      </c>
    </row>
    <row r="3" spans="1:1" x14ac:dyDescent="0.25">
      <c r="A3" s="35" t="s">
        <v>17</v>
      </c>
    </row>
    <row r="4" spans="1:1" x14ac:dyDescent="0.25">
      <c r="A4" s="35" t="s">
        <v>20</v>
      </c>
    </row>
    <row r="5" spans="1:1" ht="30" x14ac:dyDescent="0.25">
      <c r="A5" s="35" t="s">
        <v>216</v>
      </c>
    </row>
    <row r="6" spans="1:1" x14ac:dyDescent="0.25">
      <c r="A6" s="35" t="s">
        <v>217</v>
      </c>
    </row>
    <row r="9" spans="1:1" ht="15.75" x14ac:dyDescent="0.25">
      <c r="A9" s="88"/>
    </row>
    <row r="10" spans="1:1" ht="15.75" x14ac:dyDescent="0.25">
      <c r="A10" s="88" t="s">
        <v>14</v>
      </c>
    </row>
    <row r="11" spans="1:1" x14ac:dyDescent="0.25">
      <c r="A11" s="120" t="s">
        <v>220</v>
      </c>
    </row>
    <row r="12" spans="1:1" x14ac:dyDescent="0.25">
      <c r="A12" s="120" t="s">
        <v>244</v>
      </c>
    </row>
    <row r="13" spans="1:1" x14ac:dyDescent="0.25">
      <c r="A13" t="s">
        <v>19</v>
      </c>
    </row>
    <row r="14" spans="1:1" x14ac:dyDescent="0.25">
      <c r="A14" t="s">
        <v>22</v>
      </c>
    </row>
    <row r="17" spans="1:1" x14ac:dyDescent="0.25">
      <c r="A17" s="132" t="s">
        <v>250</v>
      </c>
    </row>
    <row r="18" spans="1:1" x14ac:dyDescent="0.25">
      <c r="A18" s="132" t="s">
        <v>251</v>
      </c>
    </row>
    <row r="19" spans="1:1" x14ac:dyDescent="0.25">
      <c r="A19" s="90" t="s">
        <v>232</v>
      </c>
    </row>
    <row r="20" spans="1:1" x14ac:dyDescent="0.25">
      <c r="A20" s="90" t="s">
        <v>235</v>
      </c>
    </row>
    <row r="21" spans="1:1" x14ac:dyDescent="0.25">
      <c r="A21" s="90" t="s">
        <v>236</v>
      </c>
    </row>
    <row r="22" spans="1:1" x14ac:dyDescent="0.25">
      <c r="A22" s="90" t="s">
        <v>237</v>
      </c>
    </row>
    <row r="23" spans="1:1" x14ac:dyDescent="0.25">
      <c r="A23" s="90" t="s">
        <v>233</v>
      </c>
    </row>
    <row r="24" spans="1:1" x14ac:dyDescent="0.25">
      <c r="A24" s="90" t="s">
        <v>234</v>
      </c>
    </row>
    <row r="25" spans="1:1" x14ac:dyDescent="0.25">
      <c r="A25" s="90" t="s">
        <v>238</v>
      </c>
    </row>
    <row r="26" spans="1:1" x14ac:dyDescent="0.25">
      <c r="A26" s="90" t="s">
        <v>239</v>
      </c>
    </row>
  </sheetData>
  <phoneticPr fontId="32" type="noConversion"/>
  <pageMargins left="0.7" right="0.7" top="0.75" bottom="0.75" header="0.3" footer="0.3"/>
  <pageSetup paperSize="9" orientation="portrait" horizontalDpi="90" verticalDpi="90" r:id="rId1"/>
  <headerFooter>
    <oddFooter>&amp;C&amp;1#&amp;"Calibri"&amp;10&amp;K000000Company General Use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51771794685574E87234A41619DEE98" ma:contentTypeVersion="4" ma:contentTypeDescription="Creare un nuovo documento." ma:contentTypeScope="" ma:versionID="6d21b4f6338d8fd7409827760f69a54e">
  <xsd:schema xmlns:xsd="http://www.w3.org/2001/XMLSchema" xmlns:xs="http://www.w3.org/2001/XMLSchema" xmlns:p="http://schemas.microsoft.com/office/2006/metadata/properties" xmlns:ns3="90620ce8-2463-454c-9e7c-47f2f673b7c2" targetNamespace="http://schemas.microsoft.com/office/2006/metadata/properties" ma:root="true" ma:fieldsID="c732fb9e0b9aac7fc6e0b1f9e6f0e90a" ns3:_="">
    <xsd:import namespace="90620ce8-2463-454c-9e7c-47f2f673b7c2"/>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620ce8-2463-454c-9e7c-47f2f673b7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748635D-EC3E-4D0F-8D2F-6703AB458B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0620ce8-2463-454c-9e7c-47f2f673b7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EF80024-4477-4589-9AD8-EA2D9C095F07}">
  <ds:schemaRefs>
    <ds:schemaRef ds:uri="http://schemas.microsoft.com/sharepoint/v3/contenttype/forms"/>
  </ds:schemaRefs>
</ds:datastoreItem>
</file>

<file path=customXml/itemProps3.xml><?xml version="1.0" encoding="utf-8"?>
<ds:datastoreItem xmlns:ds="http://schemas.openxmlformats.org/officeDocument/2006/customXml" ds:itemID="{EA6F1D70-707F-40A8-95B4-3F4B22DC0910}">
  <ds:schemaRefs>
    <ds:schemaRef ds:uri="http://schemas.microsoft.com/office/infopath/2007/PartnerControls"/>
    <ds:schemaRef ds:uri="http://purl.org/dc/terms/"/>
    <ds:schemaRef ds:uri="http://schemas.microsoft.com/office/2006/metadata/properties"/>
    <ds:schemaRef ds:uri="http://schemas.microsoft.com/office/2006/documentManagement/types"/>
    <ds:schemaRef ds:uri="http://purl.org/dc/elements/1.1/"/>
    <ds:schemaRef ds:uri="http://schemas.openxmlformats.org/package/2006/metadata/core-properties"/>
    <ds:schemaRef ds:uri="90620ce8-2463-454c-9e7c-47f2f673b7c2"/>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Fogli di lavoro</vt:lpstr>
      </vt:variant>
      <vt:variant>
        <vt:i4>7</vt:i4>
      </vt:variant>
      <vt:variant>
        <vt:lpstr>Intervalli denominati</vt:lpstr>
      </vt:variant>
      <vt:variant>
        <vt:i4>1</vt:i4>
      </vt:variant>
    </vt:vector>
  </HeadingPairs>
  <TitlesOfParts>
    <vt:vector size="8" baseType="lpstr">
      <vt:lpstr>Riepilogo Contratto</vt:lpstr>
      <vt:lpstr>Project Plan</vt:lpstr>
      <vt:lpstr>Sintesi Rendiconti</vt:lpstr>
      <vt:lpstr>Gantt</vt:lpstr>
      <vt:lpstr>Valori per liste a discesa</vt:lpstr>
      <vt:lpstr>Settore</vt:lpstr>
      <vt:lpstr>Legende</vt:lpstr>
      <vt:lpstr>'Project Plan'!prevWBS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Francesco Del Castello;Alessio Guerrieri</dc:creator>
  <cp:keywords/>
  <dc:description/>
  <cp:lastModifiedBy>Carlo Falcinelli</cp:lastModifiedBy>
  <cp:revision>8</cp:revision>
  <dcterms:created xsi:type="dcterms:W3CDTF">2023-02-18T15:56:20Z</dcterms:created>
  <dcterms:modified xsi:type="dcterms:W3CDTF">2025-01-14T10:04:35Z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0x010100051771794685574E87234A41619DEE98</vt:lpwstr>
  </property>
  <property fmtid="{D5CDD505-2E9C-101B-9397-08002B2CF9AE}" pid="3" name="MediaServiceImageTags">
    <vt:lpwstr/>
  </property>
  <property fmtid="{D5CDD505-2E9C-101B-9397-08002B2CF9AE}" pid="4" name="MSIP_Label_3bb4f5e6-4689-4e32-8ee0-7c59def9675b_Enabled">
    <vt:lpwstr>true</vt:lpwstr>
  </property>
  <property fmtid="{D5CDD505-2E9C-101B-9397-08002B2CF9AE}" pid="5" name="MSIP_Label_3bb4f5e6-4689-4e32-8ee0-7c59def9675b_SetDate">
    <vt:lpwstr>2024-12-19T10:07:30Z</vt:lpwstr>
  </property>
  <property fmtid="{D5CDD505-2E9C-101B-9397-08002B2CF9AE}" pid="6" name="MSIP_Label_3bb4f5e6-4689-4e32-8ee0-7c59def9675b_Method">
    <vt:lpwstr>Privileged</vt:lpwstr>
  </property>
  <property fmtid="{D5CDD505-2E9C-101B-9397-08002B2CF9AE}" pid="7" name="MSIP_Label_3bb4f5e6-4689-4e32-8ee0-7c59def9675b_Name">
    <vt:lpwstr>3bb4f5e6-4689-4e32-8ee0-7c59def9675b</vt:lpwstr>
  </property>
  <property fmtid="{D5CDD505-2E9C-101B-9397-08002B2CF9AE}" pid="8" name="MSIP_Label_3bb4f5e6-4689-4e32-8ee0-7c59def9675b_SiteId">
    <vt:lpwstr>31ae1cef-2393-4eb1-8962-4e4bbfccd663</vt:lpwstr>
  </property>
  <property fmtid="{D5CDD505-2E9C-101B-9397-08002B2CF9AE}" pid="9" name="MSIP_Label_3bb4f5e6-4689-4e32-8ee0-7c59def9675b_ActionId">
    <vt:lpwstr>1b61d7c5-ef74-4e1c-8319-64f3b028399e</vt:lpwstr>
  </property>
  <property fmtid="{D5CDD505-2E9C-101B-9397-08002B2CF9AE}" pid="10" name="MSIP_Label_3bb4f5e6-4689-4e32-8ee0-7c59def9675b_ContentBits">
    <vt:lpwstr>2</vt:lpwstr>
  </property>
</Properties>
</file>