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Archivi\Regione\2023-2024\Agricoltura\Piano di lavoro generale RTI GARI\Documenti Secondo Piano di lavoro 2024 2025\"/>
    </mc:Choice>
  </mc:AlternateContent>
  <xr:revisionPtr revIDLastSave="0" documentId="13_ncr:1_{2F50352A-D5BE-475D-A449-825E46A44430}" xr6:coauthVersionLast="47" xr6:coauthVersionMax="47" xr10:uidLastSave="{00000000-0000-0000-0000-000000000000}"/>
  <bookViews>
    <workbookView xWindow="810" yWindow="2535" windowWidth="28305" windowHeight="15675" tabRatio="743" activeTab="3" xr2:uid="{00000000-000D-0000-FFFF-FFFF00000000}"/>
  </bookViews>
  <sheets>
    <sheet name="Riepilogo Contratto" sheetId="1" r:id="rId1"/>
    <sheet name="Project Plan" sheetId="10" r:id="rId2"/>
    <sheet name="Sintesi Rendiconti" sheetId="7" r:id="rId3"/>
    <sheet name="Gantt" sheetId="3" r:id="rId4"/>
    <sheet name="Valori per liste a discesa" sheetId="4" state="hidden" r:id="rId5"/>
    <sheet name="Settore" sheetId="5" state="hidden" r:id="rId6"/>
    <sheet name="Legende" sheetId="6" r:id="rId7"/>
  </sheets>
  <definedNames>
    <definedName name="_xlnm._FilterDatabase" localSheetId="3" hidden="1">Gantt!$A$3:$CT$55</definedName>
    <definedName name="_xlnm._FilterDatabase" localSheetId="5" hidden="1">Settore!$A$1:$B$87</definedName>
    <definedName name="CEUmbria">#REF!</definedName>
    <definedName name="Inizio_progetto">#REF!</definedName>
    <definedName name="prevWBS" localSheetId="1">'Project Plan'!$A1048576</definedName>
    <definedName name="Visualizza_settimana">#REF!</definedName>
  </definedNames>
  <calcPr calcId="191029"/>
</workbook>
</file>

<file path=xl/calcChain.xml><?xml version="1.0" encoding="utf-8"?>
<calcChain xmlns="http://schemas.openxmlformats.org/spreadsheetml/2006/main">
  <c r="H53" i="10" l="1"/>
  <c r="B53" i="10"/>
  <c r="A53" i="10"/>
  <c r="E48" i="10"/>
  <c r="U43" i="3"/>
  <c r="U44" i="3" s="1"/>
  <c r="X43" i="3" s="1"/>
  <c r="F41" i="10" s="1"/>
  <c r="U51" i="3"/>
  <c r="X50" i="3" s="1"/>
  <c r="F48" i="10" s="1"/>
  <c r="H12" i="10"/>
  <c r="H13" i="10"/>
  <c r="H14" i="10"/>
  <c r="H15" i="10"/>
  <c r="H17" i="10"/>
  <c r="H18" i="10"/>
  <c r="H19" i="10"/>
  <c r="H20" i="10"/>
  <c r="H21" i="10"/>
  <c r="H22" i="10"/>
  <c r="H25" i="10"/>
  <c r="H26" i="10"/>
  <c r="H29" i="10"/>
  <c r="H30" i="10"/>
  <c r="H31" i="10"/>
  <c r="H32" i="10"/>
  <c r="H33" i="10"/>
  <c r="H34" i="10"/>
  <c r="H35" i="10"/>
  <c r="H36" i="10"/>
  <c r="H40" i="10"/>
  <c r="H43" i="10"/>
  <c r="H46" i="10"/>
  <c r="H48" i="10"/>
  <c r="H49" i="10"/>
  <c r="H50" i="10"/>
  <c r="H51" i="10"/>
  <c r="H52" i="10"/>
  <c r="E12" i="10"/>
  <c r="F12" i="10"/>
  <c r="E13" i="10"/>
  <c r="F13" i="10"/>
  <c r="E14" i="10"/>
  <c r="F14" i="10"/>
  <c r="E15" i="10"/>
  <c r="F15" i="10"/>
  <c r="E17" i="10"/>
  <c r="F17" i="10"/>
  <c r="E18" i="10"/>
  <c r="F18" i="10"/>
  <c r="E19" i="10"/>
  <c r="F19" i="10"/>
  <c r="E20" i="10"/>
  <c r="F20" i="10"/>
  <c r="E21" i="10"/>
  <c r="F21" i="10"/>
  <c r="E22" i="10"/>
  <c r="F22" i="10"/>
  <c r="E24" i="10"/>
  <c r="F24" i="10"/>
  <c r="E25" i="10"/>
  <c r="F25" i="10"/>
  <c r="E26" i="10"/>
  <c r="F26" i="10"/>
  <c r="E28" i="10"/>
  <c r="F28" i="10"/>
  <c r="E29" i="10"/>
  <c r="F29" i="10"/>
  <c r="E30" i="10"/>
  <c r="F30" i="10"/>
  <c r="E31" i="10"/>
  <c r="F31" i="10"/>
  <c r="E32" i="10"/>
  <c r="F32" i="10"/>
  <c r="E33" i="10"/>
  <c r="F33" i="10"/>
  <c r="E34" i="10"/>
  <c r="F34" i="10"/>
  <c r="E35" i="10"/>
  <c r="F35" i="10"/>
  <c r="E36" i="10"/>
  <c r="F36" i="10"/>
  <c r="E40" i="10"/>
  <c r="E45" i="10"/>
  <c r="F45" i="10"/>
  <c r="E46" i="10"/>
  <c r="F46" i="10"/>
  <c r="B52" i="10"/>
  <c r="A52" i="10"/>
  <c r="B51" i="10"/>
  <c r="A51" i="10"/>
  <c r="B50" i="10"/>
  <c r="A50" i="10"/>
  <c r="B49" i="10"/>
  <c r="A49" i="10"/>
  <c r="B48" i="10"/>
  <c r="A48" i="10"/>
  <c r="B47" i="10"/>
  <c r="A47" i="10"/>
  <c r="B46" i="10"/>
  <c r="A46" i="10"/>
  <c r="B45" i="10"/>
  <c r="A45" i="10"/>
  <c r="B44" i="10"/>
  <c r="A44" i="10"/>
  <c r="B43" i="10"/>
  <c r="A43" i="10"/>
  <c r="B42" i="10"/>
  <c r="A42" i="10"/>
  <c r="B41" i="10"/>
  <c r="A41" i="10"/>
  <c r="B40" i="10"/>
  <c r="A40" i="10"/>
  <c r="B39" i="10"/>
  <c r="A39" i="10"/>
  <c r="B38" i="10"/>
  <c r="A38" i="10"/>
  <c r="B37" i="10"/>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F11" i="10"/>
  <c r="E11" i="10"/>
  <c r="F9" i="10"/>
  <c r="E9" i="10"/>
  <c r="B10" i="10"/>
  <c r="B11" i="10"/>
  <c r="B12" i="10"/>
  <c r="B13" i="10"/>
  <c r="B14" i="10"/>
  <c r="B15" i="10"/>
  <c r="B16" i="10"/>
  <c r="B17" i="10"/>
  <c r="B9" i="10"/>
  <c r="A10" i="10"/>
  <c r="A11" i="10"/>
  <c r="A12" i="10"/>
  <c r="A13" i="10"/>
  <c r="A14" i="10"/>
  <c r="A15" i="10"/>
  <c r="A16" i="10"/>
  <c r="A17" i="10"/>
  <c r="A9" i="10"/>
  <c r="B8" i="10"/>
  <c r="F8" i="10"/>
  <c r="I8" i="10" s="1"/>
  <c r="A8" i="10"/>
  <c r="K6" i="10"/>
  <c r="K7" i="10" s="1"/>
  <c r="G9" i="10" l="1"/>
  <c r="G11" i="10"/>
  <c r="G45" i="10"/>
  <c r="G33" i="10"/>
  <c r="G24" i="10"/>
  <c r="G19" i="10"/>
  <c r="G15" i="10"/>
  <c r="G46" i="10"/>
  <c r="G30" i="10"/>
  <c r="E49" i="10"/>
  <c r="G36" i="10"/>
  <c r="G32" i="10"/>
  <c r="G28" i="10"/>
  <c r="G22" i="10"/>
  <c r="G18" i="10"/>
  <c r="G13" i="10"/>
  <c r="G35" i="10"/>
  <c r="G31" i="10"/>
  <c r="G26" i="10"/>
  <c r="G17" i="10"/>
  <c r="G12" i="10"/>
  <c r="U52" i="3"/>
  <c r="G29" i="10"/>
  <c r="G14" i="10"/>
  <c r="X42" i="3"/>
  <c r="F40" i="10" s="1"/>
  <c r="G40" i="10" s="1"/>
  <c r="I36" i="10"/>
  <c r="G34" i="10"/>
  <c r="G25" i="10"/>
  <c r="E41" i="10"/>
  <c r="G41" i="10" s="1"/>
  <c r="G21" i="10"/>
  <c r="G20" i="10"/>
  <c r="U45" i="3"/>
  <c r="E42" i="10"/>
  <c r="G48" i="10"/>
  <c r="I48" i="10"/>
  <c r="I46" i="10"/>
  <c r="I37" i="10"/>
  <c r="I29" i="10"/>
  <c r="I31" i="10"/>
  <c r="I33" i="10"/>
  <c r="I35" i="10"/>
  <c r="I45" i="10"/>
  <c r="I47" i="10"/>
  <c r="I28" i="10"/>
  <c r="I14" i="10"/>
  <c r="I30" i="10"/>
  <c r="I32" i="10"/>
  <c r="I34" i="10"/>
  <c r="I38" i="10"/>
  <c r="I25" i="10"/>
  <c r="I17" i="10"/>
  <c r="I24" i="10"/>
  <c r="I26" i="10"/>
  <c r="I22" i="10"/>
  <c r="I15" i="10"/>
  <c r="I20" i="10"/>
  <c r="I11" i="10"/>
  <c r="I21" i="10"/>
  <c r="I12" i="10"/>
  <c r="I19" i="10"/>
  <c r="I18" i="10"/>
  <c r="I13" i="10"/>
  <c r="I9" i="10"/>
  <c r="K4" i="10"/>
  <c r="K5" i="10"/>
  <c r="L6" i="10"/>
  <c r="M6" i="10" s="1"/>
  <c r="N6" i="10" s="1"/>
  <c r="I40" i="10" l="1"/>
  <c r="I41" i="10"/>
  <c r="X51" i="3"/>
  <c r="F49" i="10" s="1"/>
  <c r="E50" i="10"/>
  <c r="U53" i="3"/>
  <c r="U54" i="3" s="1"/>
  <c r="E43" i="10"/>
  <c r="X45" i="3"/>
  <c r="F43" i="10" s="1"/>
  <c r="X44" i="3"/>
  <c r="F42" i="10" s="1"/>
  <c r="I42" i="10" s="1"/>
  <c r="M7" i="10"/>
  <c r="L7" i="10"/>
  <c r="N7" i="10"/>
  <c r="O6" i="10"/>
  <c r="I43" i="10" l="1"/>
  <c r="X52" i="3"/>
  <c r="F50" i="10" s="1"/>
  <c r="G50" i="10" s="1"/>
  <c r="E51" i="10"/>
  <c r="G49" i="10"/>
  <c r="I49" i="10"/>
  <c r="E52" i="10"/>
  <c r="X53" i="3"/>
  <c r="F51" i="10" s="1"/>
  <c r="U55" i="3"/>
  <c r="G42" i="10"/>
  <c r="G43" i="10"/>
  <c r="P6" i="10"/>
  <c r="O7" i="10"/>
  <c r="I50" i="10" l="1"/>
  <c r="E53" i="10"/>
  <c r="X54" i="3"/>
  <c r="F52" i="10" s="1"/>
  <c r="X55" i="3"/>
  <c r="F53" i="10" s="1"/>
  <c r="I51" i="10"/>
  <c r="G51" i="10"/>
  <c r="Q6" i="10"/>
  <c r="P7" i="10"/>
  <c r="G53" i="10" l="1"/>
  <c r="I53" i="10"/>
  <c r="G52" i="10"/>
  <c r="I52" i="10"/>
  <c r="R6" i="10"/>
  <c r="Q7" i="10"/>
  <c r="R4" i="10" l="1"/>
  <c r="R5" i="10"/>
  <c r="S6" i="10"/>
  <c r="R7" i="10"/>
  <c r="T6" i="10" l="1"/>
  <c r="S7" i="10"/>
  <c r="U6" i="10" l="1"/>
  <c r="T7" i="10"/>
  <c r="V6" i="10" l="1"/>
  <c r="U7" i="10"/>
  <c r="V7" i="10" l="1"/>
  <c r="W6" i="10"/>
  <c r="X6" i="10" l="1"/>
  <c r="W7" i="10"/>
  <c r="Y6" i="10" l="1"/>
  <c r="X7" i="10"/>
  <c r="Y5" i="10" l="1"/>
  <c r="Y4" i="10"/>
  <c r="Z6" i="10"/>
  <c r="Y7" i="10"/>
  <c r="AA6" i="10" l="1"/>
  <c r="Z7" i="10"/>
  <c r="AB6" i="10" l="1"/>
  <c r="AA7" i="10"/>
  <c r="AC6" i="10" l="1"/>
  <c r="AB7" i="10"/>
  <c r="AD6" i="10" l="1"/>
  <c r="AC7" i="10"/>
  <c r="AD7" i="10" l="1"/>
  <c r="AE6" i="10"/>
  <c r="AF6" i="10" l="1"/>
  <c r="AE7" i="10"/>
  <c r="AF5" i="10" l="1"/>
  <c r="AF4" i="10"/>
  <c r="AG6" i="10"/>
  <c r="AF7" i="10"/>
  <c r="AH6" i="10" l="1"/>
  <c r="AG7" i="10"/>
  <c r="AI6" i="10" l="1"/>
  <c r="AH7" i="10"/>
  <c r="AJ6" i="10" l="1"/>
  <c r="AI7" i="10"/>
  <c r="AK6" i="10" l="1"/>
  <c r="AJ7" i="10"/>
  <c r="AL6" i="10" l="1"/>
  <c r="AK7" i="10"/>
  <c r="AL7" i="10" l="1"/>
  <c r="AM6" i="10"/>
  <c r="AN6" i="10" l="1"/>
  <c r="AM7" i="10"/>
  <c r="AM5" i="10"/>
  <c r="AM4" i="10"/>
  <c r="AO6" i="10" l="1"/>
  <c r="AN7" i="10"/>
  <c r="AP6" i="10" l="1"/>
  <c r="AO7" i="10"/>
  <c r="AQ6" i="10" l="1"/>
  <c r="AP7" i="10"/>
  <c r="AR6" i="10" l="1"/>
  <c r="AQ7" i="10"/>
  <c r="AS6" i="10" l="1"/>
  <c r="AR7" i="10"/>
  <c r="AT6" i="10" l="1"/>
  <c r="AS7" i="10"/>
  <c r="AT7" i="10" l="1"/>
  <c r="AT5" i="10"/>
  <c r="AT4" i="10"/>
  <c r="AU6" i="10"/>
  <c r="AV6" i="10" l="1"/>
  <c r="AU7" i="10"/>
  <c r="AW6" i="10" l="1"/>
  <c r="AV7" i="10"/>
  <c r="AX6" i="10" l="1"/>
  <c r="AW7" i="10"/>
  <c r="AY6" i="10" l="1"/>
  <c r="AX7" i="10"/>
  <c r="AZ6" i="10" l="1"/>
  <c r="AY7" i="10"/>
  <c r="BA6" i="10" l="1"/>
  <c r="AZ7" i="10"/>
  <c r="BB6" i="10" l="1"/>
  <c r="BA7" i="10"/>
  <c r="BA4" i="10"/>
  <c r="BA5" i="10"/>
  <c r="BB7" i="10" l="1"/>
  <c r="BC6" i="10"/>
  <c r="BD6" i="10" l="1"/>
  <c r="BC7" i="10"/>
  <c r="BE6" i="10" l="1"/>
  <c r="BD7" i="10"/>
  <c r="BF6" i="10" l="1"/>
  <c r="BE7" i="10"/>
  <c r="BG6" i="10" l="1"/>
  <c r="BF7" i="10"/>
  <c r="BH6" i="10" l="1"/>
  <c r="BG7" i="10"/>
  <c r="BI6" i="10" l="1"/>
  <c r="BH7" i="10"/>
  <c r="BH5" i="10"/>
  <c r="BH4" i="10"/>
  <c r="BJ6" i="10" l="1"/>
  <c r="BI7" i="10"/>
  <c r="BJ7" i="10" l="1"/>
  <c r="BK6" i="10"/>
  <c r="BL6" i="10" l="1"/>
  <c r="BK7" i="10"/>
  <c r="BM6" i="10" l="1"/>
  <c r="BL7" i="10"/>
  <c r="BN6" i="10" l="1"/>
  <c r="BM7" i="10"/>
  <c r="BN7" i="10" l="1"/>
  <c r="BO6" i="10"/>
  <c r="BP6" i="10" l="1"/>
  <c r="BO7" i="10"/>
  <c r="BO5" i="10"/>
  <c r="BO4" i="10"/>
  <c r="BQ6" i="10" l="1"/>
  <c r="BP7" i="10"/>
  <c r="BQ7" i="10" l="1"/>
  <c r="BR6" i="10"/>
  <c r="BS6" i="10" l="1"/>
  <c r="BR7" i="10"/>
  <c r="BT6" i="10" l="1"/>
  <c r="BS7" i="10"/>
  <c r="BT7" i="10" l="1"/>
  <c r="BU6" i="10"/>
  <c r="BU7" i="10" s="1"/>
  <c r="L31" i="3" l="1"/>
  <c r="L32" i="3"/>
  <c r="L33" i="3"/>
  <c r="L34" i="3"/>
  <c r="L35" i="3"/>
  <c r="L36" i="3"/>
  <c r="L37" i="3"/>
  <c r="L38" i="3"/>
  <c r="L27" i="3"/>
  <c r="L28" i="3"/>
  <c r="L20" i="3"/>
  <c r="L21" i="3"/>
  <c r="L22" i="3"/>
  <c r="L23" i="3"/>
  <c r="L24" i="3"/>
  <c r="L11" i="3"/>
  <c r="F39" i="7" l="1"/>
  <c r="E39" i="7"/>
  <c r="D39" i="7"/>
  <c r="C39" i="7"/>
  <c r="F31" i="7"/>
  <c r="E31" i="7"/>
  <c r="D31" i="7"/>
  <c r="C31" i="7"/>
  <c r="J33" i="1"/>
  <c r="J32" i="1"/>
  <c r="J31" i="1"/>
  <c r="J30" i="1"/>
  <c r="I33" i="1"/>
  <c r="H34" i="1"/>
  <c r="G34" i="1"/>
  <c r="B37" i="7" s="1"/>
  <c r="F34" i="1"/>
  <c r="B29" i="7" s="1"/>
  <c r="E34" i="1"/>
  <c r="F33" i="1"/>
  <c r="B28" i="7" s="1"/>
  <c r="E33" i="1"/>
  <c r="D34" i="1"/>
  <c r="I32" i="1"/>
  <c r="I31" i="1"/>
  <c r="I30" i="1"/>
  <c r="H32" i="1"/>
  <c r="G32" i="1"/>
  <c r="F32" i="1"/>
  <c r="E32" i="1"/>
  <c r="H31" i="1"/>
  <c r="G31" i="1"/>
  <c r="F31" i="1"/>
  <c r="E31" i="1"/>
  <c r="H30" i="1"/>
  <c r="G30" i="1"/>
  <c r="F30" i="1"/>
  <c r="D32" i="1"/>
  <c r="D31" i="1"/>
  <c r="D30" i="1"/>
  <c r="E30" i="1"/>
  <c r="M26" i="3"/>
  <c r="M20" i="3"/>
  <c r="B21" i="7"/>
  <c r="B20" i="7"/>
  <c r="E13" i="7"/>
  <c r="C13" i="7"/>
  <c r="F47" i="7"/>
  <c r="F49" i="7" s="1"/>
  <c r="E47" i="7"/>
  <c r="E49" i="7" s="1"/>
  <c r="H44" i="7"/>
  <c r="H43" i="7"/>
  <c r="H42" i="7"/>
  <c r="D23" i="7"/>
  <c r="C23" i="7"/>
  <c r="C49" i="7" s="1"/>
  <c r="E11" i="7"/>
  <c r="D11" i="7"/>
  <c r="D13" i="7" s="1"/>
  <c r="H7" i="7"/>
  <c r="D49" i="7" l="1"/>
  <c r="H47" i="7"/>
  <c r="M19" i="3" l="1"/>
  <c r="M43" i="3"/>
  <c r="M42" i="3"/>
  <c r="M52" i="3"/>
  <c r="M51" i="3"/>
  <c r="M50" i="3"/>
  <c r="M49" i="3" l="1"/>
  <c r="K55" i="3"/>
  <c r="J34" i="1" s="1"/>
  <c r="K54" i="3"/>
  <c r="I34" i="1" s="1"/>
  <c r="J49" i="3"/>
  <c r="L53" i="3"/>
  <c r="Q53" i="3" s="1"/>
  <c r="L52" i="3"/>
  <c r="Q52" i="3" s="1"/>
  <c r="L51" i="3"/>
  <c r="Q51" i="3" s="1"/>
  <c r="L17" i="3"/>
  <c r="Q17" i="3" s="1"/>
  <c r="L16" i="3"/>
  <c r="Q16" i="3" s="1"/>
  <c r="L15" i="3"/>
  <c r="Q15" i="3" s="1"/>
  <c r="L14" i="3"/>
  <c r="Q14" i="3" s="1"/>
  <c r="L13" i="3"/>
  <c r="Q13" i="3" s="1"/>
  <c r="Q24" i="3"/>
  <c r="Q23" i="3"/>
  <c r="Q20" i="3"/>
  <c r="L19" i="3"/>
  <c r="Q19" i="3" s="1"/>
  <c r="Q37" i="3"/>
  <c r="Q36" i="3"/>
  <c r="Q28" i="3"/>
  <c r="M22" i="3"/>
  <c r="M21" i="3"/>
  <c r="M38" i="3"/>
  <c r="M33" i="3"/>
  <c r="T30" i="3"/>
  <c r="H28" i="10" s="1"/>
  <c r="L54" i="3" l="1"/>
  <c r="Q54" i="3" s="1"/>
  <c r="L55" i="3"/>
  <c r="Q55" i="3" s="1"/>
  <c r="Q38" i="3"/>
  <c r="Q21" i="3"/>
  <c r="Q22" i="3"/>
  <c r="Q27" i="3"/>
  <c r="J45" i="3"/>
  <c r="H33" i="1" s="1"/>
  <c r="J44" i="3"/>
  <c r="J41" i="3" s="1"/>
  <c r="Q34" i="3"/>
  <c r="M44" i="3" l="1"/>
  <c r="G33" i="1"/>
  <c r="B36" i="7" s="1"/>
  <c r="Q35" i="3"/>
  <c r="I29" i="3"/>
  <c r="I25" i="3"/>
  <c r="I18" i="3"/>
  <c r="J12" i="3"/>
  <c r="I12" i="3"/>
  <c r="K12" i="3"/>
  <c r="F9" i="1"/>
  <c r="E9" i="1"/>
  <c r="D9" i="1"/>
  <c r="B9" i="7" s="1"/>
  <c r="F8" i="1"/>
  <c r="D8" i="1"/>
  <c r="B8" i="7" s="1"/>
  <c r="F7" i="1"/>
  <c r="D7" i="1"/>
  <c r="I29" i="1"/>
  <c r="I36" i="1" s="1"/>
  <c r="G29" i="1"/>
  <c r="B34" i="7" s="1"/>
  <c r="F29" i="1"/>
  <c r="J7" i="1"/>
  <c r="J11" i="1" s="1"/>
  <c r="F5" i="1"/>
  <c r="D5" i="1"/>
  <c r="E5" i="1"/>
  <c r="F6" i="1"/>
  <c r="E6" i="1"/>
  <c r="D6" i="1"/>
  <c r="M25" i="3"/>
  <c r="M29" i="3"/>
  <c r="M12" i="3"/>
  <c r="K25" i="3"/>
  <c r="J25" i="3"/>
  <c r="K29" i="3"/>
  <c r="K18" i="3"/>
  <c r="J18" i="3"/>
  <c r="T26" i="3"/>
  <c r="H24" i="10" s="1"/>
  <c r="L26" i="3"/>
  <c r="Q26" i="3" s="1"/>
  <c r="T13" i="3"/>
  <c r="H11" i="10" s="1"/>
  <c r="L50" i="3"/>
  <c r="Q50" i="3" s="1"/>
  <c r="J46" i="3"/>
  <c r="I46" i="3"/>
  <c r="K46" i="3"/>
  <c r="K41" i="3"/>
  <c r="I41" i="3"/>
  <c r="I49" i="3"/>
  <c r="K49" i="3"/>
  <c r="L44" i="3"/>
  <c r="Q44" i="3" s="1"/>
  <c r="Q33" i="3"/>
  <c r="L48" i="3"/>
  <c r="Q48" i="3" s="1"/>
  <c r="L47" i="3"/>
  <c r="Q47" i="3" s="1"/>
  <c r="P44" i="3"/>
  <c r="P43" i="3"/>
  <c r="L43" i="3"/>
  <c r="Q43" i="3" s="1"/>
  <c r="L42" i="3"/>
  <c r="L30" i="3"/>
  <c r="Q30" i="3" s="1"/>
  <c r="M11" i="3"/>
  <c r="Q32" i="3"/>
  <c r="Q31" i="3"/>
  <c r="P20" i="3"/>
  <c r="F24" i="1"/>
  <c r="E24" i="1"/>
  <c r="D24" i="1"/>
  <c r="H24" i="1" s="1"/>
  <c r="H22" i="1"/>
  <c r="H21" i="1"/>
  <c r="H20" i="1"/>
  <c r="H19" i="1"/>
  <c r="H18" i="1"/>
  <c r="H13" i="1"/>
  <c r="T47" i="3"/>
  <c r="H45" i="10" s="1"/>
  <c r="L46" i="3" l="1"/>
  <c r="L41" i="3"/>
  <c r="B39" i="7"/>
  <c r="H39" i="7" s="1"/>
  <c r="D33" i="1"/>
  <c r="F36" i="1"/>
  <c r="B26" i="7"/>
  <c r="B31" i="7" s="1"/>
  <c r="G36" i="1"/>
  <c r="K10" i="3"/>
  <c r="K40" i="3"/>
  <c r="K39" i="3" s="1"/>
  <c r="H29" i="1"/>
  <c r="H36" i="1" s="1"/>
  <c r="D4" i="1"/>
  <c r="J29" i="1"/>
  <c r="J36" i="1" s="1"/>
  <c r="F4" i="1"/>
  <c r="F11" i="1" s="1"/>
  <c r="H8" i="7"/>
  <c r="B11" i="7"/>
  <c r="B13" i="7" s="1"/>
  <c r="I40" i="3"/>
  <c r="I39" i="3" s="1"/>
  <c r="Q11" i="3"/>
  <c r="Q42" i="3"/>
  <c r="T11" i="3"/>
  <c r="H9" i="10" s="1"/>
  <c r="J29" i="3"/>
  <c r="J10" i="3" s="1"/>
  <c r="E8" i="1"/>
  <c r="H8" i="1" s="1"/>
  <c r="D29" i="1"/>
  <c r="E7" i="1"/>
  <c r="E4" i="1" s="1"/>
  <c r="E29" i="1"/>
  <c r="L18" i="3"/>
  <c r="L45" i="3"/>
  <c r="Q45" i="3" s="1"/>
  <c r="L49" i="3"/>
  <c r="H9" i="1"/>
  <c r="E36" i="1" l="1"/>
  <c r="B18" i="7"/>
  <c r="B23" i="7" s="1"/>
  <c r="H23" i="7" s="1"/>
  <c r="D36" i="1"/>
  <c r="H31" i="7"/>
  <c r="B49" i="7"/>
  <c r="E11" i="1"/>
  <c r="I10" i="3"/>
  <c r="I57" i="3" s="1"/>
  <c r="F6" i="7"/>
  <c r="F11" i="7" s="1"/>
  <c r="F13" i="7" s="1"/>
  <c r="D11" i="1"/>
  <c r="J40" i="3"/>
  <c r="J39" i="3" s="1"/>
  <c r="M41" i="3"/>
  <c r="M40" i="3" s="1"/>
  <c r="M39" i="3" s="1"/>
  <c r="J22" i="1"/>
  <c r="J21" i="1"/>
  <c r="L12" i="3"/>
  <c r="L36" i="1" l="1"/>
  <c r="H49" i="7"/>
  <c r="H11" i="1"/>
  <c r="L40" i="3"/>
  <c r="L39" i="3" s="1"/>
  <c r="H6" i="7"/>
  <c r="H11" i="7" s="1"/>
  <c r="H13" i="7" s="1"/>
  <c r="H6" i="1"/>
  <c r="J19" i="1" l="1"/>
  <c r="H5" i="1" l="1"/>
  <c r="H7" i="1"/>
  <c r="H4" i="1" l="1"/>
  <c r="J20" i="1"/>
  <c r="J18" i="1"/>
  <c r="J12" i="1"/>
  <c r="T44" i="3" l="1"/>
  <c r="H42" i="10" s="1"/>
  <c r="T43" i="3"/>
  <c r="H41" i="10" s="1"/>
  <c r="L29" i="3"/>
  <c r="L25" i="3"/>
  <c r="K57" i="3" l="1"/>
  <c r="J57" i="3"/>
  <c r="L10" i="3"/>
  <c r="L57"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A5B0FCE1-A349-4D86-A529-7FBF3645B51B}">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DAB754D7-4B35-4B6F-A913-2688D166B892}">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792F8A4B-4F6D-4F1D-9FED-46A6D809B4E2}">
      <text>
        <r>
          <rPr>
            <b/>
            <sz val="9"/>
            <color indexed="81"/>
            <rFont val="Tahoma"/>
            <family val="2"/>
          </rPr>
          <t>Task Lead</t>
        </r>
        <r>
          <rPr>
            <sz val="9"/>
            <color indexed="81"/>
            <rFont val="Tahoma"/>
            <family val="2"/>
          </rPr>
          <t xml:space="preserve">
Enter the name of the Task Lead in this column.</t>
        </r>
      </text>
    </comment>
    <comment ref="D7" authorId="0" shapeId="0" xr:uid="{6F7B6C56-C87A-4201-8FA7-CCE13E29BB28}">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3647FED9-7256-4888-8152-26D745320971}">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366B88F5-6C69-4436-95EF-25C46C172D5C}">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2E5C96D3-1BE1-42C0-9FAF-28E10157FC4A}">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36FD9D0B-5C67-42EF-B854-06169F34375A}">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F943AC7F-9B29-4184-842D-0D49A8B5EC36}">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<sst xmlns="http://schemas.openxmlformats.org/spreadsheetml/2006/main" count="709" uniqueCount="442">
  <si>
    <t>TOTALE</t>
  </si>
  <si>
    <t>Servizi Applicativi</t>
  </si>
  <si>
    <t>MEV/MAD</t>
  </si>
  <si>
    <t xml:space="preserve">Supporto specialistico Applicativo </t>
  </si>
  <si>
    <t>Servizi di Call Center</t>
  </si>
  <si>
    <t>TOTALI DA PDF</t>
  </si>
  <si>
    <t>ID</t>
  </si>
  <si>
    <t>STATO</t>
  </si>
  <si>
    <t>Previsione di Spesa</t>
  </si>
  <si>
    <t>Riferimenti rendicontazione</t>
  </si>
  <si>
    <t>Titolo attività</t>
  </si>
  <si>
    <t>Rendicontato effettivo (consuntivo)</t>
  </si>
  <si>
    <t>Servizio</t>
  </si>
  <si>
    <t>Trimestre riferimento rendicontazione</t>
  </si>
  <si>
    <t>Percentuale rendicontazione</t>
  </si>
  <si>
    <t>Ownership</t>
  </si>
  <si>
    <t>% Completamento</t>
  </si>
  <si>
    <t>Note</t>
  </si>
  <si>
    <t>DA AVVIARE</t>
  </si>
  <si>
    <t>1.1</t>
  </si>
  <si>
    <t>Sviluppo software</t>
  </si>
  <si>
    <t>RILASCIATO IN ESERCIZIO</t>
  </si>
  <si>
    <t>IN CORSO</t>
  </si>
  <si>
    <t>COMPLETATO</t>
  </si>
  <si>
    <t>Leonardo</t>
  </si>
  <si>
    <t>Supp. Spec. App. (Consumo)</t>
  </si>
  <si>
    <t>CANCELLATO</t>
  </si>
  <si>
    <t>SERVIZI DI CALL CENTER</t>
  </si>
  <si>
    <t>Servizi Desk(Canone)</t>
  </si>
  <si>
    <t>SERVIZI DI SUPPORTO SPECIALISTICO APPLICATIVO</t>
  </si>
  <si>
    <t>Stati</t>
  </si>
  <si>
    <t>Priorità</t>
  </si>
  <si>
    <t>Attori</t>
  </si>
  <si>
    <t>Referenti</t>
  </si>
  <si>
    <t>Tipologia attività</t>
  </si>
  <si>
    <t>PIANIFICATO</t>
  </si>
  <si>
    <t>1-Alta</t>
  </si>
  <si>
    <t>Progettuale</t>
  </si>
  <si>
    <t>Supporto Specialistico (a consumo)</t>
  </si>
  <si>
    <t>2-Media</t>
  </si>
  <si>
    <t>Continuativa</t>
  </si>
  <si>
    <t>3-Bassa</t>
  </si>
  <si>
    <t>DA RIPIANIFICARE</t>
  </si>
  <si>
    <t>NECESSARI APPROFONDIMENTI PER AVVIO</t>
  </si>
  <si>
    <t>DA PIANIFICARE</t>
  </si>
  <si>
    <t>RILASCIATO IN COLLAUDO</t>
  </si>
  <si>
    <t>ESITO POSITIVO AL COLLAUDO</t>
  </si>
  <si>
    <t>CODICE PIANO LDCSIN / CODICE COMPUTO</t>
  </si>
  <si>
    <t>denominazione Piano / descrizione computo</t>
  </si>
  <si>
    <t>001</t>
  </si>
  <si>
    <t>Fascicolo Aziendale OC</t>
  </si>
  <si>
    <t>002</t>
  </si>
  <si>
    <t>Fascicolo Aziendale OP</t>
  </si>
  <si>
    <t>003</t>
  </si>
  <si>
    <t>Condizionalità (SICC - Sistema integrato di controllo e condizionalità)</t>
  </si>
  <si>
    <t>006</t>
  </si>
  <si>
    <t>Miele</t>
  </si>
  <si>
    <t>007</t>
  </si>
  <si>
    <t>Domanda Unica</t>
  </si>
  <si>
    <t>008</t>
  </si>
  <si>
    <t xml:space="preserve">Tabacco </t>
  </si>
  <si>
    <t>009</t>
  </si>
  <si>
    <t>Latte</t>
  </si>
  <si>
    <t>010</t>
  </si>
  <si>
    <t>Aiuti nazionali filiere zootecniche</t>
  </si>
  <si>
    <t>011</t>
  </si>
  <si>
    <t>Ortofrutta fresca (programmi operativi)</t>
  </si>
  <si>
    <t>012</t>
  </si>
  <si>
    <t>PIANO PER LA RIGENERAZIONE OLIVICOLA DELLA PUGLIA DM 2484/2020 -INTERVENTI COMPENSATIVI A FAVORE DEI FRANTOI OLEARI</t>
  </si>
  <si>
    <t>014</t>
  </si>
  <si>
    <t>Registro titoli</t>
  </si>
  <si>
    <t>015</t>
  </si>
  <si>
    <t>Servizi fitosanitari</t>
  </si>
  <si>
    <t>016</t>
  </si>
  <si>
    <t>VCM</t>
  </si>
  <si>
    <t>017</t>
  </si>
  <si>
    <t>Agricoltura Biologica /SIB - sistema informatico del biologico</t>
  </si>
  <si>
    <t>018</t>
  </si>
  <si>
    <t>Sviluppo rurale -aiuti a superfici</t>
  </si>
  <si>
    <t>019</t>
  </si>
  <si>
    <t>Set aside strutturale</t>
  </si>
  <si>
    <t>020</t>
  </si>
  <si>
    <t>Sviluppo Rurale - Aiuti a strutture</t>
  </si>
  <si>
    <t>021</t>
  </si>
  <si>
    <t>CAI/Condizionalità</t>
  </si>
  <si>
    <t>022</t>
  </si>
  <si>
    <t>Programmi di sostegno all'olio d'oliva</t>
  </si>
  <si>
    <t>023</t>
  </si>
  <si>
    <t>Produzione integrata</t>
  </si>
  <si>
    <t>024</t>
  </si>
  <si>
    <t>Vino - distillazione,  arricchimento e magazzinaggio</t>
  </si>
  <si>
    <t>025</t>
  </si>
  <si>
    <t>Controlli oggettivi software</t>
  </si>
  <si>
    <t>026</t>
  </si>
  <si>
    <t>Potenziale produttivo viticolo - settore</t>
  </si>
  <si>
    <t>027</t>
  </si>
  <si>
    <t>Estirpazione e ristrutturazione vigneti; Ristrutturazione e riconversione vigneti</t>
  </si>
  <si>
    <t>028</t>
  </si>
  <si>
    <t>PIANO PER LA RIGENERAZIONE OLIVICOLA DELLA PUGLIA DM 2484/2020 - REIMPIANTI OLIVI ZONA INFETTA e SALVAGUARDIA OLIVI SECOLARI E MONUMENTALI</t>
  </si>
  <si>
    <t>029</t>
  </si>
  <si>
    <t>Vino - raccolta/produzione e giacenza</t>
  </si>
  <si>
    <t>030</t>
  </si>
  <si>
    <t>Domande di aiuto nazionale al settore vitivinicolo (Contenimento delle rese e stoccaggio vini)</t>
  </si>
  <si>
    <t>031</t>
  </si>
  <si>
    <t>Ulteriori servizi a supporto per il coordinamento - Controlli CAA II Livello</t>
  </si>
  <si>
    <t>032</t>
  </si>
  <si>
    <t>Vendemmia verde</t>
  </si>
  <si>
    <t>033</t>
  </si>
  <si>
    <t>Registri di carico e scarico (DL 91/2014 - LEGGE 116 11/8/2014)</t>
  </si>
  <si>
    <t>034</t>
  </si>
  <si>
    <t>Portale</t>
  </si>
  <si>
    <t>035</t>
  </si>
  <si>
    <t>Gestione posizioni amministrative (esecuzione pagamenti)</t>
  </si>
  <si>
    <t>036</t>
  </si>
  <si>
    <t>Monitoraggio Spese e Tabella delle X (OP ed OC)</t>
  </si>
  <si>
    <t>037</t>
  </si>
  <si>
    <t>Ulteriori servizi a supporto per il coordinamento - Controlli ex-post Reg. 1306/2013</t>
  </si>
  <si>
    <t>038</t>
  </si>
  <si>
    <t>Interscambio</t>
  </si>
  <si>
    <t>039</t>
  </si>
  <si>
    <t>GEOTAG</t>
  </si>
  <si>
    <t>040</t>
  </si>
  <si>
    <t>Protocollo</t>
  </si>
  <si>
    <t>041</t>
  </si>
  <si>
    <t>Aiuti agli indigenti</t>
  </si>
  <si>
    <t>042</t>
  </si>
  <si>
    <t>Sistemi di supporto alle decisioni</t>
  </si>
  <si>
    <t>043</t>
  </si>
  <si>
    <t>Aiuti di stato (registro)</t>
  </si>
  <si>
    <t>044</t>
  </si>
  <si>
    <t>Registro nazionale operatori ortofrutticoli (rno)</t>
  </si>
  <si>
    <t>045</t>
  </si>
  <si>
    <t>Monitoraggio e supporto alle decisioni</t>
  </si>
  <si>
    <t>046</t>
  </si>
  <si>
    <t>GIS</t>
  </si>
  <si>
    <t>047</t>
  </si>
  <si>
    <t>Sgu - sistema gestione utenti</t>
  </si>
  <si>
    <t>048</t>
  </si>
  <si>
    <t>Crediti da Irregolarita', crediti settoriali, garanzie e pignoramenti</t>
  </si>
  <si>
    <t>049</t>
  </si>
  <si>
    <t>Contabilita'</t>
  </si>
  <si>
    <t>050</t>
  </si>
  <si>
    <t>Registro Nazionale Debiti</t>
  </si>
  <si>
    <t>051</t>
  </si>
  <si>
    <t>Vino - programmi di promozione</t>
  </si>
  <si>
    <t>052</t>
  </si>
  <si>
    <t>DM GELATE - Aiuto ai frantoi colpiti da gelate</t>
  </si>
  <si>
    <t>053</t>
  </si>
  <si>
    <t>DM 9361598 del 4/12/2020 - Aiuti IV Gamma e I Gamma evoluta</t>
  </si>
  <si>
    <t>054</t>
  </si>
  <si>
    <t>Olio - Interventi per la filiera olivicola – art. 1 Legge 30 dicembre 2020, n. 178</t>
  </si>
  <si>
    <t>060</t>
  </si>
  <si>
    <t>Oli vegetali puri</t>
  </si>
  <si>
    <t>061</t>
  </si>
  <si>
    <t>Vino - misura a investimenti</t>
  </si>
  <si>
    <t>062</t>
  </si>
  <si>
    <t>Pesca</t>
  </si>
  <si>
    <t>063</t>
  </si>
  <si>
    <t>Sistema di Monitoraggio PSR 2023-2027</t>
  </si>
  <si>
    <t>065</t>
  </si>
  <si>
    <t>Filiera olio:icqrf-tracciabilita' prodotto olio di oliva</t>
  </si>
  <si>
    <t>066</t>
  </si>
  <si>
    <t>Aiuti generalizzati e ulteriori servizi a supporto</t>
  </si>
  <si>
    <t>068</t>
  </si>
  <si>
    <t>MAIN-Pagamenti Pregressi</t>
  </si>
  <si>
    <t>069</t>
  </si>
  <si>
    <t xml:space="preserve">Aiuti nazionali alle superfici </t>
  </si>
  <si>
    <t>070</t>
  </si>
  <si>
    <t>APPLICAZIONI PER DISPOSITIVI MOBILI</t>
  </si>
  <si>
    <t>071</t>
  </si>
  <si>
    <t>Assicurazioni agricole agevolate M17.1 OI</t>
  </si>
  <si>
    <t>072</t>
  </si>
  <si>
    <t>Sistema di prevenzione delle frodi</t>
  </si>
  <si>
    <t>073</t>
  </si>
  <si>
    <t>Repository Unico dei Certificati</t>
  </si>
  <si>
    <t>074</t>
  </si>
  <si>
    <t xml:space="preserve">Monitoring sentinel (AMS Area Monitoring Sentinel) </t>
  </si>
  <si>
    <t>075</t>
  </si>
  <si>
    <t>Contabilità economica e controllo di gestione</t>
  </si>
  <si>
    <t>076</t>
  </si>
  <si>
    <t>Assicurazioni agricole agevolate M17.1 OP</t>
  </si>
  <si>
    <t>077</t>
  </si>
  <si>
    <t>Assicurazioni agricole agevolate nazionali</t>
  </si>
  <si>
    <t>078</t>
  </si>
  <si>
    <t>Assicurazioni agricole agevolate M17.2 OI</t>
  </si>
  <si>
    <t>079</t>
  </si>
  <si>
    <t>Assicurazioni agricole agevolate M17.2 OP</t>
  </si>
  <si>
    <t>080</t>
  </si>
  <si>
    <t>Infrastruttura tecnologica</t>
  </si>
  <si>
    <t>081</t>
  </si>
  <si>
    <t>Supporto Uffici Agea L4</t>
  </si>
  <si>
    <t>082</t>
  </si>
  <si>
    <t xml:space="preserve">Controlli amministrativi, in loco ed ex post per le domande di pagamento delle misure 10,2,1 4,3,1 20,1,1 20,2,1 e 16,2,1 del PSRN e RRN </t>
  </si>
  <si>
    <t>083</t>
  </si>
  <si>
    <t>Nuova PAC</t>
  </si>
  <si>
    <t>084</t>
  </si>
  <si>
    <t>Aiuti nazionali alle imprese di trasformazione zootecniche</t>
  </si>
  <si>
    <t>085</t>
  </si>
  <si>
    <t>Registro delle operazioni colturali (Adozione del quaderno di campagna elettronico)</t>
  </si>
  <si>
    <t>086</t>
  </si>
  <si>
    <t>Monitoraggio osservatorio agrometeorologico</t>
  </si>
  <si>
    <t>087</t>
  </si>
  <si>
    <t>Servizi on demand</t>
  </si>
  <si>
    <t>088</t>
  </si>
  <si>
    <t xml:space="preserve"> Zone agricole svantaggiate per l’agricoltura</t>
  </si>
  <si>
    <t>090</t>
  </si>
  <si>
    <t>Assicurazioni agricole agevolate M17.3 OI</t>
  </si>
  <si>
    <t>091</t>
  </si>
  <si>
    <t>Assicurazioni agricole agevolate M17.3 OP</t>
  </si>
  <si>
    <t>092</t>
  </si>
  <si>
    <t>Data Platform and Business Intelligence</t>
  </si>
  <si>
    <t>093</t>
  </si>
  <si>
    <t>Data Governance</t>
  </si>
  <si>
    <t>094</t>
  </si>
  <si>
    <t>PNRR – Innovazione e meccanizzazione</t>
  </si>
  <si>
    <t>095</t>
  </si>
  <si>
    <t>Interoperabilità</t>
  </si>
  <si>
    <t>096</t>
  </si>
  <si>
    <t>SCHEDARI</t>
  </si>
  <si>
    <t>097</t>
  </si>
  <si>
    <t>sistema di supporto all’Ufficio Tecnico</t>
  </si>
  <si>
    <t>SETTORI AGGIUNTI</t>
  </si>
  <si>
    <t>NECESSARI APPROFONDIMENTI PER L'AVVIO</t>
  </si>
  <si>
    <t>RIPIANIFICATA</t>
  </si>
  <si>
    <t>Definizione precondizioni operative</t>
  </si>
  <si>
    <t>PRESA IN CARICO</t>
  </si>
  <si>
    <t>Incontri con Amministrazione</t>
  </si>
  <si>
    <t>Consegna  e Convalida</t>
  </si>
  <si>
    <t>I SEM 2025</t>
  </si>
  <si>
    <t>IV TRIM 2023</t>
  </si>
  <si>
    <t>MEV</t>
  </si>
  <si>
    <t>Sviluppo</t>
  </si>
  <si>
    <t>Assistenza spec</t>
  </si>
  <si>
    <t>Call center</t>
  </si>
  <si>
    <t>Conduzione Applicativa</t>
  </si>
  <si>
    <t>3.2</t>
  </si>
  <si>
    <t>Sviluppo Software gg/persona</t>
  </si>
  <si>
    <t>PdF</t>
  </si>
  <si>
    <t>TOTALE 
PIANIFICATO</t>
  </si>
  <si>
    <t>3.1</t>
  </si>
  <si>
    <t>1.3</t>
  </si>
  <si>
    <t>Knowledge Transfer</t>
  </si>
  <si>
    <t>Abaco</t>
  </si>
  <si>
    <t>Anno rendicontazione</t>
  </si>
  <si>
    <t>I TRIMESTRE 2024</t>
  </si>
  <si>
    <t>I TRIMESTRE 2025</t>
  </si>
  <si>
    <t>II TRIMESTRE 2025</t>
  </si>
  <si>
    <t>II TRIMESTRE 2024</t>
  </si>
  <si>
    <t>III TRIMESTRE 2024</t>
  </si>
  <si>
    <t>IV TRIMESTRE 2024</t>
  </si>
  <si>
    <t>III TRIMESTRE 2025</t>
  </si>
  <si>
    <t>IV TRIMESTRE 2025</t>
  </si>
  <si>
    <t>1.4</t>
  </si>
  <si>
    <t>Data rilascio in Produzione</t>
  </si>
  <si>
    <t>1.2</t>
  </si>
  <si>
    <t>3.3</t>
  </si>
  <si>
    <t xml:space="preserve">RILASCIO 1 - Rif. Doc. fase unica PT000849TECH001 </t>
  </si>
  <si>
    <t xml:space="preserve">RILASCIO 2 - Rif. Doc. fase unica PT000849TECH001 </t>
  </si>
  <si>
    <t xml:space="preserve">RILASCIO 4 - Rif. Doc. fase unica PT000849TECH001 </t>
  </si>
  <si>
    <t xml:space="preserve">RILASCIO 5 - Rif. Doc. fase unica PT000849TECH001 </t>
  </si>
  <si>
    <t>Conduzione applicativa(Consumo)</t>
  </si>
  <si>
    <t>Totale Collaudato</t>
  </si>
  <si>
    <t>Pianificato</t>
  </si>
  <si>
    <t>Totale  Pianificato</t>
  </si>
  <si>
    <t>Disponibilità Piattaforma GARI BASE</t>
  </si>
  <si>
    <t>2024</t>
  </si>
  <si>
    <t>RILASCIO 3 - Rif. Doc. fase unica PT000849TECH001</t>
  </si>
  <si>
    <t>1.5</t>
  </si>
  <si>
    <t>2023</t>
  </si>
  <si>
    <t>Residuo da Pianificare</t>
  </si>
  <si>
    <t>III TRIMESTRE 2023</t>
  </si>
  <si>
    <t>IV TRIMESTRE 2023</t>
  </si>
  <si>
    <t>2025</t>
  </si>
  <si>
    <t>Supporto Specialistico  2024</t>
  </si>
  <si>
    <t>Supporto Specialistico - I TRIM 2024</t>
  </si>
  <si>
    <t>Supporto Specialistico - II TRIM 2024</t>
  </si>
  <si>
    <t>Supporto Specialistico - I TRIM 2025</t>
  </si>
  <si>
    <t>Supporto Specialistio  2025</t>
  </si>
  <si>
    <t>Supporto Specialistico - II TRIM 2025</t>
  </si>
  <si>
    <t>I TRIM 2024</t>
  </si>
  <si>
    <t>II TRIM 2024</t>
  </si>
  <si>
    <t>III TRIM 2024</t>
  </si>
  <si>
    <t>IV TRIM 2024</t>
  </si>
  <si>
    <t>I TRIM 2025</t>
  </si>
  <si>
    <t>II TRIM 2025</t>
  </si>
  <si>
    <t>MEV GARI-PA per porting (IV TRIM 23) su nuovo ambiente di tutti i moduli (BASE, PUA, QDCA, UMA)</t>
  </si>
  <si>
    <t>MEV - GARI QDCA - DSS - solo front-end (no algoritmi /API) + adeguamento salvataggio su GARI degli output relativi ai consigli dei Modelli Previsionali difesa e Irrigazione + Meteo (DSS)</t>
  </si>
  <si>
    <t>2.1</t>
  </si>
  <si>
    <t>2.2</t>
  </si>
  <si>
    <t>4.1</t>
  </si>
  <si>
    <t>4.2</t>
  </si>
  <si>
    <t>GARI - QDCA</t>
  </si>
  <si>
    <t>GARI BASE</t>
  </si>
  <si>
    <t>GARI PUA</t>
  </si>
  <si>
    <t>Report ARPA: dati di impiego dei prodotti fitosanitari</t>
  </si>
  <si>
    <t>2.3</t>
  </si>
  <si>
    <t>2.4</t>
  </si>
  <si>
    <t>2.5</t>
  </si>
  <si>
    <t>2.6</t>
  </si>
  <si>
    <t>GARI PA - UMA</t>
  </si>
  <si>
    <t>4.3</t>
  </si>
  <si>
    <t>4.4</t>
  </si>
  <si>
    <t>4.5</t>
  </si>
  <si>
    <t>4.6</t>
  </si>
  <si>
    <t>4.7</t>
  </si>
  <si>
    <t>4.8</t>
  </si>
  <si>
    <t>6.1</t>
  </si>
  <si>
    <t>6.2</t>
  </si>
  <si>
    <t>TOTALE 
PdF</t>
  </si>
  <si>
    <t>Data Ricezione Richiesta Intervento</t>
  </si>
  <si>
    <t>Supporto Specialistico -  III TRIM 2024</t>
  </si>
  <si>
    <t xml:space="preserve">Supporto Specialistico -  IV TRIM 2024 </t>
  </si>
  <si>
    <t xml:space="preserve">Sviluppo SW GARI - DSS per misure ACA </t>
  </si>
  <si>
    <t>Attivazione registri bio nel contesto del  QDCA GARI, setting, configurazioni, profilazioni utenti, ecc.</t>
  </si>
  <si>
    <t>4.9</t>
  </si>
  <si>
    <t>Previsto da Progetto dei Fabbisogni</t>
  </si>
  <si>
    <t>Scheda richiesta intervento 16_11_23 - GIAS-PA UMA-Rev.1.1 del 16/11/2023</t>
  </si>
  <si>
    <t>Scheda richiesta intervento GARI Umbria PUA-Rev.1.0 del 11/06/2024</t>
  </si>
  <si>
    <t>GARI Umbria - Intervento dati impiego fitosanitari - pec del 1/8/2024</t>
  </si>
  <si>
    <t>GARI-BASE Re-ingegnerizzazione della piattaforma GIAS per implementare la nuova piattaforma GARI su nuove tecnologie ( i.e  tecnologia Angular)</t>
  </si>
  <si>
    <t>Implementazione del Modulo di Gestione dei documenti funzionale ai moduli GARI (Evolutive, installazione, configurazione/setting e profilazione utenza)</t>
  </si>
  <si>
    <t>Sviluppo SW GARI - Misure ACA</t>
  </si>
  <si>
    <t>Previsto da Progetto dei Fabbisogni per quanto concerne il passaggio all'utilizzo del PCG.</t>
  </si>
  <si>
    <t xml:space="preserve">Sviluppo funzionalità di Interlavoro con il sistema SIAN per importare il Piano colturale Grafico AGEA, compendiato dagli attributi catastali alfanumerici e altre informazioni legate alle consistenze aziendali funzionali alla gestione GARI
Con acquisizione dei dati di fascicolo necessari ai procedimenti del GARI se e come esposti da AGEA. </t>
  </si>
  <si>
    <t>Acquisizione ,raccordo e verifica dei dati  Meteo/DSS da sorgenti esterne</t>
  </si>
  <si>
    <t>Acquisizione, raccordo e verifica dei dati  Meteo/DSS da sorgenti esterne</t>
  </si>
  <si>
    <t>Revisione dei moduli QUADERNO SQNPI e BIO  per essere utilizzabili e integrabili  sulle nuove tecnologie introdotte con il paradigma PCG</t>
  </si>
  <si>
    <t>GARI Umbria Interventi ACA rev 01.00 ( ricevuta via pec del 04/03/2024)</t>
  </si>
  <si>
    <t>Specifiche Progettazione RU-9992150707-BASE-SP-01.01 del 31/12/2023
Specifiche Progettazione RU-9992150707-UMA-SP-01.01 del 31/12/2023
Specifiche Progettazione RU-9992150707-PUA-SP-01.01 del 31/12/2023
Specifiche Progettazione RU-9992150707-QUAD-SP-01.01 del 31/12/2023</t>
  </si>
  <si>
    <t>Specifiche Progettazione RU-9992150707-BASE-SP-02.00</t>
  </si>
  <si>
    <t xml:space="preserve">Data Accettazione Documentazione </t>
  </si>
  <si>
    <t>Nuovi Sviluppi UMA - DOCUMENTAZIONE FASE UNICA Rev. 2.1 del 15/01/2024</t>
  </si>
  <si>
    <t>Nuovi Sviluppi UMA - DOCUMENTAZIONE FASE UNICA Rev. 2.3 del 23/02/2024</t>
  </si>
  <si>
    <t>Nuovi Sviluppi UMA - DOCUMENTAZIONE FASE UNICA Rev. 2.4 del 19/04/2024</t>
  </si>
  <si>
    <t>Nuovi Sviluppi UMA - DOCUMENTAZIONE FASE UNICA Rev. 2.5 del 07/06/2024</t>
  </si>
  <si>
    <t>Nuovi Sviluppi UMA - DOCUMENTAZIONE FASE UNICA Rev. 2.6</t>
  </si>
  <si>
    <t>Data Consegna Documentazione da parte RTI</t>
  </si>
  <si>
    <t>UMA  Re-ingegnerizzazione della piattaforma GIAS per implementare la nuova piattaforma GARI su nuove tecnologie introdotte con il paradigma PCG</t>
  </si>
  <si>
    <t>Documento di FASE UNICA RU-9992150707-PUA-Sviluppi-FU-01.00 del 24/07/2024</t>
  </si>
  <si>
    <t>GARI-PUA Re-ingegnerizzazione della piattaforma GIAS per implementare la nuova piattaforma GARI su nuove tecnologie ( i.e  tecnologia Angular)</t>
  </si>
  <si>
    <t>QCDA-Re-ingegnerizzazione della piattaforma GIAS per implementare la nuova piattaforma GARI su nuove tecnologie ( i.e  tecnologia Angular)</t>
  </si>
  <si>
    <t>Specifiche Progettazione RU-9992150707-PUA-SP-02.00</t>
  </si>
  <si>
    <t>Documento di FASE UNICA RU-9992150707-ACA-FU-01.02 del 01/08/2024</t>
  </si>
  <si>
    <t>Documento di FASE UNICA RU-9992150707-QUAD-Report_Fito-FU-01.00 del 28/08/2024</t>
  </si>
  <si>
    <t>Specifiche Progettazione RU-9992150707-QUAD-SP-02.00</t>
  </si>
  <si>
    <t>Implementazione del modulo GARI-GIS  per la gestione( nel contesto GIS) i dati importati dal SIAN relativi al PCG (nuovo sistema di riferimento wgs84)</t>
  </si>
  <si>
    <t>Gestione delle Anagrafiche (risorse , macchine, analisi terreno etc)</t>
  </si>
  <si>
    <t xml:space="preserve">Nuovo Modulo PUA incluso la interoperabilità con ACA per le 04 13 e 24 - Fase1 </t>
  </si>
  <si>
    <t>Nuovo Modulo PUA collegamento e funzionamento su base PCG - Fase2</t>
  </si>
  <si>
    <t>N.A.</t>
  </si>
  <si>
    <t>Documento in redazione</t>
  </si>
  <si>
    <t>Servizi call center - I TRIM 2024</t>
  </si>
  <si>
    <t>Servizi call center - II TRIM 2024</t>
  </si>
  <si>
    <t>Servizi call center - III TRIM 2024</t>
  </si>
  <si>
    <t>Servizi call center - IV TRIM 2024</t>
  </si>
  <si>
    <t>Servizi call center - I TRIM 2025</t>
  </si>
  <si>
    <t>Servizi call center - II TRIM 2025</t>
  </si>
  <si>
    <t>Piano Lavoro Obiettivo -GARI Umbria - Interventi ACA Rev.01.00</t>
  </si>
  <si>
    <t>Piano Lavoro Obiettivo - Gestione ACA DSS</t>
  </si>
  <si>
    <t>Piano Lavoro Obiettivo -  Gestione SRA ACA</t>
  </si>
  <si>
    <t>Piano Lavoro Obiettivo - Sviluppi PUA</t>
  </si>
  <si>
    <t>Piano Lavoro Obiettivo - Report Fitosanitari</t>
  </si>
  <si>
    <t>Piano Lavoro Obiettivo- Gestione UMA 1</t>
  </si>
  <si>
    <t>Piano Lavoro Obiettivo- Gestione UMA 2</t>
  </si>
  <si>
    <t>Piano Lavoro Obiettivo- Gestione UMA 3</t>
  </si>
  <si>
    <t>Piano Lavoro Obiettivo- Gestione UMA 4</t>
  </si>
  <si>
    <t>Piano Lavoro Obiettivo - Gestione UMA 5</t>
  </si>
  <si>
    <t>5.1</t>
  </si>
  <si>
    <t>5.1.1</t>
  </si>
  <si>
    <t>5.1.2</t>
  </si>
  <si>
    <t>5.1.3</t>
  </si>
  <si>
    <t>5.1.4</t>
  </si>
  <si>
    <t>5.2</t>
  </si>
  <si>
    <t>5.2.1</t>
  </si>
  <si>
    <t>5.2.2</t>
  </si>
  <si>
    <t>6.3</t>
  </si>
  <si>
    <t>6.4</t>
  </si>
  <si>
    <t>6.5</t>
  </si>
  <si>
    <t>6.6</t>
  </si>
  <si>
    <t>LEONARDO</t>
  </si>
  <si>
    <t>DXC</t>
  </si>
  <si>
    <t>ABACO</t>
  </si>
  <si>
    <t>E-GEOS</t>
  </si>
  <si>
    <t>GREEN-AUS</t>
  </si>
  <si>
    <t>ANNO 2023</t>
  </si>
  <si>
    <t>Servzi Infrastrutturali</t>
  </si>
  <si>
    <t>Servizi di supporto specialistico</t>
  </si>
  <si>
    <t>Call Center</t>
  </si>
  <si>
    <t>TOTALI</t>
  </si>
  <si>
    <t>IV Trimestre 2023</t>
  </si>
  <si>
    <t>TOTALE ANNO 2023</t>
  </si>
  <si>
    <t>ANNO 2024</t>
  </si>
  <si>
    <t>I Trimestre 2024</t>
  </si>
  <si>
    <t>Compilati</t>
  </si>
  <si>
    <t>II Trimestre 2024</t>
  </si>
  <si>
    <t>III Trimestre 2024</t>
  </si>
  <si>
    <t>IV Trimestre 2024</t>
  </si>
  <si>
    <t>TOTALE ANNO 2024</t>
  </si>
  <si>
    <t>SERVIZI APPLICATIVI - ATTIVITA' DI CARATTERE PROGETTUALE
(Sviluppo SW + MEV+Supporto Specialistico Operativo)</t>
  </si>
  <si>
    <t xml:space="preserve">ATTIVITA' DI CARATTERE CONTINUATIVO (NON PROGETTUALE)
</t>
  </si>
  <si>
    <t xml:space="preserve">Supporto Specialistico Applicativo </t>
  </si>
  <si>
    <t>Predecessore
/vincoli</t>
  </si>
  <si>
    <t>Deliverable Associato</t>
  </si>
  <si>
    <t>Piano di lavoro obiettivo</t>
  </si>
  <si>
    <t>Obiettivo/Intervento</t>
  </si>
  <si>
    <t>Data di pronti al Collaudo</t>
  </si>
  <si>
    <t xml:space="preserve">Display Week </t>
  </si>
  <si>
    <t xml:space="preserve">Project Lead </t>
  </si>
  <si>
    <r>
      <rPr>
        <i/>
        <u/>
        <sz val="8"/>
        <color theme="1" tint="0.34998626667073579"/>
        <rFont val="Arial"/>
        <family val="2"/>
      </rPr>
      <t>Gantt Chart Template</t>
    </r>
    <r>
      <rPr>
        <i/>
        <sz val="8"/>
        <color theme="1" tint="0.34998626667073579"/>
        <rFont val="Arial"/>
        <family val="2"/>
      </rPr>
      <t xml:space="preserve"> © 2006-2018 by Vertex42.com.</t>
    </r>
  </si>
  <si>
    <t>WBS</t>
  </si>
  <si>
    <t>TASK</t>
  </si>
  <si>
    <t>LEAD</t>
  </si>
  <si>
    <t>Regione Umbria - GARI</t>
  </si>
  <si>
    <t>Data Inizio Progetto</t>
  </si>
  <si>
    <t>PREDECESSORI</t>
  </si>
  <si>
    <t>INIZIO</t>
  </si>
  <si>
    <t>FINE</t>
  </si>
  <si>
    <t>Durata gg</t>
  </si>
  <si>
    <t>% COMPLETAMENTO</t>
  </si>
  <si>
    <t>GIORNI Lavorativi</t>
  </si>
  <si>
    <t>Documento di FASE UNICA RU-9992150707-ACA_DSS-FU-01.00 del 14/06/2024</t>
  </si>
  <si>
    <t>Manca documento archietturale Ver.02.00 modificato come concordato  per valutare l'ambiente rilasciato e le caratteristiche di superamento dellle osservazioni presenti nel verbale del 22 gennaio, presa in carico del open source consegnato dal RTI a Regione Umbria</t>
  </si>
  <si>
    <t>Da capire come procedere alla luce di quanto scritto dal DEC</t>
  </si>
  <si>
    <t>Per chiudere e liquidare questo:
•	Comunicazione e certificazione della installazione del modulo UMA 2024 finale nel Cloud di Esercizio;
•	Disponibilità del manuale uso utente rilasciato per gli  utilizzatori;
•	inserimento nel Repository regionale della documentazione finale di rilascio prevista per i software posti in esercizio, con verbale congiunto di constatazione e presa in carico del gruppo di lavoro dell’Help Desk di primo livello;
•	Definizione e verifica dei documenti amministrativi di chiusura, presa in carico del prodotto per la liquidazione dell’importo complessivo UMA previsto dal progetto 2023/2024;
•	Predisposizione e rilascio del Piano di Assistenza per l’UMA in esercizio da rendicontare nell’assistenza applicativa prevista dal contratto.</t>
  </si>
  <si>
    <r>
      <t xml:space="preserve">DA PREVEDERE NEL PIANO LAVORO OBIETTIVO 
1. documento tecniconell'ultima versione del RTI come valutazione tecnico funzionale del modello di servizio rilasciato nel GARI.  A riguardo è essenziale che il GARI / DSS </t>
    </r>
    <r>
      <rPr>
        <b/>
        <sz val="16"/>
        <color rgb="FFFF0000"/>
        <rFont val="Calibri"/>
        <family val="2"/>
      </rPr>
      <t xml:space="preserve"> abbia strumenti e canali digitali di richiesta partendo dai dati delle Aziende, in grado di assumere, registrare e conservare elaborati/ documentali;
</t>
    </r>
    <r>
      <rPr>
        <sz val="16"/>
        <color rgb="FFFF0000"/>
        <rFont val="Calibri"/>
        <family val="2"/>
      </rPr>
      <t>2. A compendio  dovrà essere previsto un contesto professionale del RTI a supporto e in grado di assicurare il change management ad una struttura composta da personale di uffici regionale del fitosanitario e/o dei colleghi referenti ACA (fertilizzazione e irrigazione) sull'utilizzo dell'ambiente e dei relativi servizi in assistenza dell'utenza territoriale</t>
    </r>
  </si>
  <si>
    <t>Questo va inserito ormai nel documento compelssivo SQNPI / ACA  di cui ai punti 31. 3.2 3.3</t>
  </si>
  <si>
    <t>Come da documento presentato e  approvato tecnicamente e per cui occorre procedere con:
• Piano degli interventi di sviluppo software e dei rilasci previsti per rispondere alle esigenze          
• Piano di installazione del modulo/servizi SQNPI nel cloud di esercizio del GARI, secondo il processo di attivazione dell’uso della funzionalità concordato nelle riunioni del 4 e del 5 novembre
• Quadro del dettaglio dei costi gli interventi complessivi previsti per gli sviluppi e per l’attivazione del modulo/servizi
• Piano di formazione degli utenti e di rilascio della documentazione d’uso del prodotto
• Elenco degli output complessivi previsti dall’attività della proposta (sorgente, compilato, documenti)</t>
  </si>
  <si>
    <t>Mancano le relazioni sul lavoro svolto come previsto anche al capitolo 9 del Piano generale di lavoro WORD</t>
  </si>
  <si>
    <t>Non è possibile ripartire le economie o le poste economiche di cose non realizzate nelle altre Voci aumentando gli importi rispetto al Piano precedente a parità della attività indicate!!!!!
Gli impegni economici non impiegati vanno un una sezione del piano "Residui di Progetto" che sono a discrezione del RUP per riposizionare nuove attività o sviluppare ulteriormente quelle già in corso ma non nuove cose rispetto a quelle già previste che mantegono la previsione indicata e approvata.
Questo per ASSICURARE UN CRITERIO DI CONGRUITA' ESENZIALE IN QUESTO CONTESTO PERCHè NON ESISTONO DOCUMENTI DI DETTAGLIO CHE GIUSTIFICHINI LO STUDIO DEL VALORE E L'APPROVAZIONE. In pratica se io approvo una voce nel Piano ver. 1 e non la faccio nel Piano ver.2 non può combiare prezzo a parità di lavoro se no quella precedente non era congruità!!!!!</t>
  </si>
  <si>
    <t>Per questa sezione di progetto deve essere previsto un vero e proprio PIANO di LAVORO OBIETTIVO  in cui siano descritti e aggiornati, a seguito di rilasci del software incrementale, i servizi resi e le modalità di erogazione.
Questo piano trimestralmente come indicato nelle righe sotto va rendicontato con un documento apposito che possiamo condividere ci sono modelli usati a riguardo in altri progetti, semplici ed efficaci.</t>
  </si>
  <si>
    <t>Per chiudere questa operazione e accettare il punto 1.1 occorre:
• la documentazione della ver.20.02 come messa a punto delle SOLE non conformità sollevate con il collaudo ufficiale del 22 gennaio 2024;
• Risistemazione di tutti i documenti già trasmessi secondo le indicazioni ricevute dopo la lettura degli stessi da parte della Regione e delle indicazioni inviate;
• rilascio nell’ambiente cloud test/collaudo e nel Repository del codice Sorgente, del codice compilato e della documentazione già prodotta e sistemata versionata come 01.01, come consegna del prodotto Open source commissionato da Regione ad RTI per la continuità di servizio dell’ex GIAS e collaudato il 22 gennaio 2024 con verbale registrato. Per i documenti vedi la nota già mandata nei giorni passati con i tipi di documenti previsti per i rilascio del software GARI; 
• Verbale della presa d’atto (probabilmente che faremo in questo mese) del rilascio della versione 01.01 con le no conformità non risolte</t>
  </si>
  <si>
    <t>Manca il documento di specifiche tecniche GARI per la realizzazione di questa progettualità del GARI BAsE.
Non è stato rilasciato dal RTI alcun documento tecnico a corredo che consente una approvazione a procedere da parte della Regione o comunque che ne testimonia la conoscenza. 
il documento rilasciato a "marzo" come ver.02 è lontano molto, troppo dal quello  che è stato presentato nelle slide delle scorse settimane e in ogni caso non è documentato da alcun documento di cui la Regione è in possesso che può giustificare la frase "in corso" 
pertanto è ESSENZIALE che sia rilasciato entro questo mese per poter essere considerato con questo appellativo</t>
  </si>
  <si>
    <t>NO! va previsto come da avviare nel documento ACA (4.2. e 4.3)  come ingegnerizzazione del modulo della var. 1 per gli sviluppi della ver 2
Necessario perché esistono PEC della Regione che contestano la non autorizzazione del punto 3.1</t>
  </si>
  <si>
    <t>NO! va tutto previsto nel documento di proposta del PUA come è stato prodotto dal RTI e va completato con quanto previsto al punto 3.1
Necessario perché esistono PEC della Regione che contestano la non autorizzazione del punto 3.1</t>
  </si>
  <si>
    <t>Liquidabile a completamento note concordate</t>
  </si>
  <si>
    <t>Autorizzato a seguiito della produziine del documeno di anlisi del'archiettura GARI/SIAN grafico con servizi di interoperabilità e presenza Fascicolo SIAN/GARI esteso</t>
  </si>
  <si>
    <t>Predisporre un docuimento ad hoc integrando anche esigenze gestionali 2025</t>
  </si>
  <si>
    <t>Autorizzato dopo incontri e rilascio documento unico comprensivo porting UMA in GARI BASE grafico</t>
  </si>
  <si>
    <t>Autorizzato dopo incontri e rilascio documento unico comprensivo porting QUAD (41. 4.8 4.9 ) comprensivo di Quade  poriting in ambiente gaio grafico</t>
  </si>
  <si>
    <t>Autorizzato</t>
  </si>
  <si>
    <t>vedi nota 4.1</t>
  </si>
  <si>
    <t>Predisporre un Piano di esercizio e produrre i SAL trimestrale delle attività sulla bsa della caratterizzazione dei profili professionali previsit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</si>
</sst>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8" formatCode="#,##0.00\ &quot;€&quot;;[Red]\-#,##0.00\ &quot;€&quot;"/>
    <numFmt numFmtId="44" formatCode="_-* #,##0.00\ &quot;€&quot;_-;\-* #,##0.00\ &quot;€&quot;_-;_-* &quot;-&quot;??\ &quot;€&quot;_-;_-@_-"/>
    <numFmt numFmtId="164" formatCode="_-* #,##0.00\ _€_-;\-* #,##0.00\ _€_-;_-* &quot;-&quot;??\ _€_-;_-@_-"/>
    <numFmt numFmtId="165" formatCode="[$-409]d\-mmm\-yy;@"/>
    <numFmt numFmtId="166" formatCode="ddd\,\ d/m/yyyy"/>
    <numFmt numFmtId="167" formatCode="#,##0.00\ &quot;€&quot;"/>
    <numFmt numFmtId="168" formatCode="dd/mm/yy;@"/>
    <numFmt numFmtId="169" formatCode="_([$€-2]\ * #,##0.00_);_([$€-2]\ * \(#,##0.00\);_([$€-2]\ * &quot;-&quot;??_);_(@_)"/>
    <numFmt numFmtId="170" formatCode="[$€-2]\ #,##0.00"/>
    <numFmt numFmtId="171" formatCode="_-[$€-2]\ * #,##0.00_-;\-[$€-2]\ * #,##0.00_-;_-[$€-2]\ * &quot;-&quot;??_-;_-@_-"/>
    <numFmt numFmtId="172" formatCode="d"/>
    <numFmt numFmtId="173" formatCode="m/d/yyyy\ \(dddd\)"/>
    <numFmt numFmtId="174" formatCode="d\ mmm\ yyyy"/>
    <numFmt numFmtId="175" formatCode="ddd\ m/dd/yy"/>
    <numFmt numFmtId="176" formatCode="ddd\ dd/m/yy"/>
    <numFmt numFmtId="177" formatCode="ddd\ dd/mm/yy"/>
  </numFmts>
  <fonts count="8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
      <sz val="16"/>
      <color theme="1"/>
      <name val="Calibri"/>
      <family val="2"/>
      <scheme val="minor"/>
    </font>
    <font>
      <b/>
      <sz val="16"/>
      <color theme="1"/>
      <name val="Calibri"/>
      <family val="2"/>
      <scheme val="minor"/>
    </font>
    <font>
      <sz val="18"/>
      <color theme="1"/>
      <name val="Calibri"/>
      <family val="2"/>
      <scheme val="minor"/>
    </font>
    <font>
      <b/>
      <i/>
      <sz val="16"/>
      <color theme="1"/>
      <name val="Calibri"/>
      <family val="2"/>
      <scheme val="minor"/>
    </font>
    <font>
      <sz val="14"/>
      <color theme="1"/>
      <name val="Calibri"/>
      <family val="2"/>
      <scheme val="minor"/>
    </font>
    <font>
      <sz val="20"/>
      <color theme="1"/>
      <name val="Calibri"/>
      <family val="2"/>
      <scheme val="minor"/>
    </font>
    <font>
      <sz val="12"/>
      <color theme="1"/>
      <name val="Calibri"/>
      <family val="2"/>
      <scheme val="minor"/>
    </font>
    <font>
      <b/>
      <sz val="16"/>
      <color theme="0"/>
      <name val="Calibri"/>
      <family val="2"/>
      <scheme val="minor"/>
    </font>
    <font>
      <b/>
      <sz val="14"/>
      <color theme="1"/>
      <name val="Calibri"/>
      <family val="2"/>
      <scheme val="minor"/>
    </font>
    <font>
      <sz val="16"/>
      <color theme="0"/>
      <name val="Calibri"/>
      <family val="2"/>
      <scheme val="minor"/>
    </font>
    <font>
      <sz val="16"/>
      <name val="Calibri"/>
      <family val="2"/>
      <scheme val="minor"/>
    </font>
    <font>
      <b/>
      <sz val="16"/>
      <name val="Calibri"/>
      <family val="2"/>
      <scheme val="minor"/>
    </font>
    <font>
      <sz val="11"/>
      <name val="Calibri"/>
      <family val="2"/>
      <scheme val="minor"/>
    </font>
    <font>
      <sz val="24"/>
      <color theme="1"/>
      <name val="Calibri"/>
      <family val="2"/>
      <scheme val="minor"/>
    </font>
    <font>
      <b/>
      <sz val="16"/>
      <color indexed="2"/>
      <name val="Calibri"/>
      <family val="2"/>
      <scheme val="minor"/>
    </font>
    <font>
      <b/>
      <sz val="12"/>
      <color theme="0"/>
      <name val="Calibri"/>
      <family val="2"/>
      <scheme val="minor"/>
    </font>
    <font>
      <b/>
      <sz val="12"/>
      <color theme="1"/>
      <name val="Calibri"/>
      <family val="2"/>
      <scheme val="minor"/>
    </font>
    <font>
      <sz val="12"/>
      <color theme="1"/>
      <name val="Calibri"/>
      <family val="2"/>
    </font>
    <font>
      <b/>
      <sz val="8"/>
      <color theme="1"/>
      <name val="Calibri"/>
      <family val="2"/>
      <scheme val="minor"/>
    </font>
    <font>
      <sz val="11"/>
      <color theme="1"/>
      <name val="Calibri"/>
      <family val="2"/>
    </font>
    <font>
      <sz val="11"/>
      <name val="Arial"/>
      <family val="2"/>
    </font>
    <font>
      <sz val="10"/>
      <name val="Arial"/>
      <family val="2"/>
    </font>
    <font>
      <sz val="11"/>
      <color theme="1"/>
      <name val="Calibri"/>
      <family val="2"/>
      <scheme val="minor"/>
    </font>
    <font>
      <sz val="8"/>
      <name val="Calibri"/>
      <family val="2"/>
      <scheme val="minor"/>
    </font>
    <font>
      <b/>
      <i/>
      <sz val="12"/>
      <color theme="0"/>
      <name val="Calibri"/>
      <family val="2"/>
      <scheme val="minor"/>
    </font>
    <font>
      <b/>
      <i/>
      <sz val="12"/>
      <color theme="1"/>
      <name val="Calibri"/>
      <family val="2"/>
      <scheme val="minor"/>
    </font>
    <font>
      <b/>
      <sz val="12"/>
      <color theme="4" tint="-0.249977111117893"/>
      <name val="Calibri"/>
      <family val="2"/>
      <scheme val="minor"/>
    </font>
    <font>
      <b/>
      <i/>
      <sz val="12"/>
      <color theme="4" tint="-0.249977111117893"/>
      <name val="Calibri"/>
      <family val="2"/>
      <scheme val="minor"/>
    </font>
    <font>
      <i/>
      <sz val="12"/>
      <color theme="1"/>
      <name val="Calibri"/>
      <family val="2"/>
      <scheme val="minor"/>
    </font>
    <font>
      <b/>
      <sz val="10"/>
      <color theme="1"/>
      <name val="Calibri"/>
      <family val="2"/>
      <scheme val="minor"/>
    </font>
    <font>
      <i/>
      <sz val="12"/>
      <name val="Calibri"/>
      <family val="2"/>
      <scheme val="minor"/>
    </font>
    <font>
      <sz val="12"/>
      <name val="Calibri"/>
      <family val="2"/>
      <scheme val="minor"/>
    </font>
    <font>
      <sz val="10"/>
      <color indexed="64"/>
      <name val="Arial"/>
      <family val="2"/>
    </font>
    <font>
      <b/>
      <sz val="11"/>
      <color theme="1"/>
      <name val="Calibri"/>
      <family val="2"/>
      <scheme val="minor"/>
    </font>
    <font>
      <b/>
      <sz val="16"/>
      <color theme="1"/>
      <name val="Calibri"/>
      <family val="2"/>
    </font>
    <font>
      <i/>
      <sz val="16"/>
      <color theme="1"/>
      <name val="Calibri"/>
      <family val="2"/>
      <scheme val="minor"/>
    </font>
    <font>
      <sz val="16"/>
      <color theme="1"/>
      <name val="Calibri"/>
      <family val="2"/>
    </font>
    <font>
      <b/>
      <i/>
      <sz val="16"/>
      <color theme="4" tint="-0.249977111117893"/>
      <name val="Calibri"/>
      <family val="2"/>
      <scheme val="minor"/>
    </font>
    <font>
      <b/>
      <sz val="16"/>
      <color theme="4" tint="-0.249977111117893"/>
      <name val="Calibri"/>
      <family val="2"/>
      <scheme val="minor"/>
    </font>
    <font>
      <b/>
      <sz val="16"/>
      <color rgb="FFFF0000"/>
      <name val="Calibri"/>
      <family val="2"/>
      <scheme val="minor"/>
    </font>
    <font>
      <i/>
      <sz val="16"/>
      <name val="Calibri"/>
      <family val="2"/>
      <scheme val="minor"/>
    </font>
    <font>
      <b/>
      <i/>
      <sz val="16"/>
      <color rgb="FFFF0000"/>
      <name val="Calibri"/>
      <family val="2"/>
      <scheme val="minor"/>
    </font>
    <font>
      <sz val="16"/>
      <name val="Calibri"/>
      <family val="2"/>
    </font>
    <font>
      <i/>
      <sz val="16"/>
      <color theme="9" tint="-0.249977111117893"/>
      <name val="Calibri"/>
      <family val="2"/>
      <scheme val="minor"/>
    </font>
    <font>
      <b/>
      <sz val="11"/>
      <color theme="3"/>
      <name val="Calibri"/>
      <family val="2"/>
      <scheme val="minor"/>
    </font>
    <font>
      <b/>
      <sz val="11"/>
      <color theme="0"/>
      <name val="Calibri"/>
      <family val="2"/>
      <scheme val="minor"/>
    </font>
    <font>
      <b/>
      <sz val="18"/>
      <color theme="1"/>
      <name val="Calibri"/>
      <family val="2"/>
      <scheme val="minor"/>
    </font>
    <font>
      <b/>
      <sz val="24"/>
      <color theme="1"/>
      <name val="Calibri"/>
      <family val="2"/>
      <scheme val="minor"/>
    </font>
    <font>
      <b/>
      <sz val="11"/>
      <color theme="6" tint="-0.499984740745262"/>
      <name val="Calibri"/>
      <family val="2"/>
      <scheme val="minor"/>
    </font>
    <font>
      <b/>
      <sz val="11"/>
      <color theme="9" tint="-0.249977111117893"/>
      <name val="Calibri"/>
      <family val="2"/>
      <scheme val="minor"/>
    </font>
    <font>
      <u/>
      <sz val="11"/>
      <color theme="10"/>
      <name val="Calibri"/>
      <family val="2"/>
      <scheme val="minor"/>
    </font>
    <font>
      <sz val="10"/>
      <name val="Calibri"/>
      <family val="2"/>
      <scheme val="minor"/>
    </font>
    <font>
      <b/>
      <sz val="11"/>
      <name val="Calibri"/>
      <family val="2"/>
      <scheme val="minor"/>
    </font>
    <font>
      <sz val="9"/>
      <name val="Calibri"/>
      <family val="2"/>
      <scheme val="minor"/>
    </font>
    <font>
      <sz val="10"/>
      <name val="Calibri Light"/>
      <family val="2"/>
      <scheme val="major"/>
    </font>
    <font>
      <sz val="10"/>
      <name val="Calibri Light"/>
      <family val="1"/>
      <scheme val="major"/>
    </font>
    <font>
      <sz val="8"/>
      <name val="Arial"/>
      <family val="2"/>
    </font>
    <font>
      <sz val="16"/>
      <color theme="4" tint="-0.249977111117893"/>
      <name val="Calibri Light"/>
      <family val="1"/>
      <scheme val="major"/>
    </font>
    <font>
      <sz val="14"/>
      <color indexed="56"/>
      <name val="Arial"/>
      <family val="2"/>
    </font>
    <font>
      <i/>
      <sz val="8"/>
      <color theme="1" tint="0.34998626667073579"/>
      <name val="Arial"/>
      <family val="2"/>
    </font>
    <font>
      <i/>
      <u/>
      <sz val="8"/>
      <color theme="1" tint="0.34998626667073579"/>
      <name val="Arial"/>
      <family val="2"/>
    </font>
    <font>
      <sz val="11"/>
      <name val="Calibri Light"/>
      <family val="1"/>
      <scheme val="major"/>
    </font>
    <font>
      <sz val="9"/>
      <name val="Arial"/>
      <family val="2"/>
    </font>
    <font>
      <u/>
      <sz val="8"/>
      <color indexed="12"/>
      <name val="Arial"/>
      <family val="2"/>
    </font>
    <font>
      <sz val="7"/>
      <color indexed="55"/>
      <name val="Arial"/>
      <family val="2"/>
    </font>
    <font>
      <b/>
      <sz val="9"/>
      <name val="Calibri Light"/>
      <family val="2"/>
      <scheme val="major"/>
    </font>
    <font>
      <b/>
      <sz val="8"/>
      <name val="Calibri Light"/>
      <family val="2"/>
      <scheme val="major"/>
    </font>
    <font>
      <sz val="14"/>
      <name val="Calibri"/>
      <family val="2"/>
      <scheme val="minor"/>
    </font>
    <font>
      <sz val="9"/>
      <color rgb="FF000000"/>
      <name val="Calibri"/>
      <family val="2"/>
      <scheme val="minor"/>
    </font>
    <font>
      <sz val="14"/>
      <color rgb="FF000000"/>
      <name val="Calibri"/>
      <family val="2"/>
      <scheme val="minor"/>
    </font>
    <font>
      <b/>
      <sz val="9"/>
      <color indexed="81"/>
      <name val="Tahoma"/>
      <family val="2"/>
    </font>
    <font>
      <sz val="9"/>
      <color indexed="81"/>
      <name val="Tahoma"/>
      <family val="2"/>
    </font>
    <font>
      <b/>
      <i/>
      <sz val="9"/>
      <color indexed="81"/>
      <name val="Tahoma"/>
      <family val="2"/>
    </font>
    <font>
      <i/>
      <sz val="9"/>
      <color indexed="81"/>
      <name val="Tahoma"/>
      <family val="2"/>
    </font>
    <font>
      <sz val="9"/>
      <color theme="0"/>
      <name val="Calibri"/>
      <family val="2"/>
      <scheme val="minor"/>
    </font>
    <font>
      <i/>
      <sz val="16"/>
      <color rgb="FFCCECFF"/>
      <name val="Calibri"/>
      <family val="2"/>
      <scheme val="minor"/>
    </font>
    <font>
      <sz val="20"/>
      <color rgb="FFFF0000"/>
      <name val="Calibri"/>
      <family val="2"/>
      <scheme val="minor"/>
    </font>
    <font>
      <sz val="16"/>
      <color rgb="FFFF0000"/>
      <name val="Calibri"/>
      <family val="2"/>
      <scheme val="minor"/>
    </font>
    <font>
      <b/>
      <sz val="16"/>
      <color rgb="FFFF0000"/>
      <name val="Calibri"/>
      <family val="2"/>
    </font>
    <font>
      <sz val="16"/>
      <color rgb="FFFF0000"/>
      <name val="Calibri"/>
      <family val="2"/>
    </font>
    <font>
      <b/>
      <sz val="18"/>
      <color rgb="FFFF0000"/>
      <name val="Calibri"/>
      <family val="2"/>
      <scheme val="minor"/>
    </font>
  </fonts>
  <fills count="49">
    <fill>
      <patternFill patternType="none"/>
    </fill>
    <fill>
      <patternFill patternType="gray125"/>
    </fill>
    <fill>
      <patternFill patternType="solid">
        <fgColor theme="0" tint="-4.9989318521683403E-2"/>
        <bgColor theme="0" tint="-0.499984740745262"/>
      </patternFill>
    </fill>
    <fill>
      <patternFill patternType="solid">
        <fgColor theme="0" tint="-4.9989318521683403E-2"/>
        <bgColor theme="0" tint="-4.9989318521683403E-2"/>
      </patternFill>
    </fill>
    <fill>
      <patternFill patternType="solid">
        <fgColor rgb="FF0070C0"/>
        <bgColor rgb="FF0070C0"/>
      </patternFill>
    </fill>
    <fill>
      <patternFill patternType="solid">
        <fgColor rgb="FF0070C0"/>
        <bgColor theme="0" tint="-4.9989318521683403E-2"/>
      </patternFill>
    </fill>
    <fill>
      <patternFill patternType="solid">
        <fgColor theme="0"/>
        <bgColor theme="0" tint="-4.9989318521683403E-2"/>
      </patternFill>
    </fill>
    <fill>
      <patternFill patternType="solid">
        <fgColor theme="0" tint="-0.499984740745262"/>
        <bgColor theme="0" tint="-4.9989318521683403E-2"/>
      </patternFill>
    </fill>
    <fill>
      <patternFill patternType="solid">
        <fgColor theme="0" tint="-0.499984740745262"/>
        <bgColor theme="0" tint="-0.499984740745262"/>
      </patternFill>
    </fill>
    <fill>
      <patternFill patternType="solid">
        <fgColor theme="3" tint="0.79998168889431442"/>
        <bgColor theme="0" tint="-0.499984740745262"/>
      </patternFill>
    </fill>
    <fill>
      <patternFill patternType="solid">
        <fgColor theme="7" tint="0.79998168889431442"/>
        <bgColor theme="7" tint="0.79998168889431442"/>
      </patternFill>
    </fill>
    <fill>
      <patternFill patternType="solid">
        <fgColor theme="0"/>
        <bgColor theme="6" tint="0.59999389629810485"/>
      </patternFill>
    </fill>
    <fill>
      <patternFill patternType="solid">
        <fgColor theme="4" tint="-0.249977111117893"/>
        <bgColor theme="4" tint="-0.249977111117893"/>
      </patternFill>
    </fill>
    <fill>
      <patternFill patternType="solid">
        <fgColor theme="0"/>
        <bgColor theme="0"/>
      </patternFill>
    </fill>
    <fill>
      <patternFill patternType="solid">
        <fgColor indexed="5"/>
        <bgColor indexed="5"/>
      </patternFill>
    </fill>
    <fill>
      <patternFill patternType="solid">
        <fgColor theme="4" tint="0.79998168889431442"/>
        <bgColor theme="4" tint="0.79998168889431442"/>
      </patternFill>
    </fill>
    <fill>
      <patternFill patternType="solid">
        <fgColor theme="4" tint="0.79998168889431442"/>
        <bgColor theme="6" tint="0.79998168889431442"/>
      </patternFill>
    </fill>
    <fill>
      <patternFill patternType="solid">
        <fgColor theme="4" tint="0.79998168889431442"/>
        <bgColor indexed="64"/>
      </patternFill>
    </fill>
    <fill>
      <patternFill patternType="solid">
        <fgColor theme="4" tint="0.79998168889431442"/>
        <bgColor theme="0" tint="-4.9989318521683403E-2"/>
      </patternFill>
    </fill>
    <fill>
      <patternFill patternType="solid">
        <fgColor theme="4" tint="0.79998168889431442"/>
        <bgColor theme="0"/>
      </patternFill>
    </fill>
    <fill>
      <patternFill patternType="solid">
        <fgColor theme="4" tint="0.79998168889431442"/>
        <bgColor theme="6" tint="0.59999389629810485"/>
      </patternFill>
    </fill>
    <fill>
      <patternFill patternType="solid">
        <fgColor theme="4" tint="0.79998168889431442"/>
        <bgColor indexed="2"/>
      </patternFill>
    </fill>
    <fill>
      <patternFill patternType="solid">
        <fgColor theme="9" tint="0.79998168889431442"/>
        <bgColor indexed="64"/>
      </patternFill>
    </fill>
    <fill>
      <patternFill patternType="solid">
        <fgColor theme="7" tint="0.39997558519241921"/>
        <bgColor indexed="64"/>
      </patternFill>
    </fill>
    <fill>
      <patternFill patternType="solid">
        <fgColor theme="7" tint="0.39997558519241921"/>
        <bgColor theme="6" tint="0.79998168889431442"/>
      </patternFill>
    </fill>
    <fill>
      <patternFill patternType="solid">
        <fgColor theme="7" tint="0.39997558519241921"/>
        <bgColor theme="0" tint="-4.9989318521683403E-2"/>
      </patternFill>
    </fill>
    <fill>
      <patternFill patternType="solid">
        <fgColor theme="7" tint="0.39997558519241921"/>
        <bgColor theme="0"/>
      </patternFill>
    </fill>
    <fill>
      <patternFill patternType="solid">
        <fgColor theme="9" tint="0.39997558519241921"/>
        <bgColor theme="0" tint="-4.9989318521683403E-2"/>
      </patternFill>
    </fill>
    <fill>
      <patternFill patternType="solid">
        <fgColor theme="9" tint="0.39997558519241921"/>
        <bgColor theme="6" tint="0.79998168889431442"/>
      </patternFill>
    </fill>
    <fill>
      <patternFill patternType="solid">
        <fgColor theme="9" tint="0.39997558519241921"/>
        <bgColor theme="0"/>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0" tint="-4.9989318521683403E-2"/>
        <bgColor theme="6" tint="0.59999389629810485"/>
      </patternFill>
    </fill>
    <fill>
      <patternFill patternType="solid">
        <fgColor theme="0" tint="-4.9989318521683403E-2"/>
        <bgColor theme="0"/>
      </patternFill>
    </fill>
    <fill>
      <patternFill patternType="solid">
        <fgColor rgb="FFFFFF00"/>
        <bgColor indexed="64"/>
      </patternFill>
    </fill>
    <fill>
      <patternFill patternType="solid">
        <fgColor theme="0" tint="-0.14999847407452621"/>
        <bgColor indexed="64"/>
      </patternFill>
    </fill>
    <fill>
      <patternFill patternType="solid">
        <fgColor theme="9" tint="0.59999389629810485"/>
        <bgColor theme="0" tint="-0.499984740745262"/>
      </patternFill>
    </fill>
    <fill>
      <patternFill patternType="solid">
        <fgColor theme="0"/>
        <bgColor indexed="64"/>
      </patternFill>
    </fill>
    <fill>
      <patternFill patternType="solid">
        <fgColor theme="6" tint="-0.499984740745262"/>
        <bgColor indexed="64"/>
      </patternFill>
    </fill>
    <fill>
      <patternFill patternType="solid">
        <fgColor theme="9" tint="-0.249977111117893"/>
        <bgColor indexed="64"/>
      </patternFill>
    </fill>
    <fill>
      <patternFill patternType="solid">
        <fgColor theme="0" tint="-0.499984740745262"/>
        <bgColor indexed="64"/>
      </patternFill>
    </fill>
    <fill>
      <patternFill patternType="solid">
        <fgColor indexed="9"/>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8" tint="0.79998168889431442"/>
        <bgColor indexed="64"/>
      </patternFill>
    </fill>
    <fill>
      <patternFill patternType="solid">
        <fgColor theme="8" tint="0.79998168889431442"/>
        <bgColor rgb="FFD6F4D9"/>
      </patternFill>
    </fill>
    <fill>
      <patternFill patternType="solid">
        <fgColor theme="2" tint="-0.499984740745262"/>
        <bgColor indexed="64"/>
      </patternFill>
    </fill>
    <fill>
      <patternFill patternType="solid">
        <fgColor theme="2" tint="-0.499984740745262"/>
        <bgColor rgb="FFD6F4D9"/>
      </patternFill>
    </fill>
    <fill>
      <patternFill patternType="solid">
        <fgColor rgb="FFFF0000"/>
        <bgColor indexed="64"/>
      </patternFill>
    </fill>
  </fills>
  <borders count="46">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style="thin">
        <color auto="1"/>
      </left>
      <right/>
      <top/>
      <bottom style="thin">
        <color auto="1"/>
      </bottom>
      <diagonal/>
    </border>
    <border>
      <left/>
      <right style="medium">
        <color indexed="64"/>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auto="1"/>
      </top>
      <bottom style="thin">
        <color auto="1"/>
      </bottom>
      <diagonal/>
    </border>
    <border>
      <left style="thin">
        <color indexed="64"/>
      </left>
      <right style="medium">
        <color indexed="64"/>
      </right>
      <top/>
      <bottom/>
      <diagonal/>
    </border>
    <border>
      <left/>
      <right style="medium">
        <color indexed="64"/>
      </right>
      <top style="medium">
        <color indexed="64"/>
      </top>
      <bottom style="thin">
        <color indexed="64"/>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
      <left/>
      <right/>
      <top style="thin">
        <color indexed="22"/>
      </top>
      <bottom style="thin">
        <color indexed="22"/>
      </bottom>
      <diagonal/>
    </border>
    <border>
      <left/>
      <right/>
      <top style="thin">
        <color rgb="FFEFEFEF"/>
      </top>
      <bottom style="thin">
        <color rgb="FFEFEFEF"/>
      </bottom>
      <diagonal/>
    </border>
    <border>
      <left/>
      <right style="medium">
        <color indexed="64"/>
      </right>
      <top style="thin">
        <color auto="1"/>
      </top>
      <bottom style="medium">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bottom/>
      <diagonal/>
    </border>
  </borders>
  <cellStyleXfs count="16">
    <xf numFmtId="0" fontId="0" fillId="0" borderId="0"/>
    <xf numFmtId="0" fontId="30" fillId="0" borderId="1" applyFill="0">
      <alignment horizontal="left" vertical="center" indent="2"/>
    </xf>
    <xf numFmtId="165" fontId="30" fillId="0" borderId="0" applyFont="0" applyFill="0" applyBorder="0"/>
    <xf numFmtId="165" fontId="30" fillId="0" borderId="0" applyFont="0" applyFill="0" applyBorder="0"/>
    <xf numFmtId="166" fontId="30" fillId="0" borderId="2">
      <alignment horizontal="center" vertical="center"/>
    </xf>
    <xf numFmtId="0" fontId="30" fillId="0" borderId="1" applyFill="0">
      <alignment horizontal="center" vertical="center"/>
    </xf>
    <xf numFmtId="0" fontId="30" fillId="0" borderId="0"/>
    <xf numFmtId="0" fontId="30" fillId="0" borderId="0"/>
    <xf numFmtId="9" fontId="30" fillId="0" borderId="0" applyFont="0" applyFill="0" applyBorder="0" applyProtection="0"/>
    <xf numFmtId="9" fontId="30" fillId="0" borderId="0" applyFont="0" applyFill="0" applyBorder="0" applyProtection="0"/>
    <xf numFmtId="0" fontId="7" fillId="0" borderId="0"/>
    <xf numFmtId="0" fontId="6" fillId="0" borderId="0"/>
    <xf numFmtId="0" fontId="40" fillId="0" borderId="0" applyNumberFormat="0" applyFill="0" applyBorder="0"/>
    <xf numFmtId="0" fontId="1" fillId="0" borderId="0"/>
    <xf numFmtId="9" fontId="1" fillId="0" borderId="0" applyFont="0" applyFill="0" applyBorder="0" applyAlignment="0" applyProtection="0"/>
    <xf numFmtId="0" fontId="58" fillId="0" borderId="0" applyNumberFormat="0" applyFill="0" applyBorder="0" applyAlignment="0" applyProtection="0"/>
  </cellStyleXfs>
  <cellXfs count="472">
    <xf numFmtId="0" fontId="0" fillId="0" borderId="0" xfId="0"/>
    <xf numFmtId="0" fontId="8" fillId="0" borderId="0" xfId="0" applyFont="1"/>
    <xf numFmtId="0" fontId="10" fillId="0" borderId="0" xfId="0" applyFont="1" applyAlignment="1">
      <alignment horizontal="right" vertical="top" wrapText="1"/>
    </xf>
    <xf numFmtId="0" fontId="8" fillId="0" borderId="0" xfId="0" applyFont="1" applyAlignment="1">
      <alignment vertical="top"/>
    </xf>
    <xf numFmtId="0" fontId="8" fillId="0" borderId="0" xfId="0" applyFont="1" applyAlignment="1">
      <alignment vertical="top" wrapText="1"/>
    </xf>
    <xf numFmtId="0" fontId="12" fillId="0" borderId="0" xfId="0" applyFont="1" applyAlignment="1">
      <alignment vertical="top"/>
    </xf>
    <xf numFmtId="0" fontId="13" fillId="0" borderId="0" xfId="0" applyFont="1" applyAlignment="1">
      <alignment vertical="top" wrapText="1"/>
    </xf>
    <xf numFmtId="0" fontId="10" fillId="0" borderId="0" xfId="0" applyFont="1" applyAlignment="1">
      <alignment vertical="top" wrapText="1"/>
    </xf>
    <xf numFmtId="0" fontId="10" fillId="0" borderId="0" xfId="0" applyFont="1" applyAlignment="1">
      <alignment horizontal="center"/>
    </xf>
    <xf numFmtId="0" fontId="10" fillId="0" borderId="0" xfId="0" applyFont="1"/>
    <xf numFmtId="0" fontId="10" fillId="0" borderId="0" xfId="0" applyFont="1" applyAlignment="1">
      <alignment horizontal="left" vertical="top" wrapText="1"/>
    </xf>
    <xf numFmtId="0" fontId="14" fillId="0" borderId="0" xfId="0" applyFont="1"/>
    <xf numFmtId="0" fontId="14" fillId="0" borderId="3" xfId="0" applyFont="1" applyBorder="1"/>
    <xf numFmtId="167" fontId="10" fillId="0" borderId="0" xfId="0" applyNumberFormat="1" applyFont="1" applyAlignment="1">
      <alignment horizontal="right" vertical="top" wrapText="1"/>
    </xf>
    <xf numFmtId="167" fontId="13" fillId="0" borderId="0" xfId="0" applyNumberFormat="1" applyFont="1" applyAlignment="1">
      <alignment horizontal="right" vertical="top" wrapText="1"/>
    </xf>
    <xf numFmtId="0" fontId="13" fillId="0" borderId="0" xfId="0" applyFont="1" applyAlignment="1">
      <alignment horizontal="right" vertical="top" wrapText="1"/>
    </xf>
    <xf numFmtId="0" fontId="0" fillId="0" borderId="3" xfId="0" applyBorder="1"/>
    <xf numFmtId="0" fontId="14" fillId="0" borderId="6" xfId="0" applyFont="1" applyBorder="1"/>
    <xf numFmtId="0" fontId="9" fillId="10" borderId="3" xfId="0" applyFont="1" applyFill="1" applyBorder="1" applyAlignment="1">
      <alignment horizontal="center" vertical="center"/>
    </xf>
    <xf numFmtId="164" fontId="10" fillId="0" borderId="0" xfId="0" applyNumberFormat="1" applyFont="1" applyAlignment="1">
      <alignment horizontal="right" vertical="top" wrapText="1"/>
    </xf>
    <xf numFmtId="0" fontId="24" fillId="14" borderId="3" xfId="0" applyFont="1" applyFill="1" applyBorder="1" applyAlignment="1">
      <alignment horizontal="center"/>
    </xf>
    <xf numFmtId="0" fontId="24" fillId="14" borderId="8" xfId="0" applyFont="1" applyFill="1" applyBorder="1" applyAlignment="1">
      <alignment horizontal="center"/>
    </xf>
    <xf numFmtId="0" fontId="24" fillId="14" borderId="0" xfId="0" applyFont="1" applyFill="1" applyAlignment="1">
      <alignment horizontal="center"/>
    </xf>
    <xf numFmtId="0" fontId="25" fillId="0" borderId="3" xfId="0" applyFont="1" applyBorder="1" applyAlignment="1">
      <alignment horizontal="center" vertical="center" wrapText="1"/>
    </xf>
    <xf numFmtId="0" fontId="14" fillId="0" borderId="3" xfId="0" applyFont="1" applyBorder="1" applyAlignment="1">
      <alignment horizontal="center"/>
    </xf>
    <xf numFmtId="0" fontId="14" fillId="0" borderId="6" xfId="0" applyFont="1" applyBorder="1" applyAlignment="1">
      <alignment horizontal="center"/>
    </xf>
    <xf numFmtId="0" fontId="26" fillId="15" borderId="3" xfId="0" applyFont="1" applyFill="1" applyBorder="1" applyAlignment="1">
      <alignment horizontal="center" vertical="center" wrapText="1"/>
    </xf>
    <xf numFmtId="0" fontId="26" fillId="15" borderId="3" xfId="0" applyFont="1" applyFill="1" applyBorder="1" applyAlignment="1">
      <alignment horizontal="center" vertical="center"/>
    </xf>
    <xf numFmtId="0" fontId="0" fillId="0" borderId="3" xfId="0" quotePrefix="1" applyBorder="1"/>
    <xf numFmtId="0" fontId="20" fillId="0" borderId="3" xfId="0" quotePrefix="1" applyFont="1" applyBorder="1"/>
    <xf numFmtId="0" fontId="20" fillId="0" borderId="3" xfId="0" applyFont="1" applyBorder="1"/>
    <xf numFmtId="0" fontId="27" fillId="0" borderId="3" xfId="0" applyFont="1" applyBorder="1"/>
    <xf numFmtId="0" fontId="28" fillId="0" borderId="3" xfId="0" applyFont="1" applyBorder="1"/>
    <xf numFmtId="0" fontId="29" fillId="0" borderId="3" xfId="0" applyFont="1" applyBorder="1"/>
    <xf numFmtId="0" fontId="29" fillId="0" borderId="3" xfId="0" quotePrefix="1" applyFont="1" applyBorder="1"/>
    <xf numFmtId="0" fontId="26" fillId="14" borderId="3" xfId="0" applyFont="1" applyFill="1" applyBorder="1" applyAlignment="1">
      <alignment horizontal="center" vertical="center" wrapText="1"/>
    </xf>
    <xf numFmtId="0" fontId="26" fillId="14" borderId="3" xfId="0" applyFont="1" applyFill="1" applyBorder="1" applyAlignment="1">
      <alignment horizontal="center" vertical="center"/>
    </xf>
    <xf numFmtId="0" fontId="27" fillId="0" borderId="0" xfId="0" applyFont="1" applyAlignment="1">
      <alignment vertical="center" wrapText="1"/>
    </xf>
    <xf numFmtId="0" fontId="16" fillId="0" borderId="4" xfId="0" applyFont="1" applyBorder="1" applyAlignment="1">
      <alignment vertical="top" wrapText="1"/>
    </xf>
    <xf numFmtId="0" fontId="14" fillId="0" borderId="0" xfId="0" applyFont="1" applyAlignment="1">
      <alignment vertical="top"/>
    </xf>
    <xf numFmtId="0" fontId="14" fillId="0" borderId="0" xfId="0" applyFont="1" applyAlignment="1">
      <alignment vertical="top" wrapText="1"/>
    </xf>
    <xf numFmtId="0" fontId="24" fillId="0" borderId="0" xfId="0" applyFont="1" applyAlignment="1">
      <alignment horizontal="center" vertical="center"/>
    </xf>
    <xf numFmtId="0" fontId="14" fillId="0" borderId="0" xfId="0" applyFont="1" applyAlignment="1">
      <alignment horizontal="center"/>
    </xf>
    <xf numFmtId="0" fontId="24" fillId="0" borderId="5" xfId="0" applyFont="1" applyBorder="1" applyAlignment="1">
      <alignment horizontal="center" vertical="center"/>
    </xf>
    <xf numFmtId="0" fontId="23" fillId="4" borderId="3" xfId="0" applyFont="1" applyFill="1" applyBorder="1" applyAlignment="1">
      <alignment horizontal="left" vertical="top" wrapText="1"/>
    </xf>
    <xf numFmtId="0" fontId="14" fillId="0" borderId="0" xfId="0" applyFont="1" applyAlignment="1">
      <alignment horizontal="right" vertical="top" wrapText="1"/>
    </xf>
    <xf numFmtId="167" fontId="23" fillId="5" borderId="3" xfId="0" applyNumberFormat="1" applyFont="1" applyFill="1" applyBorder="1" applyAlignment="1">
      <alignment horizontal="right" vertical="top" wrapText="1"/>
    </xf>
    <xf numFmtId="167" fontId="23" fillId="0" borderId="0" xfId="0" applyNumberFormat="1" applyFont="1" applyAlignment="1">
      <alignment horizontal="right" vertical="top" wrapText="1"/>
    </xf>
    <xf numFmtId="0" fontId="24" fillId="0" borderId="0" xfId="0" applyFont="1" applyAlignment="1">
      <alignment horizontal="center"/>
    </xf>
    <xf numFmtId="167" fontId="35" fillId="0" borderId="0" xfId="0" applyNumberFormat="1" applyFont="1" applyAlignment="1">
      <alignment horizontal="right" vertical="top" wrapText="1"/>
    </xf>
    <xf numFmtId="167" fontId="32" fillId="7" borderId="3" xfId="0" applyNumberFormat="1" applyFont="1" applyFill="1" applyBorder="1" applyAlignment="1">
      <alignment horizontal="right" vertical="top" wrapText="1"/>
    </xf>
    <xf numFmtId="167" fontId="34" fillId="0" borderId="0" xfId="0" applyNumberFormat="1" applyFont="1" applyAlignment="1">
      <alignment horizontal="right" vertical="top" wrapText="1"/>
    </xf>
    <xf numFmtId="0" fontId="24" fillId="0" borderId="0" xfId="0" applyFont="1" applyAlignment="1">
      <alignment horizontal="left" vertical="top" wrapText="1"/>
    </xf>
    <xf numFmtId="167" fontId="36" fillId="6" borderId="0" xfId="0" applyNumberFormat="1" applyFont="1" applyFill="1" applyAlignment="1">
      <alignment horizontal="right" vertical="top" wrapText="1"/>
    </xf>
    <xf numFmtId="167" fontId="33" fillId="6" borderId="0" xfId="0" applyNumberFormat="1" applyFont="1" applyFill="1" applyAlignment="1">
      <alignment horizontal="right" vertical="top" wrapText="1"/>
    </xf>
    <xf numFmtId="167" fontId="33" fillId="0" borderId="0" xfId="0" applyNumberFormat="1" applyFont="1" applyAlignment="1">
      <alignment horizontal="right" vertical="top" wrapText="1"/>
    </xf>
    <xf numFmtId="0" fontId="24" fillId="0" borderId="0" xfId="0" applyFont="1" applyAlignment="1">
      <alignment horizontal="right" vertical="top"/>
    </xf>
    <xf numFmtId="167" fontId="32" fillId="0" borderId="0" xfId="0" applyNumberFormat="1" applyFont="1" applyAlignment="1">
      <alignment horizontal="right" vertical="top" wrapText="1"/>
    </xf>
    <xf numFmtId="167" fontId="0" fillId="0" borderId="0" xfId="0" applyNumberFormat="1"/>
    <xf numFmtId="0" fontId="34" fillId="0" borderId="3" xfId="0" applyFont="1" applyBorder="1" applyAlignment="1">
      <alignment horizontal="right" vertical="top" wrapText="1"/>
    </xf>
    <xf numFmtId="0" fontId="37" fillId="2" borderId="3" xfId="0" applyFont="1" applyFill="1" applyBorder="1" applyAlignment="1">
      <alignment horizontal="center" vertical="center"/>
    </xf>
    <xf numFmtId="0" fontId="37" fillId="2" borderId="3" xfId="0" applyFont="1" applyFill="1" applyBorder="1" applyAlignment="1">
      <alignment horizontal="center" vertical="center" wrapText="1"/>
    </xf>
    <xf numFmtId="0" fontId="23" fillId="4" borderId="3" xfId="0" applyFont="1" applyFill="1" applyBorder="1" applyAlignment="1">
      <alignment horizontal="right" vertical="top" wrapText="1"/>
    </xf>
    <xf numFmtId="167" fontId="38" fillId="0" borderId="3" xfId="0" applyNumberFormat="1" applyFont="1" applyBorder="1" applyAlignment="1">
      <alignment horizontal="right" vertical="top" wrapText="1"/>
    </xf>
    <xf numFmtId="167" fontId="39" fillId="0" borderId="3" xfId="0" applyNumberFormat="1" applyFont="1" applyBorder="1" applyAlignment="1">
      <alignment horizontal="right" vertical="top" wrapText="1"/>
    </xf>
    <xf numFmtId="0" fontId="0" fillId="0" borderId="12" xfId="0" applyBorder="1"/>
    <xf numFmtId="0" fontId="18" fillId="0" borderId="3" xfId="12" applyFont="1" applyFill="1" applyBorder="1" applyAlignment="1">
      <alignment horizontal="left" vertical="center" wrapText="1"/>
    </xf>
    <xf numFmtId="0" fontId="16" fillId="0" borderId="0" xfId="0" applyFont="1" applyAlignment="1">
      <alignment vertical="top" wrapText="1"/>
    </xf>
    <xf numFmtId="0" fontId="37" fillId="0" borderId="13" xfId="0" applyFont="1" applyBorder="1" applyAlignment="1">
      <alignment horizontal="center" vertical="center"/>
    </xf>
    <xf numFmtId="0" fontId="5" fillId="0" borderId="0" xfId="0" applyFont="1"/>
    <xf numFmtId="0" fontId="41" fillId="0" borderId="0" xfId="0" applyFont="1" applyAlignment="1">
      <alignment horizontal="right"/>
    </xf>
    <xf numFmtId="0" fontId="5" fillId="0" borderId="0" xfId="0" applyFont="1" applyAlignment="1">
      <alignment horizontal="right"/>
    </xf>
    <xf numFmtId="1" fontId="42" fillId="11" borderId="6" xfId="2" applyNumberFormat="1" applyFont="1" applyFill="1" applyBorder="1" applyAlignment="1">
      <alignment horizontal="left" vertical="top" wrapText="1"/>
    </xf>
    <xf numFmtId="164" fontId="11" fillId="6" borderId="3" xfId="0" applyNumberFormat="1" applyFont="1" applyFill="1" applyBorder="1" applyAlignment="1">
      <alignment horizontal="right" vertical="top" wrapText="1"/>
    </xf>
    <xf numFmtId="164" fontId="11" fillId="6" borderId="7" xfId="0" applyNumberFormat="1" applyFont="1" applyFill="1" applyBorder="1" applyAlignment="1">
      <alignment horizontal="right" vertical="top" wrapText="1"/>
    </xf>
    <xf numFmtId="167" fontId="11" fillId="6" borderId="3" xfId="0" applyNumberFormat="1" applyFont="1" applyFill="1" applyBorder="1" applyAlignment="1">
      <alignment horizontal="right" vertical="top" wrapText="1"/>
    </xf>
    <xf numFmtId="0" fontId="11" fillId="6" borderId="3" xfId="0" applyFont="1" applyFill="1" applyBorder="1" applyAlignment="1">
      <alignment horizontal="left" vertical="top" wrapText="1"/>
    </xf>
    <xf numFmtId="0" fontId="8" fillId="6" borderId="0" xfId="0" applyFont="1" applyFill="1"/>
    <xf numFmtId="164" fontId="44" fillId="11" borderId="3" xfId="2" applyNumberFormat="1" applyFont="1" applyFill="1" applyBorder="1" applyAlignment="1">
      <alignment horizontal="right" vertical="top" wrapText="1"/>
    </xf>
    <xf numFmtId="164" fontId="44" fillId="11" borderId="7" xfId="2" applyNumberFormat="1" applyFont="1" applyFill="1" applyBorder="1" applyAlignment="1">
      <alignment horizontal="right" vertical="top" wrapText="1"/>
    </xf>
    <xf numFmtId="167" fontId="45" fillId="6" borderId="3" xfId="0" applyNumberFormat="1" applyFont="1" applyFill="1" applyBorder="1" applyAlignment="1">
      <alignment horizontal="right" vertical="top" wrapText="1"/>
    </xf>
    <xf numFmtId="167" fontId="45" fillId="6" borderId="9" xfId="0" applyNumberFormat="1" applyFont="1" applyFill="1" applyBorder="1" applyAlignment="1">
      <alignment horizontal="right" vertical="top" wrapText="1"/>
    </xf>
    <xf numFmtId="0" fontId="11" fillId="6" borderId="9" xfId="0" applyFont="1" applyFill="1" applyBorder="1" applyAlignment="1">
      <alignment horizontal="left" vertical="top" wrapText="1"/>
    </xf>
    <xf numFmtId="0" fontId="17" fillId="12" borderId="8" xfId="0" applyFont="1" applyFill="1" applyBorder="1" applyAlignment="1">
      <alignment horizontal="center" vertical="top"/>
    </xf>
    <xf numFmtId="0" fontId="15" fillId="12" borderId="9" xfId="0" applyFont="1" applyFill="1" applyBorder="1" applyAlignment="1">
      <alignment horizontal="left" vertical="top" wrapText="1"/>
    </xf>
    <xf numFmtId="44" fontId="17" fillId="12" borderId="3" xfId="0" applyNumberFormat="1" applyFont="1" applyFill="1" applyBorder="1" applyAlignment="1">
      <alignment horizontal="right" vertical="top"/>
    </xf>
    <xf numFmtId="0" fontId="8" fillId="12" borderId="0" xfId="0" applyFont="1" applyFill="1"/>
    <xf numFmtId="0" fontId="42" fillId="16" borderId="6" xfId="0" applyFont="1" applyFill="1" applyBorder="1" applyAlignment="1">
      <alignment horizontal="left" vertical="top" wrapText="1"/>
    </xf>
    <xf numFmtId="164" fontId="43" fillId="17" borderId="3" xfId="0" applyNumberFormat="1" applyFont="1" applyFill="1" applyBorder="1" applyAlignment="1">
      <alignment horizontal="right" vertical="top" wrapText="1"/>
    </xf>
    <xf numFmtId="164" fontId="43" fillId="18" borderId="3" xfId="0" applyNumberFormat="1" applyFont="1" applyFill="1" applyBorder="1" applyAlignment="1">
      <alignment horizontal="right" vertical="top" wrapText="1"/>
    </xf>
    <xf numFmtId="0" fontId="44" fillId="16" borderId="3" xfId="0" applyFont="1" applyFill="1" applyBorder="1" applyAlignment="1">
      <alignment horizontal="left" vertical="top" wrapText="1"/>
    </xf>
    <xf numFmtId="0" fontId="44" fillId="16" borderId="7" xfId="0" applyFont="1" applyFill="1" applyBorder="1" applyAlignment="1">
      <alignment horizontal="left" vertical="top" wrapText="1"/>
    </xf>
    <xf numFmtId="164" fontId="43" fillId="0" borderId="3" xfId="0" applyNumberFormat="1" applyFont="1" applyBorder="1" applyAlignment="1">
      <alignment horizontal="right" vertical="top" wrapText="1"/>
    </xf>
    <xf numFmtId="1" fontId="44" fillId="11" borderId="3" xfId="2" applyNumberFormat="1" applyFont="1" applyFill="1" applyBorder="1" applyAlignment="1">
      <alignment horizontal="left" vertical="top" wrapText="1"/>
    </xf>
    <xf numFmtId="0" fontId="18" fillId="0" borderId="3" xfId="0" applyFont="1" applyBorder="1" applyAlignment="1">
      <alignment horizontal="left" vertical="top"/>
    </xf>
    <xf numFmtId="0" fontId="8" fillId="0" borderId="3" xfId="0" applyFont="1" applyBorder="1" applyAlignment="1">
      <alignment horizontal="center" vertical="top"/>
    </xf>
    <xf numFmtId="0" fontId="8" fillId="0" borderId="0" xfId="0" applyFont="1" applyAlignment="1">
      <alignment horizontal="left" vertical="top" wrapText="1"/>
    </xf>
    <xf numFmtId="0" fontId="9" fillId="10" borderId="3" xfId="0" applyFont="1" applyFill="1" applyBorder="1" applyAlignment="1">
      <alignment horizontal="center" vertical="center" wrapText="1"/>
    </xf>
    <xf numFmtId="0" fontId="9" fillId="2" borderId="3" xfId="0" applyFont="1" applyFill="1" applyBorder="1" applyAlignment="1">
      <alignment horizontal="center" vertical="center"/>
    </xf>
    <xf numFmtId="0" fontId="22" fillId="9" borderId="7" xfId="0" applyFont="1" applyFill="1" applyBorder="1" applyAlignment="1">
      <alignment horizontal="center" vertical="center" wrapText="1"/>
    </xf>
    <xf numFmtId="0" fontId="22" fillId="9" borderId="7" xfId="0" applyFont="1" applyFill="1" applyBorder="1" applyAlignment="1">
      <alignment horizontal="center" vertical="center"/>
    </xf>
    <xf numFmtId="0" fontId="22" fillId="9" borderId="3" xfId="0" applyFont="1" applyFill="1" applyBorder="1" applyAlignment="1">
      <alignment horizontal="center" vertical="center" wrapText="1"/>
    </xf>
    <xf numFmtId="164" fontId="11" fillId="0" borderId="3" xfId="0" applyNumberFormat="1" applyFont="1" applyBorder="1" applyAlignment="1">
      <alignment horizontal="right" vertical="top" wrapText="1"/>
    </xf>
    <xf numFmtId="0" fontId="44" fillId="0" borderId="3" xfId="0" applyFont="1" applyBorder="1" applyAlignment="1">
      <alignment horizontal="left" vertical="top" wrapText="1"/>
    </xf>
    <xf numFmtId="0" fontId="8" fillId="0" borderId="3" xfId="0" applyFont="1" applyBorder="1" applyAlignment="1">
      <alignment horizontal="center" vertical="center" wrapText="1"/>
    </xf>
    <xf numFmtId="0" fontId="8" fillId="0" borderId="0" xfId="0" applyFont="1" applyAlignment="1">
      <alignment vertical="center"/>
    </xf>
    <xf numFmtId="0" fontId="9" fillId="10" borderId="6" xfId="0" applyFont="1" applyFill="1" applyBorder="1" applyAlignment="1">
      <alignment horizontal="center" vertical="center" wrapText="1"/>
    </xf>
    <xf numFmtId="167" fontId="14" fillId="0" borderId="0" xfId="0" applyNumberFormat="1" applyFont="1"/>
    <xf numFmtId="0" fontId="25" fillId="0" borderId="3" xfId="0" applyFont="1" applyBorder="1" applyAlignment="1">
      <alignment horizontal="left" vertical="top" wrapText="1"/>
    </xf>
    <xf numFmtId="0" fontId="15" fillId="8" borderId="3" xfId="0" applyFont="1" applyFill="1" applyBorder="1" applyAlignment="1">
      <alignment horizontal="center" vertical="center" wrapText="1"/>
    </xf>
    <xf numFmtId="0" fontId="4" fillId="0" borderId="0" xfId="0" applyFont="1"/>
    <xf numFmtId="0" fontId="8" fillId="23" borderId="0" xfId="0" applyFont="1" applyFill="1"/>
    <xf numFmtId="0" fontId="11" fillId="27" borderId="3" xfId="0" applyFont="1" applyFill="1" applyBorder="1" applyAlignment="1">
      <alignment vertical="top" wrapText="1"/>
    </xf>
    <xf numFmtId="44" fontId="11" fillId="27" borderId="3" xfId="0" applyNumberFormat="1" applyFont="1" applyFill="1" applyBorder="1" applyAlignment="1">
      <alignment horizontal="right" vertical="top" wrapText="1"/>
    </xf>
    <xf numFmtId="0" fontId="11" fillId="27" borderId="7" xfId="0" applyFont="1" applyFill="1" applyBorder="1" applyAlignment="1">
      <alignment horizontal="left" vertical="top" wrapText="1"/>
    </xf>
    <xf numFmtId="0" fontId="8" fillId="27" borderId="0" xfId="0" applyFont="1" applyFill="1"/>
    <xf numFmtId="0" fontId="11" fillId="25" borderId="3" xfId="0" applyFont="1" applyFill="1" applyBorder="1" applyAlignment="1">
      <alignment vertical="top" wrapText="1"/>
    </xf>
    <xf numFmtId="44" fontId="11" fillId="25" borderId="3" xfId="0" applyNumberFormat="1" applyFont="1" applyFill="1" applyBorder="1" applyAlignment="1">
      <alignment horizontal="right" vertical="top" wrapText="1"/>
    </xf>
    <xf numFmtId="0" fontId="11" fillId="25" borderId="7" xfId="0" applyFont="1" applyFill="1" applyBorder="1" applyAlignment="1">
      <alignment horizontal="left" vertical="top" wrapText="1"/>
    </xf>
    <xf numFmtId="0" fontId="8" fillId="30" borderId="0" xfId="0" applyFont="1" applyFill="1"/>
    <xf numFmtId="0" fontId="8" fillId="0" borderId="11" xfId="0" applyFont="1" applyBorder="1"/>
    <xf numFmtId="0" fontId="8" fillId="19" borderId="3" xfId="0" applyFont="1" applyFill="1" applyBorder="1" applyAlignment="1">
      <alignment horizontal="center" vertical="top"/>
    </xf>
    <xf numFmtId="0" fontId="22" fillId="25" borderId="3" xfId="0" applyFont="1" applyFill="1" applyBorder="1" applyAlignment="1">
      <alignment horizontal="center" vertical="top"/>
    </xf>
    <xf numFmtId="0" fontId="8" fillId="13" borderId="3" xfId="0" applyFont="1" applyFill="1" applyBorder="1" applyAlignment="1">
      <alignment horizontal="center" vertical="top"/>
    </xf>
    <xf numFmtId="0" fontId="22" fillId="27" borderId="3" xfId="0" applyFont="1" applyFill="1" applyBorder="1" applyAlignment="1">
      <alignment horizontal="center" vertical="top"/>
    </xf>
    <xf numFmtId="0" fontId="22" fillId="6" borderId="3" xfId="0" applyFont="1" applyFill="1" applyBorder="1" applyAlignment="1">
      <alignment horizontal="center" vertical="top"/>
    </xf>
    <xf numFmtId="0" fontId="22" fillId="6" borderId="3" xfId="0" applyFont="1" applyFill="1" applyBorder="1" applyAlignment="1">
      <alignment horizontal="center" vertical="top" wrapText="1"/>
    </xf>
    <xf numFmtId="0" fontId="8" fillId="6" borderId="3" xfId="0" applyFont="1" applyFill="1" applyBorder="1" applyAlignment="1">
      <alignment vertical="top"/>
    </xf>
    <xf numFmtId="14" fontId="8" fillId="0" borderId="3" xfId="0" applyNumberFormat="1" applyFont="1" applyBorder="1" applyAlignment="1">
      <alignment vertical="top"/>
    </xf>
    <xf numFmtId="0" fontId="8" fillId="0" borderId="3" xfId="0" applyFont="1" applyBorder="1" applyAlignment="1">
      <alignment vertical="top"/>
    </xf>
    <xf numFmtId="0" fontId="22" fillId="6" borderId="8" xfId="0" applyFont="1" applyFill="1" applyBorder="1" applyAlignment="1">
      <alignment horizontal="center" vertical="top" wrapText="1"/>
    </xf>
    <xf numFmtId="0" fontId="22" fillId="12" borderId="8" xfId="0" applyFont="1" applyFill="1" applyBorder="1" applyAlignment="1">
      <alignment horizontal="center" vertical="top"/>
    </xf>
    <xf numFmtId="14" fontId="9" fillId="21" borderId="3" xfId="0" applyNumberFormat="1" applyFont="1" applyFill="1" applyBorder="1" applyAlignment="1">
      <alignment vertical="top"/>
    </xf>
    <xf numFmtId="0" fontId="8" fillId="13" borderId="3" xfId="0" applyFont="1" applyFill="1" applyBorder="1" applyAlignment="1">
      <alignment vertical="top" wrapText="1"/>
    </xf>
    <xf numFmtId="0" fontId="22" fillId="25" borderId="8" xfId="0" applyFont="1" applyFill="1" applyBorder="1" applyAlignment="1">
      <alignment horizontal="center" vertical="top" wrapText="1"/>
    </xf>
    <xf numFmtId="0" fontId="8" fillId="25" borderId="3" xfId="0" applyFont="1" applyFill="1" applyBorder="1" applyAlignment="1">
      <alignment vertical="top" wrapText="1"/>
    </xf>
    <xf numFmtId="0" fontId="8" fillId="27" borderId="3" xfId="0" applyFont="1" applyFill="1" applyBorder="1" applyAlignment="1">
      <alignment vertical="top"/>
    </xf>
    <xf numFmtId="14" fontId="9" fillId="6" borderId="3" xfId="0" applyNumberFormat="1" applyFont="1" applyFill="1" applyBorder="1" applyAlignment="1">
      <alignment horizontal="center" vertical="top" wrapText="1"/>
    </xf>
    <xf numFmtId="0" fontId="15" fillId="6" borderId="3" xfId="0" applyFont="1" applyFill="1" applyBorder="1" applyAlignment="1">
      <alignment horizontal="center" vertical="top" wrapText="1"/>
    </xf>
    <xf numFmtId="0" fontId="8" fillId="22" borderId="3" xfId="0" applyFont="1" applyFill="1" applyBorder="1" applyAlignment="1">
      <alignment horizontal="center" vertical="top" wrapText="1"/>
    </xf>
    <xf numFmtId="14" fontId="9" fillId="6" borderId="8" xfId="0" applyNumberFormat="1" applyFont="1" applyFill="1" applyBorder="1" applyAlignment="1">
      <alignment horizontal="center" vertical="top" wrapText="1"/>
    </xf>
    <xf numFmtId="0" fontId="8" fillId="19" borderId="3" xfId="0" applyFont="1" applyFill="1" applyBorder="1" applyAlignment="1">
      <alignment horizontal="center" vertical="top" wrapText="1"/>
    </xf>
    <xf numFmtId="0" fontId="15" fillId="25" borderId="3" xfId="0" applyFont="1" applyFill="1" applyBorder="1" applyAlignment="1">
      <alignment horizontal="center" vertical="top" wrapText="1"/>
    </xf>
    <xf numFmtId="0" fontId="15" fillId="27" borderId="3" xfId="0" applyFont="1" applyFill="1" applyBorder="1" applyAlignment="1">
      <alignment horizontal="center" vertical="top" wrapText="1"/>
    </xf>
    <xf numFmtId="0" fontId="24" fillId="0" borderId="11" xfId="0" applyFont="1" applyBorder="1" applyAlignment="1">
      <alignment horizontal="center" vertical="center"/>
    </xf>
    <xf numFmtId="164" fontId="11" fillId="17" borderId="3" xfId="0" applyNumberFormat="1" applyFont="1" applyFill="1" applyBorder="1" applyAlignment="1">
      <alignment horizontal="right" vertical="top" wrapText="1"/>
    </xf>
    <xf numFmtId="14" fontId="8" fillId="0" borderId="3" xfId="0" applyNumberFormat="1" applyFont="1" applyBorder="1" applyAlignment="1">
      <alignment horizontal="center" vertical="center"/>
    </xf>
    <xf numFmtId="0" fontId="22" fillId="12" borderId="8" xfId="0" applyFont="1" applyFill="1" applyBorder="1" applyAlignment="1">
      <alignment horizontal="center" vertical="center"/>
    </xf>
    <xf numFmtId="0" fontId="10" fillId="0" borderId="0" xfId="0" applyFont="1" applyAlignment="1">
      <alignment horizontal="center" vertical="center"/>
    </xf>
    <xf numFmtId="0" fontId="8" fillId="0" borderId="0" xfId="0" applyFont="1" applyAlignment="1">
      <alignment horizontal="center" vertical="center"/>
    </xf>
    <xf numFmtId="14" fontId="9" fillId="6" borderId="3" xfId="0" applyNumberFormat="1" applyFont="1" applyFill="1" applyBorder="1" applyAlignment="1">
      <alignment horizontal="center" vertical="center" wrapText="1"/>
    </xf>
    <xf numFmtId="168" fontId="46" fillId="6" borderId="3" xfId="0" applyNumberFormat="1" applyFont="1" applyFill="1" applyBorder="1" applyAlignment="1">
      <alignment horizontal="center" vertical="center" wrapText="1"/>
    </xf>
    <xf numFmtId="168" fontId="46" fillId="6" borderId="8" xfId="0" applyNumberFormat="1" applyFont="1" applyFill="1" applyBorder="1" applyAlignment="1">
      <alignment horizontal="center" vertical="center" wrapText="1"/>
    </xf>
    <xf numFmtId="14" fontId="9" fillId="21" borderId="3" xfId="0" applyNumberFormat="1" applyFont="1" applyFill="1" applyBorder="1" applyAlignment="1">
      <alignment horizontal="center" vertical="center"/>
    </xf>
    <xf numFmtId="14" fontId="9" fillId="0" borderId="3" xfId="0" applyNumberFormat="1" applyFont="1" applyBorder="1" applyAlignment="1">
      <alignment horizontal="center" vertical="center"/>
    </xf>
    <xf numFmtId="14" fontId="15" fillId="25" borderId="8" xfId="0" applyNumberFormat="1" applyFont="1" applyFill="1" applyBorder="1" applyAlignment="1">
      <alignment horizontal="center" vertical="center" wrapText="1"/>
    </xf>
    <xf numFmtId="14" fontId="15" fillId="27" borderId="8" xfId="0" applyNumberFormat="1" applyFont="1" applyFill="1" applyBorder="1" applyAlignment="1">
      <alignment horizontal="center" vertical="center" wrapText="1"/>
    </xf>
    <xf numFmtId="49" fontId="8" fillId="0" borderId="3" xfId="0" applyNumberFormat="1" applyFont="1" applyBorder="1" applyAlignment="1">
      <alignment horizontal="center" vertical="center"/>
    </xf>
    <xf numFmtId="49" fontId="9" fillId="6" borderId="3" xfId="0" applyNumberFormat="1" applyFont="1" applyFill="1" applyBorder="1" applyAlignment="1">
      <alignment horizontal="right" vertical="top" wrapText="1"/>
    </xf>
    <xf numFmtId="49" fontId="9" fillId="6" borderId="9" xfId="0" applyNumberFormat="1" applyFont="1" applyFill="1" applyBorder="1" applyAlignment="1">
      <alignment horizontal="right" vertical="top" wrapText="1"/>
    </xf>
    <xf numFmtId="49" fontId="22" fillId="12" borderId="9" xfId="0" applyNumberFormat="1" applyFont="1" applyFill="1" applyBorder="1" applyAlignment="1">
      <alignment horizontal="center" vertical="top"/>
    </xf>
    <xf numFmtId="49" fontId="8" fillId="21" borderId="7" xfId="0" applyNumberFormat="1" applyFont="1" applyFill="1" applyBorder="1" applyAlignment="1">
      <alignment vertical="top"/>
    </xf>
    <xf numFmtId="0" fontId="3" fillId="0" borderId="0" xfId="0" applyFont="1"/>
    <xf numFmtId="0" fontId="14" fillId="0" borderId="0" xfId="0" applyFont="1" applyAlignment="1">
      <alignment horizontal="right" vertical="top"/>
    </xf>
    <xf numFmtId="167" fontId="17" fillId="12" borderId="3" xfId="0" applyNumberFormat="1" applyFont="1" applyFill="1" applyBorder="1" applyAlignment="1">
      <alignment horizontal="right" vertical="top"/>
    </xf>
    <xf numFmtId="0" fontId="22" fillId="9" borderId="5" xfId="0" applyFont="1" applyFill="1" applyBorder="1" applyAlignment="1">
      <alignment horizontal="center" vertical="center"/>
    </xf>
    <xf numFmtId="167" fontId="42" fillId="0" borderId="3" xfId="0" applyNumberFormat="1" applyFont="1" applyBorder="1" applyAlignment="1">
      <alignment horizontal="right" vertical="center" wrapText="1"/>
    </xf>
    <xf numFmtId="164" fontId="43" fillId="0" borderId="3" xfId="0" applyNumberFormat="1" applyFont="1" applyBorder="1" applyAlignment="1">
      <alignment horizontal="center" vertical="center" wrapText="1"/>
    </xf>
    <xf numFmtId="0" fontId="8" fillId="0" borderId="3" xfId="0" applyFont="1" applyBorder="1" applyAlignment="1">
      <alignment horizontal="center" vertical="center"/>
    </xf>
    <xf numFmtId="0" fontId="8" fillId="13" borderId="3" xfId="0" applyFont="1" applyFill="1" applyBorder="1" applyAlignment="1">
      <alignment horizontal="center" vertical="center" wrapText="1"/>
    </xf>
    <xf numFmtId="14" fontId="9" fillId="0" borderId="3" xfId="0" applyNumberFormat="1" applyFont="1" applyBorder="1" applyAlignment="1">
      <alignment vertical="center"/>
    </xf>
    <xf numFmtId="0" fontId="8" fillId="13" borderId="3" xfId="0" applyFont="1" applyFill="1" applyBorder="1" applyAlignment="1">
      <alignment vertical="center" wrapText="1"/>
    </xf>
    <xf numFmtId="0" fontId="18" fillId="0" borderId="3" xfId="0" applyFont="1" applyBorder="1" applyAlignment="1">
      <alignment vertical="center" wrapText="1"/>
    </xf>
    <xf numFmtId="164" fontId="43" fillId="0" borderId="3" xfId="0" applyNumberFormat="1" applyFont="1" applyBorder="1" applyAlignment="1">
      <alignment vertical="center" wrapText="1"/>
    </xf>
    <xf numFmtId="164" fontId="43" fillId="3" borderId="3" xfId="0" applyNumberFormat="1" applyFont="1" applyFill="1" applyBorder="1" applyAlignment="1">
      <alignment vertical="center" wrapText="1"/>
    </xf>
    <xf numFmtId="167" fontId="42" fillId="0" borderId="3" xfId="0" applyNumberFormat="1" applyFont="1" applyBorder="1" applyAlignment="1">
      <alignment vertical="center" wrapText="1"/>
    </xf>
    <xf numFmtId="1" fontId="44" fillId="11" borderId="3" xfId="2" applyNumberFormat="1" applyFont="1" applyFill="1" applyBorder="1" applyAlignment="1">
      <alignment vertical="center" wrapText="1"/>
    </xf>
    <xf numFmtId="9" fontId="44" fillId="0" borderId="3" xfId="8" applyFont="1" applyFill="1" applyBorder="1" applyAlignment="1">
      <alignment horizontal="center" vertical="center"/>
    </xf>
    <xf numFmtId="0" fontId="42" fillId="0" borderId="3" xfId="0" applyFont="1" applyBorder="1" applyAlignment="1">
      <alignment vertical="center" wrapText="1"/>
    </xf>
    <xf numFmtId="0" fontId="8" fillId="0" borderId="7" xfId="0" applyFont="1" applyBorder="1" applyAlignment="1">
      <alignment vertical="center"/>
    </xf>
    <xf numFmtId="0" fontId="8" fillId="0" borderId="0" xfId="0" applyFont="1" applyAlignment="1">
      <alignment horizontal="center"/>
    </xf>
    <xf numFmtId="0" fontId="47" fillId="13" borderId="3" xfId="0" applyFont="1" applyFill="1" applyBorder="1" applyAlignment="1">
      <alignment vertical="center" wrapText="1"/>
    </xf>
    <xf numFmtId="0" fontId="22" fillId="12" borderId="9" xfId="0" applyFont="1" applyFill="1" applyBorder="1" applyAlignment="1">
      <alignment horizontal="center" vertical="center"/>
    </xf>
    <xf numFmtId="14" fontId="9" fillId="6" borderId="9" xfId="0" applyNumberFormat="1" applyFont="1" applyFill="1" applyBorder="1" applyAlignment="1">
      <alignment horizontal="center" vertical="center" wrapText="1"/>
    </xf>
    <xf numFmtId="9" fontId="8" fillId="21" borderId="7" xfId="0" applyNumberFormat="1" applyFont="1" applyFill="1" applyBorder="1" applyAlignment="1">
      <alignment horizontal="center" vertical="center"/>
    </xf>
    <xf numFmtId="9" fontId="8" fillId="0" borderId="3" xfId="0" applyNumberFormat="1" applyFont="1" applyBorder="1" applyAlignment="1">
      <alignment horizontal="center" vertical="center"/>
    </xf>
    <xf numFmtId="9" fontId="8" fillId="26" borderId="7" xfId="0" applyNumberFormat="1" applyFont="1" applyFill="1" applyBorder="1" applyAlignment="1">
      <alignment horizontal="center" vertical="center"/>
    </xf>
    <xf numFmtId="9" fontId="8" fillId="29" borderId="7" xfId="0" applyNumberFormat="1" applyFont="1" applyFill="1" applyBorder="1" applyAlignment="1">
      <alignment horizontal="center" vertical="center"/>
    </xf>
    <xf numFmtId="49" fontId="8" fillId="26" borderId="7" xfId="0" applyNumberFormat="1" applyFont="1" applyFill="1" applyBorder="1" applyAlignment="1">
      <alignment horizontal="center" vertical="top"/>
    </xf>
    <xf numFmtId="49" fontId="8" fillId="29" borderId="7" xfId="0" applyNumberFormat="1" applyFont="1" applyFill="1" applyBorder="1" applyAlignment="1">
      <alignment horizontal="center" vertical="top"/>
    </xf>
    <xf numFmtId="0" fontId="44" fillId="0" borderId="3" xfId="0" applyFont="1" applyBorder="1" applyAlignment="1">
      <alignment horizontal="center" vertical="center" wrapText="1"/>
    </xf>
    <xf numFmtId="0" fontId="2" fillId="0" borderId="0" xfId="0" applyFont="1"/>
    <xf numFmtId="0" fontId="18" fillId="31" borderId="3" xfId="0" applyFont="1" applyFill="1" applyBorder="1" applyAlignment="1">
      <alignment vertical="center" wrapText="1"/>
    </xf>
    <xf numFmtId="164" fontId="48" fillId="31" borderId="3" xfId="0" applyNumberFormat="1" applyFont="1" applyFill="1" applyBorder="1" applyAlignment="1">
      <alignment vertical="center" wrapText="1"/>
    </xf>
    <xf numFmtId="164" fontId="43" fillId="31" borderId="3" xfId="0" applyNumberFormat="1" applyFont="1" applyFill="1" applyBorder="1" applyAlignment="1">
      <alignment vertical="center" wrapText="1"/>
    </xf>
    <xf numFmtId="167" fontId="44" fillId="31" borderId="3" xfId="0" applyNumberFormat="1" applyFont="1" applyFill="1" applyBorder="1" applyAlignment="1">
      <alignment vertical="center" wrapText="1"/>
    </xf>
    <xf numFmtId="0" fontId="8" fillId="31" borderId="3" xfId="0" applyFont="1" applyFill="1" applyBorder="1" applyAlignment="1">
      <alignment vertical="center"/>
    </xf>
    <xf numFmtId="49" fontId="8" fillId="31" borderId="3" xfId="0" applyNumberFormat="1" applyFont="1" applyFill="1" applyBorder="1" applyAlignment="1">
      <alignment horizontal="center" vertical="center"/>
    </xf>
    <xf numFmtId="9" fontId="8" fillId="31" borderId="3" xfId="0" applyNumberFormat="1" applyFont="1" applyFill="1" applyBorder="1" applyAlignment="1">
      <alignment horizontal="center" vertical="center"/>
    </xf>
    <xf numFmtId="1" fontId="44" fillId="32" borderId="3" xfId="2" applyNumberFormat="1" applyFont="1" applyFill="1" applyBorder="1" applyAlignment="1">
      <alignment vertical="center" wrapText="1"/>
    </xf>
    <xf numFmtId="0" fontId="8" fillId="33" borderId="3" xfId="0" applyFont="1" applyFill="1" applyBorder="1" applyAlignment="1">
      <alignment horizontal="center" vertical="center" wrapText="1"/>
    </xf>
    <xf numFmtId="14" fontId="9" fillId="31" borderId="3" xfId="0" applyNumberFormat="1" applyFont="1" applyFill="1" applyBorder="1" applyAlignment="1">
      <alignment vertical="center"/>
    </xf>
    <xf numFmtId="0" fontId="8" fillId="33" borderId="3" xfId="0" applyFont="1" applyFill="1" applyBorder="1" applyAlignment="1">
      <alignment vertical="center" wrapText="1"/>
    </xf>
    <xf numFmtId="0" fontId="8" fillId="0" borderId="3" xfId="0" applyFont="1" applyBorder="1" applyAlignment="1">
      <alignment vertical="top" wrapText="1"/>
    </xf>
    <xf numFmtId="14" fontId="9" fillId="0" borderId="6" xfId="0" applyNumberFormat="1" applyFont="1" applyBorder="1" applyAlignment="1">
      <alignment horizontal="center" vertical="center"/>
    </xf>
    <xf numFmtId="167" fontId="42" fillId="0" borderId="6" xfId="0" applyNumberFormat="1" applyFont="1" applyBorder="1" applyAlignment="1">
      <alignment horizontal="right" vertical="center" wrapText="1"/>
    </xf>
    <xf numFmtId="0" fontId="44" fillId="0" borderId="6" xfId="0" applyFont="1" applyBorder="1" applyAlignment="1">
      <alignment horizontal="center" vertical="center" wrapText="1"/>
    </xf>
    <xf numFmtId="8" fontId="24" fillId="0" borderId="0" xfId="0" applyNumberFormat="1" applyFont="1"/>
    <xf numFmtId="0" fontId="8" fillId="26" borderId="3" xfId="0" applyFont="1" applyFill="1" applyBorder="1" applyAlignment="1">
      <alignment horizontal="center" vertical="center"/>
    </xf>
    <xf numFmtId="0" fontId="8" fillId="29" borderId="3" xfId="0" applyFont="1" applyFill="1" applyBorder="1" applyAlignment="1">
      <alignment horizontal="center" vertical="center"/>
    </xf>
    <xf numFmtId="0" fontId="8" fillId="31" borderId="3" xfId="0" applyFont="1" applyFill="1" applyBorder="1" applyAlignment="1">
      <alignment horizontal="center" vertical="center"/>
    </xf>
    <xf numFmtId="14" fontId="19" fillId="0" borderId="3" xfId="6" applyNumberFormat="1" applyFont="1" applyBorder="1" applyAlignment="1">
      <alignment horizontal="center" vertical="center"/>
    </xf>
    <xf numFmtId="0" fontId="22" fillId="6" borderId="3" xfId="0" applyFont="1" applyFill="1" applyBorder="1" applyAlignment="1">
      <alignment horizontal="center" vertical="center" wrapText="1"/>
    </xf>
    <xf numFmtId="14" fontId="8" fillId="0" borderId="3" xfId="0" applyNumberFormat="1" applyFont="1" applyBorder="1" applyAlignment="1">
      <alignment vertical="center"/>
    </xf>
    <xf numFmtId="0" fontId="22" fillId="6" borderId="8" xfId="0" applyFont="1" applyFill="1" applyBorder="1" applyAlignment="1">
      <alignment horizontal="center" vertical="center" wrapText="1"/>
    </xf>
    <xf numFmtId="0" fontId="17" fillId="12" borderId="8" xfId="0" applyFont="1" applyFill="1" applyBorder="1" applyAlignment="1">
      <alignment horizontal="center" vertical="center"/>
    </xf>
    <xf numFmtId="14" fontId="9" fillId="21" borderId="3" xfId="0" applyNumberFormat="1" applyFont="1" applyFill="1" applyBorder="1" applyAlignment="1">
      <alignment vertical="center"/>
    </xf>
    <xf numFmtId="14" fontId="9" fillId="0" borderId="6" xfId="0" applyNumberFormat="1" applyFont="1" applyBorder="1" applyAlignment="1">
      <alignment vertical="center"/>
    </xf>
    <xf numFmtId="0" fontId="22" fillId="25" borderId="8" xfId="0" applyFont="1" applyFill="1" applyBorder="1" applyAlignment="1">
      <alignment horizontal="center" vertical="center" wrapText="1"/>
    </xf>
    <xf numFmtId="0" fontId="22" fillId="27" borderId="10" xfId="0" applyFont="1" applyFill="1" applyBorder="1" applyAlignment="1">
      <alignment horizontal="center" vertical="center" wrapText="1"/>
    </xf>
    <xf numFmtId="14" fontId="9" fillId="31" borderId="3" xfId="0" applyNumberFormat="1" applyFont="1" applyFill="1" applyBorder="1" applyAlignment="1">
      <alignment horizontal="center" vertical="center"/>
    </xf>
    <xf numFmtId="0" fontId="10" fillId="0" borderId="0" xfId="0" applyFont="1" applyAlignment="1">
      <alignment horizontal="center" vertical="center" wrapText="1"/>
    </xf>
    <xf numFmtId="0" fontId="11" fillId="6" borderId="3" xfId="0" applyFont="1" applyFill="1" applyBorder="1" applyAlignment="1">
      <alignment horizontal="center" vertical="center" wrapText="1"/>
    </xf>
    <xf numFmtId="0" fontId="45" fillId="6" borderId="3" xfId="0" applyFont="1" applyFill="1" applyBorder="1" applyAlignment="1">
      <alignment horizontal="center" vertical="center" wrapText="1"/>
    </xf>
    <xf numFmtId="0" fontId="45" fillId="6" borderId="9" xfId="0" applyFont="1" applyFill="1" applyBorder="1" applyAlignment="1">
      <alignment horizontal="center" vertical="center" wrapText="1"/>
    </xf>
    <xf numFmtId="0" fontId="15" fillId="12" borderId="9" xfId="0" applyFont="1" applyFill="1" applyBorder="1" applyAlignment="1">
      <alignment horizontal="center" vertical="center" wrapText="1"/>
    </xf>
    <xf numFmtId="0" fontId="44" fillId="16" borderId="3" xfId="0" applyFont="1" applyFill="1" applyBorder="1" applyAlignment="1">
      <alignment horizontal="center" vertical="center" wrapText="1"/>
    </xf>
    <xf numFmtId="0" fontId="44" fillId="31" borderId="3" xfId="0" applyFont="1" applyFill="1" applyBorder="1" applyAlignment="1">
      <alignment horizontal="center" vertical="center" wrapText="1"/>
    </xf>
    <xf numFmtId="0" fontId="44" fillId="24" borderId="3" xfId="0" applyFont="1" applyFill="1" applyBorder="1" applyAlignment="1">
      <alignment horizontal="center" vertical="center" wrapText="1"/>
    </xf>
    <xf numFmtId="0" fontId="44" fillId="28" borderId="3" xfId="0" applyFont="1" applyFill="1" applyBorder="1" applyAlignment="1">
      <alignment horizontal="center" vertical="center" wrapText="1"/>
    </xf>
    <xf numFmtId="164" fontId="8" fillId="0" borderId="3" xfId="0" applyNumberFormat="1" applyFont="1" applyBorder="1" applyAlignment="1">
      <alignment horizontal="right" vertical="top" wrapText="1"/>
    </xf>
    <xf numFmtId="14" fontId="19" fillId="0" borderId="3" xfId="0" applyNumberFormat="1" applyFont="1" applyBorder="1" applyAlignment="1">
      <alignment horizontal="center" vertical="center"/>
    </xf>
    <xf numFmtId="0" fontId="14" fillId="0" borderId="0" xfId="0" applyFont="1" applyAlignment="1">
      <alignment horizontal="center" vertical="center"/>
    </xf>
    <xf numFmtId="0" fontId="47" fillId="0" borderId="3" xfId="0" applyFont="1" applyBorder="1" applyAlignment="1">
      <alignment vertical="center" wrapText="1"/>
    </xf>
    <xf numFmtId="164" fontId="49" fillId="0" borderId="3" xfId="0" applyNumberFormat="1" applyFont="1" applyBorder="1" applyAlignment="1">
      <alignment vertical="center" wrapText="1"/>
    </xf>
    <xf numFmtId="49" fontId="8" fillId="0" borderId="6" xfId="0" applyNumberFormat="1" applyFont="1" applyBorder="1" applyAlignment="1">
      <alignment horizontal="center" vertical="center"/>
    </xf>
    <xf numFmtId="9" fontId="8" fillId="0" borderId="6" xfId="0" applyNumberFormat="1" applyFont="1" applyBorder="1" applyAlignment="1">
      <alignment horizontal="center" vertical="center"/>
    </xf>
    <xf numFmtId="8" fontId="14" fillId="0" borderId="0" xfId="0" applyNumberFormat="1" applyFont="1" applyAlignment="1">
      <alignment horizontal="center"/>
    </xf>
    <xf numFmtId="164" fontId="51" fillId="0" borderId="3" xfId="0" applyNumberFormat="1" applyFont="1" applyBorder="1" applyAlignment="1">
      <alignment horizontal="right" vertical="top" wrapText="1"/>
    </xf>
    <xf numFmtId="0" fontId="18" fillId="0" borderId="3" xfId="0" applyFont="1" applyBorder="1" applyAlignment="1">
      <alignment horizontal="left" vertical="top" wrapText="1"/>
    </xf>
    <xf numFmtId="0" fontId="50" fillId="0" borderId="6" xfId="0" applyFont="1" applyBorder="1" applyAlignment="1">
      <alignment horizontal="left" vertical="top" wrapText="1"/>
    </xf>
    <xf numFmtId="164" fontId="48" fillId="0" borderId="3" xfId="0" applyNumberFormat="1" applyFont="1" applyBorder="1" applyAlignment="1">
      <alignment horizontal="right" vertical="top" wrapText="1"/>
    </xf>
    <xf numFmtId="164" fontId="48" fillId="0" borderId="3" xfId="0" applyNumberFormat="1" applyFont="1" applyBorder="1" applyAlignment="1">
      <alignment horizontal="center" vertical="center" wrapText="1"/>
    </xf>
    <xf numFmtId="164" fontId="18" fillId="0" borderId="3" xfId="0" applyNumberFormat="1" applyFont="1" applyBorder="1" applyAlignment="1">
      <alignment horizontal="center" vertical="center" wrapText="1"/>
    </xf>
    <xf numFmtId="164" fontId="18" fillId="0" borderId="3" xfId="0" applyNumberFormat="1" applyFont="1" applyBorder="1" applyAlignment="1">
      <alignment vertical="center" wrapText="1"/>
    </xf>
    <xf numFmtId="8" fontId="14" fillId="0" borderId="0" xfId="0" applyNumberFormat="1" applyFont="1"/>
    <xf numFmtId="0" fontId="47" fillId="0" borderId="3" xfId="0" applyFont="1" applyBorder="1" applyAlignment="1">
      <alignment vertical="top" wrapText="1"/>
    </xf>
    <xf numFmtId="0" fontId="0" fillId="0" borderId="0" xfId="0" applyAlignment="1">
      <alignment horizontal="center" vertical="center"/>
    </xf>
    <xf numFmtId="0" fontId="50" fillId="0" borderId="6" xfId="0" applyFont="1" applyBorder="1" applyAlignment="1">
      <alignment horizontal="left" vertical="center" wrapText="1"/>
    </xf>
    <xf numFmtId="0" fontId="44" fillId="0" borderId="6" xfId="0" applyFont="1" applyBorder="1" applyAlignment="1">
      <alignment horizontal="left" vertical="top" wrapText="1"/>
    </xf>
    <xf numFmtId="14" fontId="19" fillId="0" borderId="6" xfId="0" applyNumberFormat="1" applyFont="1" applyBorder="1" applyAlignment="1">
      <alignment horizontal="center" vertical="center"/>
    </xf>
    <xf numFmtId="0" fontId="18" fillId="0" borderId="3" xfId="0" applyFont="1" applyBorder="1" applyAlignment="1">
      <alignment horizontal="center" vertical="top" wrapText="1"/>
    </xf>
    <xf numFmtId="0" fontId="44" fillId="0" borderId="8" xfId="0" applyFont="1" applyBorder="1" applyAlignment="1">
      <alignment horizontal="left" vertical="top" wrapText="1"/>
    </xf>
    <xf numFmtId="0" fontId="42" fillId="16" borderId="9" xfId="0" applyFont="1" applyFill="1" applyBorder="1" applyAlignment="1">
      <alignment horizontal="left" vertical="top" wrapText="1"/>
    </xf>
    <xf numFmtId="0" fontId="42" fillId="16" borderId="15" xfId="0" applyFont="1" applyFill="1" applyBorder="1" applyAlignment="1">
      <alignment horizontal="left" vertical="top" wrapText="1"/>
    </xf>
    <xf numFmtId="167" fontId="24" fillId="34" borderId="0" xfId="0" applyNumberFormat="1" applyFont="1" applyFill="1"/>
    <xf numFmtId="0" fontId="18" fillId="0" borderId="3" xfId="0" applyFont="1" applyBorder="1" applyAlignment="1">
      <alignment horizontal="center" vertical="center" wrapText="1"/>
    </xf>
    <xf numFmtId="0" fontId="14" fillId="0" borderId="12" xfId="0" applyFont="1" applyBorder="1" applyAlignment="1">
      <alignment horizontal="center" vertical="center"/>
    </xf>
    <xf numFmtId="0" fontId="14" fillId="0" borderId="3" xfId="0" applyFont="1" applyBorder="1" applyAlignment="1">
      <alignment horizontal="center" vertical="center"/>
    </xf>
    <xf numFmtId="0" fontId="14" fillId="0" borderId="0" xfId="0" applyFont="1" applyAlignment="1">
      <alignment horizontal="center" vertical="center" wrapText="1"/>
    </xf>
    <xf numFmtId="0" fontId="44" fillId="35" borderId="3" xfId="0" applyFont="1" applyFill="1" applyBorder="1" applyAlignment="1">
      <alignment horizontal="center" vertical="center" wrapText="1"/>
    </xf>
    <xf numFmtId="0" fontId="18" fillId="0" borderId="3" xfId="0" applyFont="1" applyBorder="1" applyAlignment="1">
      <alignment horizontal="center" vertical="top"/>
    </xf>
    <xf numFmtId="0" fontId="37" fillId="36" borderId="3" xfId="0" applyFont="1" applyFill="1" applyBorder="1" applyAlignment="1">
      <alignment horizontal="center" vertical="center"/>
    </xf>
    <xf numFmtId="167" fontId="24" fillId="34" borderId="0" xfId="0" applyNumberFormat="1" applyFont="1" applyFill="1" applyAlignment="1">
      <alignment horizontal="center" vertical="top" wrapText="1"/>
    </xf>
    <xf numFmtId="0" fontId="24" fillId="31" borderId="3" xfId="0" applyFont="1" applyFill="1" applyBorder="1" applyAlignment="1">
      <alignment horizontal="center" vertical="center"/>
    </xf>
    <xf numFmtId="0" fontId="24" fillId="37" borderId="0" xfId="0" applyFont="1" applyFill="1" applyAlignment="1">
      <alignment horizontal="center" vertical="center"/>
    </xf>
    <xf numFmtId="0" fontId="24" fillId="37" borderId="16" xfId="0" applyFont="1" applyFill="1" applyBorder="1" applyAlignment="1">
      <alignment horizontal="center" vertical="center"/>
    </xf>
    <xf numFmtId="0" fontId="54" fillId="31" borderId="17" xfId="0" applyFont="1" applyFill="1" applyBorder="1" applyAlignment="1">
      <alignment horizontal="right"/>
    </xf>
    <xf numFmtId="169" fontId="41" fillId="31" borderId="18" xfId="0" applyNumberFormat="1" applyFont="1" applyFill="1" applyBorder="1"/>
    <xf numFmtId="169" fontId="41" fillId="31" borderId="19" xfId="0" applyNumberFormat="1" applyFont="1" applyFill="1" applyBorder="1"/>
    <xf numFmtId="169" fontId="41" fillId="31" borderId="14" xfId="0" applyNumberFormat="1" applyFont="1" applyFill="1" applyBorder="1"/>
    <xf numFmtId="0" fontId="55" fillId="0" borderId="14" xfId="0" applyFont="1" applyBorder="1" applyAlignment="1">
      <alignment horizontal="center"/>
    </xf>
    <xf numFmtId="0" fontId="0" fillId="0" borderId="21" xfId="0" applyBorder="1"/>
    <xf numFmtId="0" fontId="0" fillId="0" borderId="22" xfId="0" applyBorder="1"/>
    <xf numFmtId="0" fontId="0" fillId="0" borderId="20" xfId="0" applyBorder="1"/>
    <xf numFmtId="0" fontId="53" fillId="38" borderId="0" xfId="0" applyFont="1" applyFill="1" applyAlignment="1">
      <alignment horizontal="center" vertical="center"/>
    </xf>
    <xf numFmtId="0" fontId="53" fillId="38" borderId="16" xfId="0" applyFont="1" applyFill="1" applyBorder="1" applyAlignment="1">
      <alignment horizontal="center" vertical="center"/>
    </xf>
    <xf numFmtId="0" fontId="53" fillId="38" borderId="24" xfId="0" applyFont="1" applyFill="1" applyBorder="1" applyAlignment="1">
      <alignment horizontal="center" vertical="center"/>
    </xf>
    <xf numFmtId="0" fontId="53" fillId="38" borderId="25" xfId="0" applyFont="1" applyFill="1" applyBorder="1" applyAlignment="1">
      <alignment horizontal="left" vertical="center"/>
    </xf>
    <xf numFmtId="169" fontId="0" fillId="0" borderId="3" xfId="0" applyNumberFormat="1" applyBorder="1"/>
    <xf numFmtId="169" fontId="0" fillId="0" borderId="26" xfId="0" applyNumberFormat="1" applyBorder="1"/>
    <xf numFmtId="169" fontId="0" fillId="0" borderId="27" xfId="0" applyNumberFormat="1" applyBorder="1"/>
    <xf numFmtId="169" fontId="0" fillId="37" borderId="3" xfId="0" applyNumberFormat="1" applyFill="1" applyBorder="1"/>
    <xf numFmtId="0" fontId="0" fillId="0" borderId="25" xfId="0" applyBorder="1"/>
    <xf numFmtId="0" fontId="0" fillId="0" borderId="16" xfId="0" applyBorder="1"/>
    <xf numFmtId="0" fontId="53" fillId="38" borderId="25" xfId="0" applyFont="1" applyFill="1" applyBorder="1" applyAlignment="1">
      <alignment horizontal="right" vertical="center"/>
    </xf>
    <xf numFmtId="169" fontId="53" fillId="38" borderId="3" xfId="0" applyNumberFormat="1" applyFont="1" applyFill="1" applyBorder="1"/>
    <xf numFmtId="169" fontId="53" fillId="38" borderId="26" xfId="0" applyNumberFormat="1" applyFont="1" applyFill="1" applyBorder="1"/>
    <xf numFmtId="169" fontId="53" fillId="38" borderId="27" xfId="0" applyNumberFormat="1" applyFont="1" applyFill="1" applyBorder="1"/>
    <xf numFmtId="0" fontId="8" fillId="0" borderId="14" xfId="0" applyFont="1" applyBorder="1" applyAlignment="1">
      <alignment horizontal="center"/>
    </xf>
    <xf numFmtId="0" fontId="0" fillId="0" borderId="24" xfId="0" applyBorder="1"/>
    <xf numFmtId="0" fontId="53" fillId="39" borderId="0" xfId="0" applyFont="1" applyFill="1" applyAlignment="1">
      <alignment horizontal="center" vertical="center"/>
    </xf>
    <xf numFmtId="0" fontId="53" fillId="39" borderId="16" xfId="0" applyFont="1" applyFill="1" applyBorder="1" applyAlignment="1">
      <alignment horizontal="center" vertical="center"/>
    </xf>
    <xf numFmtId="0" fontId="53" fillId="39" borderId="24" xfId="0" applyFont="1" applyFill="1" applyBorder="1" applyAlignment="1">
      <alignment horizontal="center" vertical="center"/>
    </xf>
    <xf numFmtId="0" fontId="53" fillId="39" borderId="25" xfId="0" applyFont="1" applyFill="1" applyBorder="1" applyAlignment="1">
      <alignment horizontal="left" vertical="center"/>
    </xf>
    <xf numFmtId="0" fontId="53" fillId="39" borderId="25" xfId="0" applyFont="1" applyFill="1" applyBorder="1" applyAlignment="1">
      <alignment horizontal="right" vertical="center"/>
    </xf>
    <xf numFmtId="170" fontId="7" fillId="39" borderId="27" xfId="0" applyNumberFormat="1" applyFont="1" applyFill="1" applyBorder="1"/>
    <xf numFmtId="0" fontId="53" fillId="30" borderId="0" xfId="0" applyFont="1" applyFill="1" applyAlignment="1">
      <alignment horizontal="center" vertical="center"/>
    </xf>
    <xf numFmtId="0" fontId="53" fillId="30" borderId="16" xfId="0" applyFont="1" applyFill="1" applyBorder="1" applyAlignment="1">
      <alignment horizontal="center" vertical="center"/>
    </xf>
    <xf numFmtId="0" fontId="53" fillId="30" borderId="24" xfId="0" applyFont="1" applyFill="1" applyBorder="1" applyAlignment="1">
      <alignment horizontal="center" vertical="center"/>
    </xf>
    <xf numFmtId="0" fontId="53" fillId="30" borderId="25" xfId="0" applyFont="1" applyFill="1" applyBorder="1" applyAlignment="1">
      <alignment horizontal="left" vertical="center"/>
    </xf>
    <xf numFmtId="0" fontId="53" fillId="30" borderId="25" xfId="0" applyFont="1" applyFill="1" applyBorder="1" applyAlignment="1">
      <alignment horizontal="right" vertical="center"/>
    </xf>
    <xf numFmtId="167" fontId="53" fillId="30" borderId="24" xfId="0" applyNumberFormat="1" applyFont="1" applyFill="1" applyBorder="1" applyAlignment="1">
      <alignment horizontal="right" vertical="center"/>
    </xf>
    <xf numFmtId="0" fontId="53" fillId="40" borderId="0" xfId="0" applyFont="1" applyFill="1" applyAlignment="1">
      <alignment horizontal="center" vertical="center"/>
    </xf>
    <xf numFmtId="0" fontId="53" fillId="40" borderId="16" xfId="0" applyFont="1" applyFill="1" applyBorder="1" applyAlignment="1">
      <alignment horizontal="center" vertical="center"/>
    </xf>
    <xf numFmtId="0" fontId="53" fillId="40" borderId="24" xfId="0" applyFont="1" applyFill="1" applyBorder="1" applyAlignment="1">
      <alignment horizontal="center" vertical="center"/>
    </xf>
    <xf numFmtId="0" fontId="53" fillId="40" borderId="25" xfId="0" applyFont="1" applyFill="1" applyBorder="1" applyAlignment="1">
      <alignment horizontal="left" vertical="center"/>
    </xf>
    <xf numFmtId="0" fontId="53" fillId="40" borderId="25" xfId="0" applyFont="1" applyFill="1" applyBorder="1" applyAlignment="1">
      <alignment horizontal="right" vertical="center"/>
    </xf>
    <xf numFmtId="167" fontId="53" fillId="40" borderId="11" xfId="0" applyNumberFormat="1" applyFont="1" applyFill="1" applyBorder="1" applyAlignment="1">
      <alignment horizontal="right" vertical="center"/>
    </xf>
    <xf numFmtId="167" fontId="53" fillId="40" borderId="28" xfId="0" applyNumberFormat="1" applyFont="1" applyFill="1" applyBorder="1" applyAlignment="1">
      <alignment horizontal="right" vertical="center"/>
    </xf>
    <xf numFmtId="167" fontId="53" fillId="40" borderId="24" xfId="0" applyNumberFormat="1" applyFont="1" applyFill="1" applyBorder="1" applyAlignment="1">
      <alignment horizontal="right" vertical="center"/>
    </xf>
    <xf numFmtId="0" fontId="53" fillId="37" borderId="25" xfId="0" applyFont="1" applyFill="1" applyBorder="1" applyAlignment="1">
      <alignment horizontal="right" vertical="center"/>
    </xf>
    <xf numFmtId="167" fontId="53" fillId="37" borderId="11" xfId="0" applyNumberFormat="1" applyFont="1" applyFill="1" applyBorder="1" applyAlignment="1">
      <alignment horizontal="right" vertical="center"/>
    </xf>
    <xf numFmtId="167" fontId="53" fillId="37" borderId="28" xfId="0" applyNumberFormat="1" applyFont="1" applyFill="1" applyBorder="1" applyAlignment="1">
      <alignment horizontal="right" vertical="center"/>
    </xf>
    <xf numFmtId="167" fontId="53" fillId="37" borderId="24" xfId="0" applyNumberFormat="1" applyFont="1" applyFill="1" applyBorder="1" applyAlignment="1">
      <alignment horizontal="right" vertical="center"/>
    </xf>
    <xf numFmtId="0" fontId="24" fillId="31" borderId="17" xfId="0" applyFont="1" applyFill="1" applyBorder="1" applyAlignment="1">
      <alignment horizontal="right"/>
    </xf>
    <xf numFmtId="169" fontId="24" fillId="31" borderId="18" xfId="0" applyNumberFormat="1" applyFont="1" applyFill="1" applyBorder="1"/>
    <xf numFmtId="169" fontId="24" fillId="31" borderId="19" xfId="0" applyNumberFormat="1" applyFont="1" applyFill="1" applyBorder="1"/>
    <xf numFmtId="169" fontId="24" fillId="31" borderId="14" xfId="0" applyNumberFormat="1" applyFont="1" applyFill="1" applyBorder="1"/>
    <xf numFmtId="171" fontId="0" fillId="0" borderId="0" xfId="0" applyNumberFormat="1"/>
    <xf numFmtId="171" fontId="7" fillId="39" borderId="3" xfId="0" applyNumberFormat="1" applyFont="1" applyFill="1" applyBorder="1"/>
    <xf numFmtId="44" fontId="53" fillId="30" borderId="11" xfId="0" applyNumberFormat="1" applyFont="1" applyFill="1" applyBorder="1" applyAlignment="1">
      <alignment horizontal="right" vertical="center"/>
    </xf>
    <xf numFmtId="44" fontId="53" fillId="40" borderId="11" xfId="0" applyNumberFormat="1" applyFont="1" applyFill="1" applyBorder="1" applyAlignment="1">
      <alignment horizontal="right" vertical="center"/>
    </xf>
    <xf numFmtId="44" fontId="53" fillId="40" borderId="28" xfId="0" applyNumberFormat="1" applyFont="1" applyFill="1" applyBorder="1" applyAlignment="1">
      <alignment horizontal="right" vertical="center"/>
    </xf>
    <xf numFmtId="0" fontId="9" fillId="0" borderId="3" xfId="0" applyFont="1" applyBorder="1" applyAlignment="1">
      <alignment horizontal="center" vertical="top"/>
    </xf>
    <xf numFmtId="0" fontId="8" fillId="0" borderId="3" xfId="0" applyFont="1" applyBorder="1" applyAlignment="1">
      <alignment horizontal="center" vertical="top" wrapText="1"/>
    </xf>
    <xf numFmtId="0" fontId="17" fillId="0" borderId="8" xfId="0" applyFont="1" applyBorder="1" applyAlignment="1">
      <alignment horizontal="center" vertical="top"/>
    </xf>
    <xf numFmtId="0" fontId="8" fillId="0" borderId="3" xfId="0" applyFont="1" applyBorder="1" applyAlignment="1">
      <alignment horizontal="right" vertical="center"/>
    </xf>
    <xf numFmtId="164" fontId="51" fillId="0" borderId="7" xfId="0" applyNumberFormat="1" applyFont="1" applyBorder="1" applyAlignment="1">
      <alignment horizontal="right" vertical="top" wrapText="1"/>
    </xf>
    <xf numFmtId="164" fontId="43" fillId="0" borderId="7" xfId="0" applyNumberFormat="1" applyFont="1" applyBorder="1" applyAlignment="1">
      <alignment horizontal="center" vertical="center" wrapText="1"/>
    </xf>
    <xf numFmtId="164" fontId="49" fillId="0" borderId="7" xfId="0" applyNumberFormat="1" applyFont="1" applyBorder="1" applyAlignment="1">
      <alignment vertical="center" wrapText="1"/>
    </xf>
    <xf numFmtId="0" fontId="44" fillId="0" borderId="12" xfId="0" applyFont="1" applyBorder="1" applyAlignment="1">
      <alignment horizontal="left" vertical="top" wrapText="1"/>
    </xf>
    <xf numFmtId="0" fontId="50" fillId="0" borderId="3" xfId="0" applyFont="1" applyBorder="1" applyAlignment="1">
      <alignment horizontal="left" vertical="top" wrapText="1"/>
    </xf>
    <xf numFmtId="0" fontId="9" fillId="0" borderId="6" xfId="0" applyFont="1" applyBorder="1" applyAlignment="1">
      <alignment horizontal="center" vertical="top"/>
    </xf>
    <xf numFmtId="0" fontId="8" fillId="0" borderId="6" xfId="0" applyFont="1" applyBorder="1" applyAlignment="1">
      <alignment horizontal="center" vertical="top" wrapText="1"/>
    </xf>
    <xf numFmtId="0" fontId="17" fillId="0" borderId="9" xfId="0" applyFont="1" applyBorder="1" applyAlignment="1">
      <alignment horizontal="center" vertical="top"/>
    </xf>
    <xf numFmtId="0" fontId="8" fillId="0" borderId="6" xfId="0" applyFont="1" applyBorder="1" applyAlignment="1">
      <alignment horizontal="center" vertical="top"/>
    </xf>
    <xf numFmtId="0" fontId="8" fillId="0" borderId="6" xfId="0" applyFont="1" applyBorder="1" applyAlignment="1">
      <alignment horizontal="center" vertical="center" wrapText="1"/>
    </xf>
    <xf numFmtId="0" fontId="18" fillId="0" borderId="6" xfId="0" applyFont="1" applyBorder="1" applyAlignment="1">
      <alignment horizontal="center" vertical="top"/>
    </xf>
    <xf numFmtId="0" fontId="62" fillId="0" borderId="0" xfId="0" applyFont="1"/>
    <xf numFmtId="0" fontId="62" fillId="0" borderId="0" xfId="0" applyFont="1" applyAlignment="1">
      <alignment horizontal="right" vertical="center"/>
    </xf>
    <xf numFmtId="0" fontId="59" fillId="0" borderId="30" xfId="0" applyFont="1" applyBorder="1" applyAlignment="1" applyProtection="1">
      <alignment horizontal="center" vertical="center"/>
      <protection locked="0"/>
    </xf>
    <xf numFmtId="0" fontId="29" fillId="0" borderId="0" xfId="0" applyFont="1"/>
    <xf numFmtId="0" fontId="63" fillId="0" borderId="0" xfId="0" applyFont="1"/>
    <xf numFmtId="172" fontId="64" fillId="0" borderId="31" xfId="0" applyNumberFormat="1" applyFont="1" applyBorder="1" applyAlignment="1">
      <alignment horizontal="center" vertical="center" shrinkToFit="1"/>
    </xf>
    <xf numFmtId="172" fontId="64" fillId="0" borderId="32" xfId="0" applyNumberFormat="1" applyFont="1" applyBorder="1" applyAlignment="1">
      <alignment horizontal="center" vertical="center" shrinkToFit="1"/>
    </xf>
    <xf numFmtId="172" fontId="64" fillId="0" borderId="33" xfId="0" applyNumberFormat="1" applyFont="1" applyBorder="1" applyAlignment="1">
      <alignment horizontal="center" vertical="center" shrinkToFit="1"/>
    </xf>
    <xf numFmtId="0" fontId="65" fillId="0" borderId="0" xfId="0" applyFont="1" applyAlignment="1" applyProtection="1">
      <alignment vertical="center"/>
      <protection locked="0"/>
    </xf>
    <xf numFmtId="0" fontId="66" fillId="0" borderId="0" xfId="0" applyFont="1" applyAlignment="1" applyProtection="1">
      <alignment vertical="center"/>
      <protection locked="0"/>
    </xf>
    <xf numFmtId="0" fontId="29" fillId="0" borderId="0" xfId="0" applyFont="1" applyAlignment="1">
      <alignment horizontal="right" vertical="center"/>
    </xf>
    <xf numFmtId="0" fontId="69" fillId="0" borderId="0" xfId="0" applyFont="1" applyAlignment="1" applyProtection="1">
      <alignment vertical="center"/>
      <protection locked="0"/>
    </xf>
    <xf numFmtId="0" fontId="70" fillId="0" borderId="0" xfId="0" applyFont="1" applyProtection="1">
      <protection locked="0"/>
    </xf>
    <xf numFmtId="0" fontId="71" fillId="41" borderId="0" xfId="15" applyNumberFormat="1" applyFont="1" applyFill="1" applyAlignment="1" applyProtection="1">
      <alignment horizontal="right"/>
      <protection locked="0"/>
    </xf>
    <xf numFmtId="0" fontId="72" fillId="0" borderId="0" xfId="0" applyFont="1" applyProtection="1">
      <protection locked="0"/>
    </xf>
    <xf numFmtId="0" fontId="0" fillId="41" borderId="0" xfId="0" applyFill="1"/>
    <xf numFmtId="0" fontId="58" fillId="0" borderId="0" xfId="15" applyAlignment="1" applyProtection="1">
      <alignment horizontal="left"/>
    </xf>
    <xf numFmtId="0" fontId="73" fillId="0" borderId="35" xfId="0" applyFont="1" applyBorder="1" applyAlignment="1">
      <alignment horizontal="left" vertical="center"/>
    </xf>
    <xf numFmtId="0" fontId="73" fillId="0" borderId="35" xfId="0" applyFont="1" applyBorder="1" applyAlignment="1">
      <alignment horizontal="center" vertical="center" wrapText="1"/>
    </xf>
    <xf numFmtId="0" fontId="74" fillId="0" borderId="35" xfId="0" applyFont="1" applyBorder="1" applyAlignment="1">
      <alignment horizontal="center" vertical="center" wrapText="1"/>
    </xf>
    <xf numFmtId="0" fontId="73" fillId="0" borderId="35" xfId="0" applyFont="1" applyBorder="1" applyAlignment="1">
      <alignment horizontal="center" vertical="center"/>
    </xf>
    <xf numFmtId="0" fontId="61" fillId="0" borderId="36" xfId="0" applyFont="1" applyBorder="1" applyAlignment="1">
      <alignment horizontal="center" vertical="center" shrinkToFit="1"/>
    </xf>
    <xf numFmtId="0" fontId="61" fillId="0" borderId="37" xfId="0" applyFont="1" applyBorder="1" applyAlignment="1">
      <alignment horizontal="center" vertical="center" shrinkToFit="1"/>
    </xf>
    <xf numFmtId="0" fontId="61" fillId="0" borderId="38" xfId="0" applyFont="1" applyBorder="1" applyAlignment="1">
      <alignment horizontal="center" vertical="center" shrinkToFit="1"/>
    </xf>
    <xf numFmtId="0" fontId="60" fillId="35" borderId="39" xfId="0" applyFont="1" applyFill="1" applyBorder="1" applyAlignment="1">
      <alignment horizontal="left" vertical="center"/>
    </xf>
    <xf numFmtId="0" fontId="60" fillId="35" borderId="39" xfId="0" applyFont="1" applyFill="1" applyBorder="1" applyAlignment="1">
      <alignment vertical="center"/>
    </xf>
    <xf numFmtId="0" fontId="61" fillId="35" borderId="39" xfId="0" applyFont="1" applyFill="1" applyBorder="1" applyAlignment="1">
      <alignment vertical="center"/>
    </xf>
    <xf numFmtId="0" fontId="61" fillId="35" borderId="39" xfId="0" applyFont="1" applyFill="1" applyBorder="1" applyAlignment="1">
      <alignment horizontal="center" vertical="center"/>
    </xf>
    <xf numFmtId="175" fontId="61" fillId="35" borderId="39" xfId="0" applyNumberFormat="1" applyFont="1" applyFill="1" applyBorder="1" applyAlignment="1">
      <alignment horizontal="right" vertical="center"/>
    </xf>
    <xf numFmtId="175" fontId="61" fillId="35" borderId="39" xfId="0" applyNumberFormat="1" applyFont="1" applyFill="1" applyBorder="1" applyAlignment="1">
      <alignment horizontal="center" vertical="center"/>
    </xf>
    <xf numFmtId="1" fontId="61" fillId="35" borderId="39" xfId="8" applyNumberFormat="1" applyFont="1" applyFill="1" applyBorder="1" applyAlignment="1" applyProtection="1">
      <alignment horizontal="center" vertical="center"/>
    </xf>
    <xf numFmtId="9" fontId="61" fillId="35" borderId="39" xfId="8" applyFont="1" applyFill="1" applyBorder="1" applyAlignment="1" applyProtection="1">
      <alignment horizontal="center" vertical="center"/>
    </xf>
    <xf numFmtId="1" fontId="61" fillId="35" borderId="39" xfId="0" applyNumberFormat="1" applyFont="1" applyFill="1" applyBorder="1" applyAlignment="1">
      <alignment horizontal="center" vertical="center"/>
    </xf>
    <xf numFmtId="1" fontId="75" fillId="35" borderId="39" xfId="0" applyNumberFormat="1" applyFont="1" applyFill="1" applyBorder="1" applyAlignment="1">
      <alignment horizontal="center" vertical="center"/>
    </xf>
    <xf numFmtId="0" fontId="61" fillId="35" borderId="39" xfId="0" applyFont="1" applyFill="1" applyBorder="1" applyAlignment="1">
      <alignment horizontal="left" vertical="center"/>
    </xf>
    <xf numFmtId="0" fontId="61" fillId="35" borderId="40" xfId="0" applyFont="1" applyFill="1" applyBorder="1" applyAlignment="1">
      <alignment vertical="center"/>
    </xf>
    <xf numFmtId="0" fontId="61" fillId="0" borderId="40" xfId="0" applyFont="1" applyBorder="1" applyAlignment="1">
      <alignment horizontal="left" vertical="center"/>
    </xf>
    <xf numFmtId="0" fontId="61" fillId="0" borderId="40" xfId="0" applyFont="1" applyBorder="1" applyAlignment="1">
      <alignment vertical="center" wrapText="1"/>
    </xf>
    <xf numFmtId="0" fontId="61" fillId="0" borderId="40" xfId="0" applyFont="1" applyBorder="1" applyAlignment="1">
      <alignment vertical="center"/>
    </xf>
    <xf numFmtId="0" fontId="76" fillId="0" borderId="41" xfId="0" applyFont="1" applyBorder="1" applyAlignment="1">
      <alignment horizontal="center" vertical="center"/>
    </xf>
    <xf numFmtId="1" fontId="76" fillId="43" borderId="41" xfId="0" applyNumberFormat="1" applyFont="1" applyFill="1" applyBorder="1" applyAlignment="1">
      <alignment horizontal="center" vertical="center"/>
    </xf>
    <xf numFmtId="9" fontId="76" fillId="43" borderId="41" xfId="8" applyFont="1" applyFill="1" applyBorder="1" applyAlignment="1" applyProtection="1">
      <alignment horizontal="center" vertical="center"/>
    </xf>
    <xf numFmtId="1" fontId="76" fillId="0" borderId="41" xfId="0" applyNumberFormat="1" applyFont="1" applyBorder="1" applyAlignment="1">
      <alignment horizontal="center" vertical="center"/>
    </xf>
    <xf numFmtId="1" fontId="77" fillId="0" borderId="41" xfId="0" applyNumberFormat="1" applyFont="1" applyBorder="1" applyAlignment="1">
      <alignment horizontal="center" vertical="center"/>
    </xf>
    <xf numFmtId="9" fontId="61" fillId="0" borderId="40" xfId="0" applyNumberFormat="1" applyFont="1" applyBorder="1" applyAlignment="1">
      <alignment horizontal="left" vertical="center"/>
    </xf>
    <xf numFmtId="176" fontId="76" fillId="42" borderId="41" xfId="0" applyNumberFormat="1" applyFont="1" applyFill="1" applyBorder="1" applyAlignment="1">
      <alignment horizontal="center" vertical="center"/>
    </xf>
    <xf numFmtId="177" fontId="76" fillId="0" borderId="41" xfId="0" applyNumberFormat="1" applyFont="1" applyBorder="1" applyAlignment="1">
      <alignment horizontal="center" vertical="center"/>
    </xf>
    <xf numFmtId="9" fontId="44" fillId="11" borderId="3" xfId="8" applyFont="1" applyFill="1" applyBorder="1" applyAlignment="1">
      <alignment horizontal="center" vertical="center"/>
    </xf>
    <xf numFmtId="0" fontId="43" fillId="6" borderId="3" xfId="0" applyFont="1" applyFill="1" applyBorder="1" applyAlignment="1">
      <alignment horizontal="center" vertical="center"/>
    </xf>
    <xf numFmtId="9" fontId="42" fillId="20" borderId="3" xfId="8" applyFont="1" applyFill="1" applyBorder="1" applyAlignment="1">
      <alignment horizontal="center" vertical="center"/>
    </xf>
    <xf numFmtId="0" fontId="22" fillId="25" borderId="3" xfId="0" applyFont="1" applyFill="1" applyBorder="1" applyAlignment="1">
      <alignment horizontal="center" vertical="center"/>
    </xf>
    <xf numFmtId="0" fontId="22" fillId="27" borderId="3" xfId="0" applyFont="1" applyFill="1" applyBorder="1" applyAlignment="1">
      <alignment horizontal="center" vertical="center"/>
    </xf>
    <xf numFmtId="0" fontId="21" fillId="0" borderId="0" xfId="0" applyFont="1" applyAlignment="1">
      <alignment horizontal="center" vertical="center"/>
    </xf>
    <xf numFmtId="9" fontId="44" fillId="32" borderId="3" xfId="8" applyFont="1" applyFill="1" applyBorder="1" applyAlignment="1">
      <alignment horizontal="center" vertical="center"/>
    </xf>
    <xf numFmtId="0" fontId="21" fillId="0" borderId="0" xfId="0" applyFont="1" applyAlignment="1">
      <alignment horizontal="center" vertical="center" wrapText="1"/>
    </xf>
    <xf numFmtId="0" fontId="21" fillId="0" borderId="12" xfId="0" applyFont="1" applyBorder="1" applyAlignment="1">
      <alignment horizontal="center" vertical="center"/>
    </xf>
    <xf numFmtId="0" fontId="21" fillId="0" borderId="3" xfId="0" applyFont="1" applyBorder="1" applyAlignment="1">
      <alignment horizontal="center" vertical="center"/>
    </xf>
    <xf numFmtId="0" fontId="61" fillId="44" borderId="40" xfId="0" applyFont="1" applyFill="1" applyBorder="1" applyAlignment="1">
      <alignment vertical="center" wrapText="1"/>
    </xf>
    <xf numFmtId="0" fontId="76" fillId="44" borderId="41" xfId="0" applyFont="1" applyFill="1" applyBorder="1" applyAlignment="1">
      <alignment horizontal="center" vertical="center"/>
    </xf>
    <xf numFmtId="176" fontId="76" fillId="45" borderId="41" xfId="0" applyNumberFormat="1" applyFont="1" applyFill="1" applyBorder="1" applyAlignment="1">
      <alignment horizontal="center" vertical="center"/>
    </xf>
    <xf numFmtId="177" fontId="76" fillId="44" borderId="41" xfId="0" applyNumberFormat="1" applyFont="1" applyFill="1" applyBorder="1" applyAlignment="1">
      <alignment horizontal="center" vertical="center"/>
    </xf>
    <xf numFmtId="1" fontId="76" fillId="44" borderId="41" xfId="0" applyNumberFormat="1" applyFont="1" applyFill="1" applyBorder="1" applyAlignment="1">
      <alignment horizontal="center" vertical="center"/>
    </xf>
    <xf numFmtId="9" fontId="76" fillId="44" borderId="41" xfId="8" applyFont="1" applyFill="1" applyBorder="1" applyAlignment="1" applyProtection="1">
      <alignment horizontal="center" vertical="center"/>
    </xf>
    <xf numFmtId="0" fontId="82" fillId="46" borderId="40" xfId="0" applyFont="1" applyFill="1" applyBorder="1" applyAlignment="1">
      <alignment horizontal="center" vertical="center" wrapText="1"/>
    </xf>
    <xf numFmtId="0" fontId="61" fillId="46" borderId="40" xfId="0" applyFont="1" applyFill="1" applyBorder="1" applyAlignment="1">
      <alignment vertical="center"/>
    </xf>
    <xf numFmtId="0" fontId="76" fillId="46" borderId="41" xfId="0" applyFont="1" applyFill="1" applyBorder="1" applyAlignment="1">
      <alignment horizontal="center" vertical="center"/>
    </xf>
    <xf numFmtId="176" fontId="76" fillId="47" borderId="41" xfId="0" applyNumberFormat="1" applyFont="1" applyFill="1" applyBorder="1" applyAlignment="1">
      <alignment horizontal="center" vertical="center"/>
    </xf>
    <xf numFmtId="177" fontId="76" fillId="46" borderId="41" xfId="0" applyNumberFormat="1" applyFont="1" applyFill="1" applyBorder="1" applyAlignment="1">
      <alignment horizontal="center" vertical="center"/>
    </xf>
    <xf numFmtId="1" fontId="76" fillId="46" borderId="41" xfId="0" applyNumberFormat="1" applyFont="1" applyFill="1" applyBorder="1" applyAlignment="1">
      <alignment horizontal="center" vertical="center"/>
    </xf>
    <xf numFmtId="9" fontId="76" fillId="46" borderId="41" xfId="8" applyFont="1" applyFill="1" applyBorder="1" applyAlignment="1" applyProtection="1">
      <alignment horizontal="center" vertical="center"/>
    </xf>
    <xf numFmtId="164" fontId="48" fillId="0" borderId="3" xfId="0" applyNumberFormat="1" applyFont="1" applyBorder="1" applyAlignment="1">
      <alignment vertical="center" wrapText="1"/>
    </xf>
    <xf numFmtId="9" fontId="8" fillId="0" borderId="3" xfId="0" applyNumberFormat="1" applyFont="1" applyBorder="1" applyAlignment="1">
      <alignment vertical="top"/>
    </xf>
    <xf numFmtId="0" fontId="44" fillId="0" borderId="10" xfId="0" applyFont="1" applyBorder="1" applyAlignment="1">
      <alignment horizontal="left" vertical="top" wrapText="1"/>
    </xf>
    <xf numFmtId="0" fontId="50" fillId="0" borderId="29" xfId="0" applyFont="1" applyBorder="1" applyAlignment="1">
      <alignment horizontal="left" vertical="top" wrapText="1"/>
    </xf>
    <xf numFmtId="0" fontId="50" fillId="0" borderId="42" xfId="0" applyFont="1" applyBorder="1" applyAlignment="1">
      <alignment horizontal="left" vertical="top" wrapText="1"/>
    </xf>
    <xf numFmtId="0" fontId="44" fillId="0" borderId="3" xfId="0" applyFont="1" applyBorder="1" applyAlignment="1">
      <alignment vertical="center" wrapText="1"/>
    </xf>
    <xf numFmtId="164" fontId="83" fillId="17" borderId="3" xfId="0" applyNumberFormat="1" applyFont="1" applyFill="1" applyBorder="1" applyAlignment="1">
      <alignment horizontal="right" vertical="top" wrapText="1"/>
    </xf>
    <xf numFmtId="0" fontId="85" fillId="0" borderId="0" xfId="0" applyFont="1" applyAlignment="1">
      <alignment vertical="top" wrapText="1"/>
    </xf>
    <xf numFmtId="0" fontId="47" fillId="10" borderId="6" xfId="0" applyFont="1" applyFill="1" applyBorder="1" applyAlignment="1">
      <alignment horizontal="center" vertical="center" wrapText="1"/>
    </xf>
    <xf numFmtId="1" fontId="86" fillId="11" borderId="6" xfId="2" applyNumberFormat="1" applyFont="1" applyFill="1" applyBorder="1" applyAlignment="1">
      <alignment horizontal="left" vertical="top" wrapText="1"/>
    </xf>
    <xf numFmtId="0" fontId="85" fillId="0" borderId="3" xfId="12" applyFont="1" applyFill="1" applyBorder="1" applyAlignment="1">
      <alignment horizontal="left" vertical="center" wrapText="1"/>
    </xf>
    <xf numFmtId="0" fontId="47" fillId="12" borderId="9" xfId="0" applyFont="1" applyFill="1" applyBorder="1" applyAlignment="1">
      <alignment horizontal="left" vertical="top" wrapText="1"/>
    </xf>
    <xf numFmtId="0" fontId="87" fillId="0" borderId="3" xfId="0" applyFont="1" applyBorder="1" applyAlignment="1">
      <alignment horizontal="left" vertical="center" wrapText="1"/>
    </xf>
    <xf numFmtId="0" fontId="86" fillId="16" borderId="9" xfId="0" applyFont="1" applyFill="1" applyBorder="1" applyAlignment="1">
      <alignment horizontal="left" vertical="top" wrapText="1"/>
    </xf>
    <xf numFmtId="0" fontId="87" fillId="0" borderId="3" xfId="0" applyFont="1" applyBorder="1" applyAlignment="1">
      <alignment horizontal="left" vertical="top" wrapText="1"/>
    </xf>
    <xf numFmtId="0" fontId="86" fillId="16" borderId="6" xfId="0" applyFont="1" applyFill="1" applyBorder="1" applyAlignment="1">
      <alignment horizontal="left" vertical="top" wrapText="1"/>
    </xf>
    <xf numFmtId="0" fontId="87" fillId="0" borderId="10" xfId="0" applyFont="1" applyBorder="1" applyAlignment="1">
      <alignment horizontal="left" vertical="top" wrapText="1"/>
    </xf>
    <xf numFmtId="0" fontId="86" fillId="16" borderId="43" xfId="0" applyFont="1" applyFill="1" applyBorder="1" applyAlignment="1">
      <alignment horizontal="left" vertical="top" wrapText="1"/>
    </xf>
    <xf numFmtId="0" fontId="87" fillId="0" borderId="7" xfId="0" applyFont="1" applyBorder="1" applyAlignment="1">
      <alignment horizontal="left" vertical="top" wrapText="1"/>
    </xf>
    <xf numFmtId="0" fontId="49" fillId="25" borderId="3" xfId="0" applyFont="1" applyFill="1" applyBorder="1" applyAlignment="1">
      <alignment vertical="top" wrapText="1"/>
    </xf>
    <xf numFmtId="0" fontId="85" fillId="31" borderId="3" xfId="0" applyFont="1" applyFill="1" applyBorder="1" applyAlignment="1">
      <alignment vertical="center" wrapText="1"/>
    </xf>
    <xf numFmtId="0" fontId="85" fillId="0" borderId="3" xfId="0" applyFont="1" applyBorder="1" applyAlignment="1">
      <alignment vertical="center" wrapText="1"/>
    </xf>
    <xf numFmtId="0" fontId="49" fillId="27" borderId="3" xfId="0" applyFont="1" applyFill="1" applyBorder="1" applyAlignment="1">
      <alignment vertical="top" wrapText="1"/>
    </xf>
    <xf numFmtId="0" fontId="85" fillId="0" borderId="3" xfId="0" applyFont="1" applyBorder="1" applyAlignment="1">
      <alignment horizontal="left" vertical="top" wrapText="1"/>
    </xf>
    <xf numFmtId="0" fontId="8" fillId="48" borderId="3" xfId="0" applyFont="1" applyFill="1" applyBorder="1" applyAlignment="1">
      <alignment horizontal="center" vertical="center" wrapText="1"/>
    </xf>
    <xf numFmtId="0" fontId="88" fillId="0" borderId="9" xfId="0" applyFont="1" applyBorder="1" applyAlignment="1">
      <alignment horizontal="left" vertical="top" wrapText="1"/>
    </xf>
    <xf numFmtId="174" fontId="59" fillId="0" borderId="31" xfId="0" applyNumberFormat="1" applyFont="1" applyBorder="1" applyAlignment="1">
      <alignment horizontal="center" vertical="center"/>
    </xf>
    <xf numFmtId="174" fontId="59" fillId="0" borderId="32" xfId="0" applyNumberFormat="1" applyFont="1" applyBorder="1" applyAlignment="1">
      <alignment horizontal="center" vertical="center"/>
    </xf>
    <xf numFmtId="174" fontId="59" fillId="0" borderId="33" xfId="0" applyNumberFormat="1" applyFont="1" applyBorder="1" applyAlignment="1">
      <alignment horizontal="center" vertical="center"/>
    </xf>
    <xf numFmtId="173" fontId="59" fillId="0" borderId="30" xfId="0" applyNumberFormat="1" applyFont="1" applyBorder="1" applyAlignment="1" applyProtection="1">
      <alignment horizontal="center" vertical="center" shrinkToFit="1"/>
      <protection locked="0"/>
    </xf>
    <xf numFmtId="0" fontId="20" fillId="0" borderId="31" xfId="0" applyFont="1" applyBorder="1" applyAlignment="1">
      <alignment horizontal="center" vertical="center"/>
    </xf>
    <xf numFmtId="0" fontId="20" fillId="0" borderId="32" xfId="0" applyFont="1" applyBorder="1" applyAlignment="1">
      <alignment horizontal="center" vertical="center"/>
    </xf>
    <xf numFmtId="0" fontId="20" fillId="0" borderId="33" xfId="0" applyFont="1" applyBorder="1" applyAlignment="1">
      <alignment horizontal="center" vertical="center"/>
    </xf>
    <xf numFmtId="0" fontId="67" fillId="0" borderId="0" xfId="15" applyFont="1" applyBorder="1" applyAlignment="1" applyProtection="1">
      <alignment horizontal="left" vertical="center"/>
    </xf>
    <xf numFmtId="173" fontId="59" fillId="0" borderId="34" xfId="0" applyNumberFormat="1" applyFont="1" applyBorder="1" applyAlignment="1" applyProtection="1">
      <alignment horizontal="center" vertical="center" shrinkToFit="1"/>
      <protection locked="0"/>
    </xf>
    <xf numFmtId="0" fontId="52" fillId="0" borderId="20" xfId="0" applyFont="1" applyBorder="1" applyAlignment="1">
      <alignment horizontal="center" vertical="center"/>
    </xf>
    <xf numFmtId="0" fontId="52" fillId="0" borderId="23" xfId="0" applyFont="1" applyBorder="1" applyAlignment="1">
      <alignment horizontal="center" vertical="center"/>
    </xf>
    <xf numFmtId="0" fontId="56" fillId="0" borderId="20" xfId="0" applyFont="1" applyBorder="1" applyAlignment="1">
      <alignment horizontal="center" vertical="center"/>
    </xf>
    <xf numFmtId="0" fontId="56" fillId="0" borderId="23" xfId="0" applyFont="1" applyBorder="1" applyAlignment="1">
      <alignment horizontal="center" vertical="center"/>
    </xf>
    <xf numFmtId="0" fontId="57" fillId="0" borderId="20" xfId="0" applyFont="1" applyBorder="1" applyAlignment="1">
      <alignment horizontal="center" vertical="center"/>
    </xf>
    <xf numFmtId="0" fontId="57" fillId="0" borderId="23" xfId="0" applyFont="1" applyBorder="1" applyAlignment="1">
      <alignment horizontal="center" vertical="center"/>
    </xf>
    <xf numFmtId="0" fontId="87" fillId="0" borderId="8" xfId="0" applyFont="1" applyBorder="1" applyAlignment="1">
      <alignment horizontal="left" vertical="top" wrapText="1"/>
    </xf>
    <xf numFmtId="0" fontId="87" fillId="0" borderId="44" xfId="0" applyFont="1" applyBorder="1" applyAlignment="1">
      <alignment horizontal="left" vertical="top" wrapText="1"/>
    </xf>
    <xf numFmtId="0" fontId="87" fillId="0" borderId="10" xfId="0" applyFont="1" applyBorder="1" applyAlignment="1">
      <alignment horizontal="left" vertical="top" wrapText="1"/>
    </xf>
    <xf numFmtId="0" fontId="87" fillId="0" borderId="45" xfId="0" applyFont="1" applyBorder="1" applyAlignment="1">
      <alignment horizontal="left" vertical="top" wrapText="1"/>
    </xf>
    <xf numFmtId="0" fontId="85" fillId="0" borderId="8" xfId="0" applyFont="1" applyBorder="1" applyAlignment="1">
      <alignment horizontal="left" vertical="center" wrapText="1"/>
    </xf>
    <xf numFmtId="0" fontId="85" fillId="0" borderId="13" xfId="0" applyFont="1" applyBorder="1" applyAlignment="1">
      <alignment horizontal="left" vertical="center" wrapText="1"/>
    </xf>
    <xf numFmtId="0" fontId="85" fillId="0" borderId="44" xfId="0" applyFont="1" applyBorder="1" applyAlignment="1">
      <alignment horizontal="left" vertical="center" wrapText="1"/>
    </xf>
    <xf numFmtId="0" fontId="84" fillId="0" borderId="0" xfId="0" applyFont="1" applyAlignment="1">
      <alignment horizontal="left" vertical="top" wrapText="1"/>
    </xf>
    <xf numFmtId="0" fontId="87" fillId="0" borderId="13" xfId="0" applyFont="1" applyBorder="1" applyAlignment="1">
      <alignment horizontal="left" vertical="top" wrapText="1"/>
    </xf>
    <xf numFmtId="0" fontId="9" fillId="2" borderId="6"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7" xfId="0" applyFont="1" applyFill="1" applyBorder="1" applyAlignment="1">
      <alignment horizontal="center" vertical="center"/>
    </xf>
    <xf numFmtId="0" fontId="22" fillId="9" borderId="6" xfId="0" applyFont="1" applyFill="1" applyBorder="1"/>
    <xf numFmtId="0" fontId="22" fillId="9" borderId="5" xfId="0" applyFont="1" applyFill="1" applyBorder="1"/>
    <xf numFmtId="0" fontId="22" fillId="9" borderId="5" xfId="0" applyFont="1" applyFill="1" applyBorder="1" applyAlignment="1">
      <alignment horizontal="center" vertical="center"/>
    </xf>
    <xf numFmtId="0" fontId="8" fillId="0" borderId="8"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44" xfId="0" applyFont="1" applyBorder="1" applyAlignment="1">
      <alignment horizontal="center" vertical="center" wrapText="1"/>
    </xf>
    <xf numFmtId="0" fontId="8" fillId="0" borderId="8" xfId="0" applyFont="1" applyBorder="1" applyAlignment="1">
      <alignment horizontal="center" vertical="top" wrapText="1"/>
    </xf>
    <xf numFmtId="0" fontId="8" fillId="0" borderId="13" xfId="0" applyFont="1" applyBorder="1" applyAlignment="1">
      <alignment horizontal="center" vertical="top" wrapText="1"/>
    </xf>
    <xf numFmtId="0" fontId="8" fillId="0" borderId="44" xfId="0" applyFont="1" applyBorder="1" applyAlignment="1">
      <alignment horizontal="center" vertical="top" wrapText="1"/>
    </xf>
    <xf numFmtId="0" fontId="18" fillId="0" borderId="6" xfId="0" applyFont="1" applyBorder="1" applyAlignment="1">
      <alignment horizontal="center" vertical="top" wrapText="1"/>
    </xf>
  </cellXfs>
  <cellStyles count="16">
    <cellStyle name="Attività" xfId="1" xr:uid="{00000000-0005-0000-0000-000001000000}"/>
    <cellStyle name="Collegamento ipertestuale" xfId="15" builtinId="8"/>
    <cellStyle name="Data" xfId="2" xr:uid="{00000000-0005-0000-0000-000003000000}"/>
    <cellStyle name="Data 2" xfId="3" xr:uid="{00000000-0005-0000-0000-000004000000}"/>
    <cellStyle name="Inizio progetto" xfId="4" xr:uid="{00000000-0005-0000-0000-000005000000}"/>
    <cellStyle name="Nome" xfId="5" xr:uid="{00000000-0005-0000-0000-000006000000}"/>
    <cellStyle name="Normale" xfId="0" builtinId="0"/>
    <cellStyle name="Normale 2" xfId="11" xr:uid="{9F7E47F3-DD12-41F7-A265-B2AC1569A753}"/>
    <cellStyle name="Normale 3" xfId="6" xr:uid="{00000000-0005-0000-0000-000008000000}"/>
    <cellStyle name="Normale 3 2" xfId="7" xr:uid="{00000000-0005-0000-0000-000009000000}"/>
    <cellStyle name="Normale 4" xfId="12" xr:uid="{8A94E697-3AB1-4420-BF53-30560544FF8F}"/>
    <cellStyle name="Normale 5" xfId="13" xr:uid="{DE686C63-246C-45CC-9461-FB5C0086EF5A}"/>
    <cellStyle name="Percentuale" xfId="8" builtinId="5"/>
    <cellStyle name="Percentuale 2" xfId="9" xr:uid="{00000000-0005-0000-0000-00000B000000}"/>
    <cellStyle name="Percentuale 3" xfId="14" xr:uid="{12AC14B9-97A2-4D76-9E93-B04555C943D0}"/>
    <cellStyle name="zTestoNascosto" xfId="10" xr:uid="{00000000-0005-0000-0000-000010000000}"/>
  </cellStyles>
  <dxfs count="110">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theme="9" tint="-0.499984740745262"/>
          <bgColor theme="9" tint="-0.499984740745262"/>
        </patternFill>
      </fill>
    </dxf>
    <dxf>
      <font>
        <color rgb="FFC00000"/>
      </font>
      <fill>
        <patternFill patternType="solid">
          <fgColor rgb="FFFF9999"/>
          <bgColor rgb="FFFF9999"/>
        </patternFill>
      </fill>
    </dxf>
    <dxf>
      <font>
        <color theme="5"/>
      </font>
      <fill>
        <patternFill patternType="solid">
          <fgColor theme="7" tint="0.79998168889431442"/>
          <bgColor theme="7" tint="0.79998168889431442"/>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mruColors>
      <color rgb="FFCCECFF"/>
      <color rgb="FFA1B0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Scroll" dx="22" fmlaLink="$H$4" horiz="1" max="100" min="1" page="0" val="54"/>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24</xdr:col>
          <xdr:colOff>133350</xdr:colOff>
          <xdr:row>2</xdr:row>
          <xdr:rowOff>114300</xdr:rowOff>
        </xdr:to>
        <xdr:sp macro="" textlink="">
          <xdr:nvSpPr>
            <xdr:cNvPr id="9217" name="Scroll Bar 1" hidden="1">
              <a:extLst>
                <a:ext uri="{63B3BB69-23CF-44E3-9099-C40C66FF867C}">
                  <a14:compatExt spid="_x0000_s9217"/>
                </a:ext>
                <a:ext uri="{FF2B5EF4-FFF2-40B4-BE49-F238E27FC236}">
                  <a16:creationId xmlns:a16="http://schemas.microsoft.com/office/drawing/2014/main" id="{00000000-0008-0000-0100-0000012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vertex42.com/ExcelTemplates/excel-gantt-chart.html"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61"/>
  <sheetViews>
    <sheetView topLeftCell="E2" zoomScale="110" zoomScaleNormal="110" workbookViewId="0">
      <selection activeCell="N9" sqref="N9"/>
    </sheetView>
  </sheetViews>
  <sheetFormatPr defaultRowHeight="15" x14ac:dyDescent="0.25"/>
  <cols>
    <col min="1" max="1" width="10" customWidth="1"/>
    <col min="2" max="2" width="35.7109375" customWidth="1"/>
    <col min="3" max="3" width="8.140625" customWidth="1"/>
    <col min="4" max="4" width="14.140625" bestFit="1" customWidth="1"/>
    <col min="5" max="5" width="15.42578125" bestFit="1" customWidth="1"/>
    <col min="6" max="6" width="14.140625" bestFit="1" customWidth="1"/>
    <col min="7" max="7" width="12.28515625" customWidth="1"/>
    <col min="8" max="8" width="16.140625" bestFit="1" customWidth="1"/>
    <col min="9" max="9" width="14.28515625" bestFit="1" customWidth="1"/>
    <col min="10" max="10" width="15.28515625" bestFit="1" customWidth="1"/>
    <col min="11" max="11" width="25.140625" customWidth="1"/>
    <col min="12" max="12" width="15.28515625" bestFit="1" customWidth="1"/>
    <col min="14" max="14" width="21.7109375" bestFit="1" customWidth="1"/>
  </cols>
  <sheetData>
    <row r="1" spans="2:12" ht="26.45" customHeight="1" x14ac:dyDescent="0.35">
      <c r="B1" s="5"/>
      <c r="C1" s="6"/>
      <c r="D1" s="38"/>
      <c r="E1" s="38"/>
      <c r="F1" s="38"/>
      <c r="G1" s="67"/>
      <c r="H1" s="38"/>
      <c r="I1" s="67"/>
      <c r="J1" s="7"/>
      <c r="K1" s="8"/>
    </row>
    <row r="2" spans="2:12" s="11" customFormat="1" ht="25.5" x14ac:dyDescent="0.25">
      <c r="B2" s="163" t="s">
        <v>262</v>
      </c>
      <c r="C2" s="40"/>
      <c r="D2" s="60" t="s">
        <v>229</v>
      </c>
      <c r="E2" s="60">
        <v>2024</v>
      </c>
      <c r="F2" s="60" t="s">
        <v>228</v>
      </c>
      <c r="G2" s="68"/>
      <c r="H2" s="61" t="s">
        <v>238</v>
      </c>
      <c r="I2" s="144"/>
      <c r="J2" s="61" t="s">
        <v>308</v>
      </c>
      <c r="K2" s="42"/>
    </row>
    <row r="3" spans="2:12" s="11" customFormat="1" ht="14.25" customHeight="1" x14ac:dyDescent="0.25">
      <c r="B3" s="39"/>
      <c r="C3" s="40"/>
      <c r="D3" s="43"/>
      <c r="E3" s="43"/>
      <c r="F3" s="43"/>
      <c r="G3" s="41"/>
      <c r="H3" s="41"/>
      <c r="I3" s="41"/>
      <c r="K3" s="42"/>
    </row>
    <row r="4" spans="2:12" s="11" customFormat="1" ht="15.75" x14ac:dyDescent="0.25">
      <c r="B4" s="44" t="s">
        <v>1</v>
      </c>
      <c r="C4" s="45"/>
      <c r="D4" s="46">
        <f>SUM(D5,D6:D7)</f>
        <v>174540</v>
      </c>
      <c r="E4" s="46">
        <f>SUM(E5,E6:E7)</f>
        <v>873360</v>
      </c>
      <c r="F4" s="46">
        <f>SUM(F5,F6:F7)</f>
        <v>370000</v>
      </c>
      <c r="G4" s="47"/>
      <c r="H4" s="46">
        <f>SUM(H5,H6:H7)</f>
        <v>1417900</v>
      </c>
      <c r="I4" s="47"/>
      <c r="K4" s="48"/>
    </row>
    <row r="5" spans="2:12" s="11" customFormat="1" ht="15.75" x14ac:dyDescent="0.25">
      <c r="B5" s="59" t="s">
        <v>236</v>
      </c>
      <c r="C5" s="45"/>
      <c r="D5" s="63">
        <f>SUMIF(Gantt!$N$10:$N$55,"Sviluppo software",Gantt!I10:I55)</f>
        <v>74688</v>
      </c>
      <c r="E5" s="63">
        <f>SUMIF(Gantt!$N$10:$N$55,"Sviluppo software",Gantt!J10:J55)</f>
        <v>415860</v>
      </c>
      <c r="F5" s="63">
        <f>SUMIF(Gantt!$N$10:$N$55,"Sviluppo software",Gantt!K10:K55)</f>
        <v>175000</v>
      </c>
      <c r="G5" s="49"/>
      <c r="H5" s="64">
        <f t="shared" ref="H5:H13" si="0">SUM(D5:F5)</f>
        <v>665548</v>
      </c>
      <c r="I5" s="49"/>
      <c r="J5" s="64">
        <v>360008</v>
      </c>
      <c r="K5" s="237"/>
    </row>
    <row r="6" spans="2:12" s="11" customFormat="1" ht="15.75" x14ac:dyDescent="0.25">
      <c r="B6" s="59" t="s">
        <v>2</v>
      </c>
      <c r="C6" s="45"/>
      <c r="D6" s="63">
        <f>SUMIF(Gantt!$N$10:$N$55,"MEV",Gantt!I10:I55)</f>
        <v>99852</v>
      </c>
      <c r="E6" s="63">
        <f>SUMIF(Gantt!$N$10:$N$55,"MEV",Gantt!J10:J55)</f>
        <v>222500</v>
      </c>
      <c r="F6" s="63">
        <f>SUMIF(Gantt!$N$10:$N$55,"MEV",Gantt!K10:K55)</f>
        <v>165000</v>
      </c>
      <c r="G6" s="49"/>
      <c r="H6" s="64">
        <f t="shared" si="0"/>
        <v>487352</v>
      </c>
      <c r="I6" s="49"/>
      <c r="J6" s="64">
        <v>489486</v>
      </c>
      <c r="K6" s="237"/>
    </row>
    <row r="7" spans="2:12" s="11" customFormat="1" ht="15.75" x14ac:dyDescent="0.25">
      <c r="B7" s="59" t="s">
        <v>234</v>
      </c>
      <c r="C7" s="45"/>
      <c r="D7" s="63">
        <f>SUMIF(Gantt!$N$10:$N$55,"Conduzione Applicativa(Consumo)",Gantt!I10:I55)</f>
        <v>0</v>
      </c>
      <c r="E7" s="63">
        <f>SUMIF(Gantt!$N$10:$N$55,"Conduzione Applicativa(Consumo)",Gantt!J10:J55)</f>
        <v>235000</v>
      </c>
      <c r="F7" s="63">
        <f>SUMIF(Gantt!$N$10:$N$55,"Conduzione Applicativa(Consumo)",Gantt!K10:K55)</f>
        <v>30000</v>
      </c>
      <c r="G7" s="47"/>
      <c r="H7" s="64">
        <f t="shared" si="0"/>
        <v>265000</v>
      </c>
      <c r="I7" s="47"/>
      <c r="J7" s="64">
        <f>887592-236881.5</f>
        <v>650710.5</v>
      </c>
      <c r="K7" s="237"/>
    </row>
    <row r="8" spans="2:12" s="11" customFormat="1" ht="15.75" x14ac:dyDescent="0.25">
      <c r="B8" s="44" t="s">
        <v>400</v>
      </c>
      <c r="C8" s="45"/>
      <c r="D8" s="46">
        <f>SUMIF(Gantt!$N$10:$N$55,"Supp. Spec. App. (Consumo)",Gantt!I10:I55)</f>
        <v>0</v>
      </c>
      <c r="E8" s="46">
        <f>SUMIF(Gantt!$N$10:$N$55,"Supp. Spec. App. (Consumo)",Gantt!J10:J55)</f>
        <v>42918</v>
      </c>
      <c r="F8" s="46">
        <f>SUMIF(Gantt!$N$10:$N$55,"Supp. Spec. App. (Consumo)",Gantt!K10:K55)</f>
        <v>48176</v>
      </c>
      <c r="G8" s="51"/>
      <c r="H8" s="46">
        <f t="shared" si="0"/>
        <v>91094</v>
      </c>
      <c r="I8" s="51"/>
      <c r="J8" s="64">
        <v>91094</v>
      </c>
      <c r="K8" s="237"/>
      <c r="L8" s="245"/>
    </row>
    <row r="9" spans="2:12" s="11" customFormat="1" ht="15.75" x14ac:dyDescent="0.25">
      <c r="B9" s="44" t="s">
        <v>4</v>
      </c>
      <c r="C9" s="45"/>
      <c r="D9" s="46">
        <f>SUMIF(Gantt!$N$10:$N$55,"Servizi Desk(Canone)",Gantt!I10:I55)</f>
        <v>0</v>
      </c>
      <c r="E9" s="46">
        <f>SUMIF(Gantt!$N$10:$N$55,"Servizi Desk(Canone)",Gantt!J10:J55)</f>
        <v>35000</v>
      </c>
      <c r="F9" s="46">
        <f>SUMIF(Gantt!$N$10:$N$55,"Servizi Desk(Canone)",Gantt!K10:K55)</f>
        <v>35000</v>
      </c>
      <c r="G9" s="47"/>
      <c r="H9" s="46">
        <f t="shared" si="0"/>
        <v>70000</v>
      </c>
      <c r="I9" s="47"/>
      <c r="J9" s="64">
        <v>84997.5</v>
      </c>
      <c r="K9" s="237"/>
    </row>
    <row r="10" spans="2:12" s="11" customFormat="1" ht="15.75" x14ac:dyDescent="0.25">
      <c r="B10" s="52"/>
      <c r="C10" s="45"/>
      <c r="D10" s="53"/>
      <c r="E10" s="54"/>
      <c r="F10" s="54"/>
      <c r="G10" s="55"/>
      <c r="H10" s="55"/>
      <c r="I10" s="55"/>
      <c r="K10" s="42"/>
    </row>
    <row r="11" spans="2:12" s="11" customFormat="1" ht="15.75" x14ac:dyDescent="0.25">
      <c r="B11" s="62" t="s">
        <v>263</v>
      </c>
      <c r="C11" s="40"/>
      <c r="D11" s="46">
        <f>D4+D8+D9</f>
        <v>174540</v>
      </c>
      <c r="E11" s="46">
        <f t="shared" ref="E11:F11" si="1">E4+E8+E9</f>
        <v>951278</v>
      </c>
      <c r="F11" s="46">
        <f t="shared" si="1"/>
        <v>453176</v>
      </c>
      <c r="G11" s="55"/>
      <c r="H11" s="46">
        <f>SUM(D11:F11)</f>
        <v>1578994</v>
      </c>
      <c r="I11" s="55"/>
      <c r="J11" s="107">
        <f>SUM(J5:J9)</f>
        <v>1676296</v>
      </c>
      <c r="K11" s="40"/>
    </row>
    <row r="12" spans="2:12" s="11" customFormat="1" ht="15.75" x14ac:dyDescent="0.25">
      <c r="B12" s="39"/>
      <c r="C12" s="40"/>
      <c r="D12" s="45"/>
      <c r="E12" s="45"/>
      <c r="F12" s="45"/>
      <c r="G12" s="45"/>
      <c r="H12" s="45"/>
      <c r="I12" s="45"/>
      <c r="J12" s="207">
        <f>H13-H11</f>
        <v>97302</v>
      </c>
      <c r="K12" s="48" t="s">
        <v>269</v>
      </c>
    </row>
    <row r="13" spans="2:12" s="11" customFormat="1" ht="15.75" x14ac:dyDescent="0.25">
      <c r="B13" s="56" t="s">
        <v>5</v>
      </c>
      <c r="C13" s="40"/>
      <c r="D13" s="50">
        <v>484872</v>
      </c>
      <c r="E13" s="50">
        <v>788379</v>
      </c>
      <c r="F13" s="50">
        <v>403045</v>
      </c>
      <c r="G13" s="57"/>
      <c r="H13" s="50">
        <f t="shared" si="0"/>
        <v>1676296</v>
      </c>
      <c r="I13" s="57"/>
      <c r="K13" s="42"/>
    </row>
    <row r="14" spans="2:12" ht="15" customHeight="1" x14ac:dyDescent="0.25">
      <c r="B14" s="5"/>
      <c r="C14" s="6"/>
      <c r="D14" s="2"/>
      <c r="E14" s="13"/>
      <c r="F14" s="2"/>
      <c r="G14" s="2"/>
      <c r="H14" s="2"/>
      <c r="I14" s="2"/>
      <c r="J14" s="58"/>
      <c r="K14" s="7"/>
    </row>
    <row r="15" spans="2:12" x14ac:dyDescent="0.25">
      <c r="D15" s="58"/>
      <c r="E15" s="58"/>
      <c r="F15" s="58"/>
      <c r="H15" s="58"/>
    </row>
    <row r="16" spans="2:12" x14ac:dyDescent="0.25">
      <c r="D16" s="58"/>
      <c r="E16" s="58"/>
    </row>
    <row r="17" spans="2:11" hidden="1" x14ac:dyDescent="0.25">
      <c r="B17" s="70" t="s">
        <v>237</v>
      </c>
      <c r="C17" s="69"/>
    </row>
    <row r="18" spans="2:11" ht="15.75" hidden="1" x14ac:dyDescent="0.25">
      <c r="B18" s="71" t="s">
        <v>231</v>
      </c>
      <c r="C18" s="69"/>
      <c r="D18" s="64">
        <v>180000</v>
      </c>
      <c r="E18" s="64">
        <v>150012</v>
      </c>
      <c r="F18" s="64">
        <v>29996</v>
      </c>
      <c r="H18" s="64">
        <f>SUM(D18:F18)</f>
        <v>360008</v>
      </c>
      <c r="J18" s="58">
        <f>H18-H5</f>
        <v>-305540</v>
      </c>
    </row>
    <row r="19" spans="2:11" ht="15.75" hidden="1" x14ac:dyDescent="0.25">
      <c r="B19" s="71" t="s">
        <v>230</v>
      </c>
      <c r="C19" s="69"/>
      <c r="D19" s="64">
        <v>200000</v>
      </c>
      <c r="E19" s="64">
        <v>209997</v>
      </c>
      <c r="F19" s="64">
        <v>79489</v>
      </c>
      <c r="H19" s="64">
        <f t="shared" ref="H19:H24" si="2">SUM(D19:F19)</f>
        <v>489486</v>
      </c>
      <c r="J19" s="58">
        <f>H19-H6</f>
        <v>2134</v>
      </c>
    </row>
    <row r="20" spans="2:11" ht="15.75" hidden="1" x14ac:dyDescent="0.25">
      <c r="B20" s="71" t="s">
        <v>234</v>
      </c>
      <c r="C20" s="69"/>
      <c r="D20" s="64">
        <v>104872</v>
      </c>
      <c r="E20" s="64">
        <v>350452</v>
      </c>
      <c r="F20" s="64">
        <v>220268</v>
      </c>
      <c r="H20" s="64">
        <f t="shared" si="2"/>
        <v>675592</v>
      </c>
      <c r="J20" s="58">
        <f>H20-H7</f>
        <v>410592</v>
      </c>
    </row>
    <row r="21" spans="2:11" ht="15.75" hidden="1" x14ac:dyDescent="0.25">
      <c r="B21" s="71" t="s">
        <v>232</v>
      </c>
      <c r="C21" s="69"/>
      <c r="D21" s="64">
        <v>0</v>
      </c>
      <c r="E21" s="64">
        <v>42918</v>
      </c>
      <c r="F21" s="64">
        <v>38292</v>
      </c>
      <c r="H21" s="64">
        <f t="shared" si="2"/>
        <v>81210</v>
      </c>
      <c r="J21" s="58">
        <f>H21-H8</f>
        <v>-9884</v>
      </c>
    </row>
    <row r="22" spans="2:11" ht="15.75" hidden="1" x14ac:dyDescent="0.25">
      <c r="B22" s="71" t="s">
        <v>233</v>
      </c>
      <c r="C22" s="69"/>
      <c r="D22" s="64">
        <v>0</v>
      </c>
      <c r="E22" s="64">
        <v>35000</v>
      </c>
      <c r="F22" s="64">
        <v>35000</v>
      </c>
      <c r="H22" s="64">
        <f t="shared" si="2"/>
        <v>70000</v>
      </c>
      <c r="J22" s="58">
        <f>H22-H9</f>
        <v>0</v>
      </c>
    </row>
    <row r="23" spans="2:11" ht="9.75" hidden="1" customHeight="1" x14ac:dyDescent="0.25">
      <c r="D23" s="64"/>
      <c r="E23" s="64"/>
      <c r="F23" s="64"/>
      <c r="H23" s="64"/>
      <c r="J23" s="10"/>
    </row>
    <row r="24" spans="2:11" ht="23.25" hidden="1" x14ac:dyDescent="0.25">
      <c r="D24" s="64">
        <f>SUM(D18:D22)</f>
        <v>484872</v>
      </c>
      <c r="E24" s="64">
        <f>SUM(E18:E22)</f>
        <v>788379</v>
      </c>
      <c r="F24" s="64">
        <f>SUM(F18:F22)</f>
        <v>403045</v>
      </c>
      <c r="H24" s="64">
        <f t="shared" si="2"/>
        <v>1676296</v>
      </c>
      <c r="J24" s="10"/>
    </row>
    <row r="25" spans="2:11" s="1" customFormat="1" ht="23.25" x14ac:dyDescent="0.35">
      <c r="B25" s="3"/>
      <c r="C25" s="4"/>
      <c r="D25" s="2"/>
      <c r="E25" s="13"/>
      <c r="F25" s="2"/>
      <c r="G25" s="2"/>
      <c r="H25" s="2"/>
      <c r="J25" s="10"/>
    </row>
    <row r="26" spans="2:11" s="1" customFormat="1" ht="23.25" x14ac:dyDescent="0.35">
      <c r="B26" s="3"/>
      <c r="C26" s="4"/>
      <c r="D26" s="2"/>
      <c r="E26" s="162"/>
      <c r="F26" s="2"/>
      <c r="G26" s="2"/>
      <c r="H26" s="2"/>
      <c r="J26" s="10"/>
    </row>
    <row r="27" spans="2:11" s="11" customFormat="1" ht="25.5" customHeight="1" x14ac:dyDescent="0.25">
      <c r="B27" s="232"/>
      <c r="C27" s="40"/>
      <c r="D27" s="262" t="s">
        <v>229</v>
      </c>
      <c r="E27" s="262" t="s">
        <v>279</v>
      </c>
      <c r="F27" s="262" t="s">
        <v>280</v>
      </c>
      <c r="G27" s="262" t="s">
        <v>281</v>
      </c>
      <c r="H27" s="60" t="s">
        <v>282</v>
      </c>
      <c r="I27" s="60" t="s">
        <v>283</v>
      </c>
      <c r="J27" s="60" t="s">
        <v>284</v>
      </c>
      <c r="K27" s="42"/>
    </row>
    <row r="28" spans="2:11" s="11" customFormat="1" ht="14.25" customHeight="1" x14ac:dyDescent="0.25">
      <c r="B28" s="39"/>
      <c r="C28" s="40"/>
      <c r="D28" s="43"/>
      <c r="E28" s="43"/>
      <c r="F28" s="43"/>
      <c r="G28" s="43"/>
      <c r="H28" s="43"/>
      <c r="I28" s="43"/>
      <c r="J28" s="43"/>
      <c r="K28" s="42"/>
    </row>
    <row r="29" spans="2:11" s="11" customFormat="1" ht="15.75" x14ac:dyDescent="0.25">
      <c r="B29" s="44" t="s">
        <v>1</v>
      </c>
      <c r="C29" s="45"/>
      <c r="D29" s="46">
        <f>SUM(D30,D31:D32)</f>
        <v>174540</v>
      </c>
      <c r="E29" s="46">
        <f t="shared" ref="E29:J29" si="3">SUM(E30,E31:E32)</f>
        <v>229483</v>
      </c>
      <c r="F29" s="46">
        <f t="shared" si="3"/>
        <v>21074</v>
      </c>
      <c r="G29" s="46">
        <f t="shared" si="3"/>
        <v>0</v>
      </c>
      <c r="H29" s="46">
        <f t="shared" si="3"/>
        <v>622803</v>
      </c>
      <c r="I29" s="46">
        <f t="shared" si="3"/>
        <v>355000</v>
      </c>
      <c r="J29" s="46">
        <f t="shared" si="3"/>
        <v>15000</v>
      </c>
      <c r="K29" s="48"/>
    </row>
    <row r="30" spans="2:11" s="11" customFormat="1" ht="15.75" x14ac:dyDescent="0.25">
      <c r="B30" s="59" t="s">
        <v>236</v>
      </c>
      <c r="C30" s="45"/>
      <c r="D30" s="63">
        <f>SUMIFS(Gantt!$I$10:$I$55,Gantt!$N$10:$N$55,"Sviluppo software",Gantt!$O$10:$O$55,"IV TRIMESTRE 2023")</f>
        <v>74688</v>
      </c>
      <c r="E30" s="63">
        <f>SUMIFS(Gantt!$J$10:$J$55,Gantt!$N$10:$N$55,"Sviluppo software",Gantt!$O$10:$O$55,"I TRIMESTRE 2024")</f>
        <v>29483</v>
      </c>
      <c r="F30" s="63">
        <f>SUMIFS(Gantt!$J$10:$J$55,Gantt!$N$10:$N$55,"Sviluppo software",Gantt!$O$10:$O$55,"II TRIMESTRE 2024")</f>
        <v>21074</v>
      </c>
      <c r="G30" s="63">
        <f>SUMIFS(Gantt!$J$10:$J$55,Gantt!$N$10:$N$55,"Sviluppo software",Gantt!$O$10:$O$55,"III TRIMESTRE 2024")</f>
        <v>0</v>
      </c>
      <c r="H30" s="63">
        <f>SUMIFS(Gantt!$J$10:$J$55,Gantt!$N$10:$N$55,"Sviluppo software",Gantt!$O$10:$O$55,"IV TRIMESTRE 2024")</f>
        <v>365303</v>
      </c>
      <c r="I30" s="63">
        <f>SUMIFS(Gantt!$K$10:$K$55,Gantt!$N$10:$N$55,"Sviluppo software",Gantt!$O$10:$O$55,"I TRIMESTRE 2025")</f>
        <v>175000</v>
      </c>
      <c r="J30" s="63">
        <f>SUMIFS(Gantt!$K$10:$K$55,Gantt!$N$10:$N$55,"Sviluppo software",Gantt!$O$10:$O$55,"II TRIMESTRE 2025")</f>
        <v>0</v>
      </c>
      <c r="K30" s="42"/>
    </row>
    <row r="31" spans="2:11" s="11" customFormat="1" ht="15.75" x14ac:dyDescent="0.25">
      <c r="B31" s="59" t="s">
        <v>2</v>
      </c>
      <c r="C31" s="45"/>
      <c r="D31" s="63">
        <f>SUMIFS(Gantt!$I$10:$I$55,Gantt!$N$10:$N$55,"MEV",Gantt!$O$10:$O$55,"IV TRIMESTRE 2023")</f>
        <v>99852</v>
      </c>
      <c r="E31" s="63">
        <f>SUMIFS(Gantt!$J$10:$J$55,Gantt!$N$10:$N$55,"MEV",Gantt!$O$10:$O$55,"I TRIMESTRE 2024")</f>
        <v>0</v>
      </c>
      <c r="F31" s="63">
        <f>SUMIFS(Gantt!$J$10:$J$55,Gantt!$N$10:$N$55,"MEV",Gantt!$O$10:$O$55,"II TRIMESTRE 2024")</f>
        <v>0</v>
      </c>
      <c r="G31" s="63">
        <f>SUMIFS(Gantt!$J$10:$J$55,Gantt!$N$10:$N$55,"MEV",Gantt!$O$10:$O$55,"III TRIMESTRE 2024")</f>
        <v>0</v>
      </c>
      <c r="H31" s="63">
        <f>SUMIFS(Gantt!$J$10:$J$55,Gantt!$N$10:$N$55,"MEV",Gantt!$O$10:$O$55,"IV TRIMESTRE 2024")</f>
        <v>222500</v>
      </c>
      <c r="I31" s="63">
        <f>SUMIFS(Gantt!$K$10:$K$55,Gantt!$N$10:$N$55,"MEV",Gantt!$O$10:$O$55,"I TRIMESTRE 2025")</f>
        <v>165000</v>
      </c>
      <c r="J31" s="63">
        <f>SUMIFS(Gantt!$K$10:$K$55,Gantt!$N$10:$N$55,"MEV",Gantt!$O$10:$O$55,"II TRIMESTRE 2025")</f>
        <v>0</v>
      </c>
      <c r="K31" s="42"/>
    </row>
    <row r="32" spans="2:11" s="11" customFormat="1" ht="15.75" x14ac:dyDescent="0.25">
      <c r="B32" s="59" t="s">
        <v>234</v>
      </c>
      <c r="C32" s="45"/>
      <c r="D32" s="63">
        <f>SUMIFS(Gantt!$I$10:$I$55,Gantt!$N$10:$N$55,"Conduzione applicativa(consumo)",Gantt!$P$10:$P$55,"2023")</f>
        <v>0</v>
      </c>
      <c r="E32" s="63">
        <f>SUMIFS(Gantt!$J$10:$J$55,Gantt!$N$10:$N$55,"Conduzione applicativa(consumo)",Gantt!$O$10:$O$55,"I TRIMESTRE 2024")</f>
        <v>200000</v>
      </c>
      <c r="F32" s="63">
        <f>SUMIFS(Gantt!$J$10:$J$55,Gantt!$N$10:$N$55,"Conduzione applicativa(consumo)",Gantt!$O$10:$O$55,"II TRIMESTRE 2024")</f>
        <v>0</v>
      </c>
      <c r="G32" s="63">
        <f>SUMIFS(Gantt!$J$10:$J$55,Gantt!$N$10:$N$55,"Conduzione applicativa(consumo)",Gantt!$O$10:$O$55,"III TRIMESTRE 2024")</f>
        <v>0</v>
      </c>
      <c r="H32" s="63">
        <f>SUMIFS(Gantt!$J$10:$J$55,Gantt!$N$10:$N$55,"Conduzione applicativa(consumo)",Gantt!$O$10:$O$55,"IV TRIMESTRE 2024")</f>
        <v>35000</v>
      </c>
      <c r="I32" s="63">
        <f>SUMIFS(Gantt!$K$10:$K$55,Gantt!$N$10:$N$55,"Conduzione applicativa(consumo)",Gantt!$O$10:$O$55,"I TRIMESTRE 2025")</f>
        <v>15000</v>
      </c>
      <c r="J32" s="63">
        <f>SUMIFS(Gantt!$K$10:$K$55,Gantt!$N$10:$N$55,"Conduzione applicativa(consumo)",Gantt!$O$10:$O$55,"II TRIMESTRE 2025")</f>
        <v>15000</v>
      </c>
      <c r="K32" s="42"/>
    </row>
    <row r="33" spans="2:13" s="11" customFormat="1" ht="15.75" x14ac:dyDescent="0.25">
      <c r="B33" s="44" t="s">
        <v>3</v>
      </c>
      <c r="C33" s="45"/>
      <c r="D33" s="46">
        <f>SUMIFS(Gantt!$I$10:$I$55,Gantt!$N$10:$N$55,"Supp. Spec. App. (Consumo)",Gantt!$P$10:$P$55,"2023")</f>
        <v>0</v>
      </c>
      <c r="E33" s="46">
        <f>SUMIFS(Gantt!$J$10:$J$55,Gantt!$N$10:$N$55,"Supp. Spec. App. (Consumo)",Gantt!$O$10:$O$55,"I TRIMESTRE 2024")</f>
        <v>10729.5</v>
      </c>
      <c r="F33" s="46">
        <f>SUMIFS(Gantt!$J$10:$J$55,Gantt!$N$10:$N$55,"Supp. Spec. App. (Consumo)",Gantt!$O$10:$O$55,"II TRIMESTRE 2024")</f>
        <v>10729.5</v>
      </c>
      <c r="G33" s="46">
        <f>SUMIFS(Gantt!$J$10:$J$55,Gantt!$N$10:$N$55,"Supp. Spec. App. (Consumo)",Gantt!$O$10:$O$55,"III TRIMESTRE 2024")</f>
        <v>10729.5</v>
      </c>
      <c r="H33" s="46">
        <f>SUMIFS(Gantt!$J$10:$J$55,Gantt!$N$10:$N$55,"Supp. Spec. App. (Consumo)",Gantt!$O$10:$O$55,"IV TRIMESTRE 2024")</f>
        <v>10729.5</v>
      </c>
      <c r="I33" s="46">
        <f>SUMIFS(Gantt!$K$10:$K$55,Gantt!$N$10:$N$55,"Supp. Spec. App. (Consumo)",Gantt!$O$10:$O$55,"I TRIMESTRE 2025")</f>
        <v>24088</v>
      </c>
      <c r="J33" s="46">
        <f>SUMIFS(Gantt!$K$10:$K$55,Gantt!$N$10:$N$55,"Supp. Spec. App. (Consumo)",Gantt!$O$10:$O$55,"II TRIMESTRE 2025")</f>
        <v>24088</v>
      </c>
      <c r="K33" s="42"/>
    </row>
    <row r="34" spans="2:13" s="11" customFormat="1" ht="15.75" x14ac:dyDescent="0.25">
      <c r="B34" s="44" t="s">
        <v>4</v>
      </c>
      <c r="C34" s="45"/>
      <c r="D34" s="46">
        <f>SUMIFS(Gantt!$I$10:$I$55,Gantt!$N$10:$N$55,"Servizi Desk(Canone)",Gantt!$O$10:$O$55,"IV TRIMESTRE 2023")</f>
        <v>0</v>
      </c>
      <c r="E34" s="46">
        <f>SUMIFS(Gantt!$J$10:$J$55,Gantt!$N$10:$N$55,"Servizi Desk(Canone)",Gantt!$O$10:$O$55,"I TRIMESTRE 2024")</f>
        <v>8750</v>
      </c>
      <c r="F34" s="46">
        <f>SUMIFS(Gantt!$J$10:$J$55,Gantt!$N$10:$N$55,"Servizi Desk(Canone)",Gantt!$O$10:$O$55,"II TRIMESTRE 2024")</f>
        <v>8750</v>
      </c>
      <c r="G34" s="46">
        <f>SUMIFS(Gantt!$J$10:$J$55,Gantt!$N$10:$N$55,"Servizi Desk(Canone)",Gantt!$O$10:$O$55,"III TRIMESTRE 2024")</f>
        <v>8750</v>
      </c>
      <c r="H34" s="46">
        <f>SUMIFS(Gantt!$J$10:$J$55,Gantt!$N$10:$N$55,"Servizi Desk(Canone)",Gantt!$O$10:$O$55,"IV TRIMESTRE 2024")</f>
        <v>8750</v>
      </c>
      <c r="I34" s="46">
        <f>SUMIFS(Gantt!$K$10:$K$55,Gantt!$N$10:$N$55,"Servizi Desk(Canone)",Gantt!$O$10:$O$55,"I TRIMESTRE 2025")</f>
        <v>17500</v>
      </c>
      <c r="J34" s="46">
        <f>SUMIFS(Gantt!$K$10:$K$55,Gantt!$N$10:$N$55,"Servizi Desk(Canone)",Gantt!$O$10:$O$55,"II TRIMESTRE 2025")</f>
        <v>17500</v>
      </c>
      <c r="K34" s="42"/>
    </row>
    <row r="35" spans="2:13" s="11" customFormat="1" ht="15.75" x14ac:dyDescent="0.25">
      <c r="B35" s="52"/>
      <c r="C35" s="45"/>
      <c r="D35" s="53"/>
      <c r="E35" s="54"/>
      <c r="F35" s="54"/>
      <c r="G35" s="54"/>
      <c r="H35" s="54"/>
      <c r="I35" s="54"/>
      <c r="J35" s="54"/>
      <c r="K35" s="42"/>
    </row>
    <row r="36" spans="2:13" s="11" customFormat="1" ht="15.75" x14ac:dyDescent="0.25">
      <c r="B36" s="62" t="s">
        <v>261</v>
      </c>
      <c r="C36" s="40"/>
      <c r="D36" s="46">
        <f>D29+D33+D34</f>
        <v>174540</v>
      </c>
      <c r="E36" s="46">
        <f>E29+E33+E34</f>
        <v>248962.5</v>
      </c>
      <c r="F36" s="46">
        <f>F29+F33+F34</f>
        <v>40553.5</v>
      </c>
      <c r="G36" s="46">
        <f t="shared" ref="G36:J36" si="4">G29+G33+G34</f>
        <v>19479.5</v>
      </c>
      <c r="H36" s="46">
        <f t="shared" si="4"/>
        <v>642282.5</v>
      </c>
      <c r="I36" s="46">
        <f t="shared" si="4"/>
        <v>396588</v>
      </c>
      <c r="J36" s="46">
        <f t="shared" si="4"/>
        <v>56588</v>
      </c>
      <c r="K36" s="263" t="s">
        <v>0</v>
      </c>
      <c r="L36" s="255">
        <f>SUM(D36:J36)</f>
        <v>1578994</v>
      </c>
    </row>
    <row r="37" spans="2:13" s="11" customFormat="1" ht="15.75" x14ac:dyDescent="0.25">
      <c r="B37" s="39"/>
      <c r="C37" s="40"/>
      <c r="D37" s="45"/>
      <c r="E37" s="45"/>
      <c r="F37" s="45"/>
      <c r="G37" s="45"/>
      <c r="H37" s="45"/>
      <c r="I37" s="45"/>
      <c r="J37" s="107"/>
      <c r="K37" s="42"/>
    </row>
    <row r="38" spans="2:13" ht="26.25" x14ac:dyDescent="0.35">
      <c r="B38" s="5"/>
      <c r="C38" s="6"/>
      <c r="D38" s="259"/>
      <c r="E38" s="259"/>
      <c r="F38" s="259"/>
      <c r="G38" s="45"/>
      <c r="H38" s="2"/>
      <c r="I38" s="7"/>
      <c r="J38" s="10"/>
      <c r="K38" s="11"/>
      <c r="L38" s="1"/>
    </row>
    <row r="39" spans="2:13" ht="26.25" x14ac:dyDescent="0.35">
      <c r="B39" s="5"/>
      <c r="C39" s="6"/>
      <c r="D39" s="259"/>
      <c r="E39" s="259"/>
      <c r="F39" s="259"/>
      <c r="G39" s="259"/>
      <c r="H39" s="259"/>
      <c r="I39" s="259"/>
      <c r="J39" s="259"/>
      <c r="K39" s="10"/>
      <c r="L39" s="9"/>
      <c r="M39" s="1"/>
    </row>
    <row r="40" spans="2:13" ht="26.25" x14ac:dyDescent="0.35">
      <c r="B40" s="5"/>
      <c r="C40" s="6"/>
      <c r="D40" s="2"/>
      <c r="E40" s="2"/>
      <c r="F40" s="2"/>
      <c r="G40" s="2"/>
      <c r="H40" s="2"/>
      <c r="I40" s="14"/>
      <c r="J40" s="10"/>
      <c r="K40" s="10"/>
      <c r="L40" s="9"/>
      <c r="M40" s="1"/>
    </row>
    <row r="41" spans="2:13" ht="26.25" x14ac:dyDescent="0.35">
      <c r="B41" s="5"/>
      <c r="C41" s="6"/>
      <c r="D41" s="2"/>
      <c r="E41" s="2"/>
      <c r="F41" s="2"/>
      <c r="G41" s="2"/>
      <c r="H41" s="2"/>
      <c r="I41" s="14"/>
      <c r="J41" s="10"/>
      <c r="K41" s="10"/>
      <c r="L41" s="9"/>
      <c r="M41" s="1"/>
    </row>
    <row r="42" spans="2:13" ht="26.25" x14ac:dyDescent="0.35">
      <c r="B42" s="5"/>
      <c r="C42" s="6"/>
      <c r="D42" s="2"/>
      <c r="E42" s="2"/>
      <c r="F42" s="2"/>
      <c r="G42" s="2"/>
      <c r="H42" s="2"/>
      <c r="I42" s="14"/>
      <c r="J42" s="10"/>
      <c r="K42" s="10"/>
      <c r="L42" s="9"/>
      <c r="M42" s="1"/>
    </row>
    <row r="43" spans="2:13" ht="26.25" x14ac:dyDescent="0.35">
      <c r="B43" s="5"/>
      <c r="C43" s="6"/>
      <c r="D43" s="2"/>
      <c r="E43" s="2"/>
      <c r="F43" s="2"/>
      <c r="G43" s="2"/>
      <c r="H43" s="2"/>
      <c r="I43" s="14"/>
      <c r="J43" s="10"/>
      <c r="K43" s="10"/>
      <c r="L43" s="9"/>
      <c r="M43" s="1"/>
    </row>
    <row r="44" spans="2:13" ht="26.25" x14ac:dyDescent="0.35">
      <c r="B44" s="5"/>
      <c r="C44" s="6"/>
      <c r="D44" s="2"/>
      <c r="E44" s="2"/>
      <c r="F44" s="2"/>
      <c r="G44" s="2"/>
      <c r="H44" s="2"/>
      <c r="I44" s="14"/>
      <c r="J44" s="10"/>
      <c r="K44" s="10"/>
      <c r="L44" s="9"/>
      <c r="M44" s="1"/>
    </row>
    <row r="45" spans="2:13" ht="26.25" x14ac:dyDescent="0.35">
      <c r="B45" s="5"/>
      <c r="C45" s="6"/>
      <c r="D45" s="2"/>
      <c r="E45" s="2"/>
      <c r="F45" s="2"/>
      <c r="G45" s="2"/>
      <c r="H45" s="2"/>
      <c r="I45" s="14"/>
      <c r="J45" s="10"/>
      <c r="K45" s="10"/>
      <c r="L45" s="9"/>
      <c r="M45" s="1"/>
    </row>
    <row r="46" spans="2:13" ht="26.25" x14ac:dyDescent="0.35">
      <c r="B46" s="5"/>
      <c r="C46" s="6"/>
      <c r="D46" s="2"/>
      <c r="E46" s="2"/>
      <c r="F46" s="2"/>
      <c r="G46" s="2"/>
      <c r="H46" s="2"/>
      <c r="I46" s="14"/>
      <c r="J46" s="10"/>
      <c r="K46" s="10"/>
      <c r="L46" s="9"/>
      <c r="M46" s="1"/>
    </row>
    <row r="47" spans="2:13" ht="26.25" x14ac:dyDescent="0.35">
      <c r="B47" s="5"/>
      <c r="C47" s="6"/>
      <c r="D47" s="2"/>
      <c r="E47" s="2"/>
      <c r="F47" s="2"/>
      <c r="G47" s="2"/>
      <c r="H47" s="2"/>
      <c r="I47" s="14"/>
      <c r="J47" s="10"/>
      <c r="K47" s="10"/>
      <c r="L47" s="9"/>
      <c r="M47" s="1"/>
    </row>
    <row r="48" spans="2:13" ht="26.25" x14ac:dyDescent="0.35">
      <c r="B48" s="5"/>
      <c r="C48" s="6"/>
      <c r="D48" s="2"/>
      <c r="E48" s="2"/>
      <c r="F48" s="2"/>
      <c r="G48" s="2"/>
      <c r="H48" s="2"/>
      <c r="I48" s="14"/>
      <c r="J48" s="10"/>
      <c r="K48" s="10"/>
      <c r="L48" s="9"/>
      <c r="M48" s="1"/>
    </row>
    <row r="49" spans="2:13" ht="26.25" x14ac:dyDescent="0.35">
      <c r="B49" s="5"/>
      <c r="C49" s="6"/>
      <c r="D49" s="2"/>
      <c r="E49" s="2"/>
      <c r="F49" s="2"/>
      <c r="G49" s="2"/>
      <c r="H49" s="2"/>
      <c r="I49" s="14"/>
      <c r="J49" s="10"/>
      <c r="K49" s="10"/>
      <c r="L49" s="9"/>
      <c r="M49" s="1"/>
    </row>
    <row r="50" spans="2:13" ht="26.25" x14ac:dyDescent="0.35">
      <c r="B50" s="5"/>
      <c r="C50" s="6"/>
      <c r="D50" s="2"/>
      <c r="E50" s="2"/>
      <c r="F50" s="2"/>
      <c r="G50" s="2"/>
      <c r="H50" s="2"/>
      <c r="I50" s="14"/>
      <c r="J50" s="10"/>
      <c r="K50" s="10"/>
      <c r="L50" s="9"/>
      <c r="M50" s="1"/>
    </row>
    <row r="51" spans="2:13" ht="26.25" x14ac:dyDescent="0.35">
      <c r="B51" s="5"/>
      <c r="C51" s="6"/>
      <c r="D51" s="2"/>
      <c r="E51" s="2"/>
      <c r="F51" s="2"/>
      <c r="G51" s="2"/>
      <c r="H51" s="2"/>
      <c r="I51" s="14"/>
      <c r="J51" s="10"/>
      <c r="K51" s="10"/>
      <c r="L51" s="9"/>
      <c r="M51" s="1"/>
    </row>
    <row r="52" spans="2:13" ht="26.25" x14ac:dyDescent="0.35">
      <c r="B52" s="5"/>
      <c r="C52" s="6"/>
      <c r="D52" s="2"/>
      <c r="E52" s="2"/>
      <c r="F52" s="2"/>
      <c r="G52" s="2"/>
      <c r="H52" s="2"/>
      <c r="I52" s="14"/>
      <c r="J52" s="10"/>
      <c r="K52" s="10"/>
      <c r="L52" s="9"/>
      <c r="M52" s="1"/>
    </row>
    <row r="53" spans="2:13" ht="26.25" x14ac:dyDescent="0.35">
      <c r="B53" s="5"/>
      <c r="C53" s="6"/>
      <c r="D53" s="2"/>
      <c r="E53" s="2"/>
      <c r="F53" s="2"/>
      <c r="G53" s="2"/>
      <c r="H53" s="2"/>
      <c r="I53" s="14"/>
      <c r="J53" s="10"/>
      <c r="K53" s="10"/>
      <c r="L53" s="9"/>
      <c r="M53" s="1"/>
    </row>
    <row r="54" spans="2:13" ht="26.25" x14ac:dyDescent="0.35">
      <c r="B54" s="5"/>
      <c r="C54" s="6"/>
      <c r="D54" s="2"/>
      <c r="E54" s="2"/>
      <c r="F54" s="2"/>
      <c r="G54" s="2"/>
      <c r="H54" s="2"/>
      <c r="I54" s="14"/>
      <c r="J54" s="10"/>
      <c r="K54" s="10"/>
      <c r="L54" s="9"/>
      <c r="M54" s="1"/>
    </row>
    <row r="55" spans="2:13" ht="26.25" x14ac:dyDescent="0.35">
      <c r="B55" s="5"/>
      <c r="C55" s="6"/>
      <c r="D55" s="2"/>
      <c r="E55" s="2"/>
      <c r="F55" s="2"/>
      <c r="G55" s="2"/>
      <c r="H55" s="2"/>
      <c r="I55" s="14"/>
      <c r="J55" s="10"/>
      <c r="K55" s="10"/>
      <c r="L55" s="9"/>
      <c r="M55" s="1"/>
    </row>
    <row r="56" spans="2:13" ht="26.25" x14ac:dyDescent="0.35">
      <c r="B56" s="5"/>
      <c r="C56" s="6"/>
      <c r="D56" s="2"/>
      <c r="E56" s="2"/>
      <c r="F56" s="2"/>
      <c r="G56" s="2"/>
      <c r="H56" s="2"/>
      <c r="I56" s="14"/>
      <c r="J56" s="10"/>
      <c r="K56" s="10"/>
      <c r="L56" s="9"/>
      <c r="M56" s="1"/>
    </row>
    <row r="57" spans="2:13" ht="26.25" x14ac:dyDescent="0.35">
      <c r="B57" s="5"/>
      <c r="C57" s="6"/>
      <c r="D57" s="2"/>
      <c r="E57" s="2"/>
      <c r="F57" s="2"/>
      <c r="G57" s="2"/>
      <c r="H57" s="2"/>
      <c r="I57" s="14"/>
      <c r="J57" s="10"/>
      <c r="K57" s="10"/>
      <c r="L57" s="9"/>
      <c r="M57" s="1"/>
    </row>
    <row r="58" spans="2:13" ht="26.25" x14ac:dyDescent="0.35">
      <c r="B58" s="5"/>
      <c r="C58" s="6"/>
      <c r="D58" s="2"/>
      <c r="E58" s="2"/>
      <c r="F58" s="2"/>
      <c r="G58" s="2"/>
      <c r="H58" s="2"/>
      <c r="I58" s="14"/>
      <c r="J58" s="10"/>
      <c r="K58" s="10"/>
      <c r="L58" s="9"/>
      <c r="M58" s="1"/>
    </row>
    <row r="59" spans="2:13" ht="26.25" x14ac:dyDescent="0.35">
      <c r="B59" s="5"/>
      <c r="C59" s="6"/>
      <c r="D59" s="2"/>
      <c r="E59" s="2"/>
      <c r="F59" s="2"/>
      <c r="G59" s="2"/>
      <c r="H59" s="2"/>
      <c r="I59" s="14"/>
      <c r="J59" s="10"/>
      <c r="K59" s="10"/>
      <c r="L59" s="9"/>
      <c r="M59" s="1"/>
    </row>
    <row r="60" spans="2:13" ht="26.25" x14ac:dyDescent="0.35">
      <c r="B60" s="5"/>
      <c r="C60" s="6"/>
      <c r="D60" s="2"/>
      <c r="E60" s="2"/>
      <c r="F60" s="2"/>
      <c r="G60" s="2"/>
      <c r="H60" s="2"/>
      <c r="I60" s="14"/>
      <c r="J60" s="10"/>
      <c r="K60" s="10"/>
      <c r="L60" s="9"/>
      <c r="M60" s="1"/>
    </row>
    <row r="61" spans="2:13" ht="26.25" x14ac:dyDescent="0.35">
      <c r="B61" s="5"/>
      <c r="C61" s="6"/>
      <c r="D61" s="2"/>
      <c r="E61" s="2"/>
      <c r="F61" s="2"/>
      <c r="G61" s="2"/>
      <c r="H61" s="2"/>
      <c r="I61" s="14"/>
      <c r="J61" s="10"/>
      <c r="K61" s="10"/>
      <c r="L61" s="9"/>
      <c r="M61" s="1"/>
    </row>
  </sheetData>
  <pageMargins left="0.7" right="0.7" top="0.75" bottom="0.75" header="0.3" footer="0.3"/>
  <pageSetup paperSize="9" orientation="portrait" r:id="rId1"/>
  <headerFooter>
    <oddFooter>&amp;C&amp;1#&amp;"Calibri"&amp;10&amp;K000000Company General Use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049F6-4324-4846-8250-D3CE5EF3F005}">
  <dimension ref="A1:BU53"/>
  <sheetViews>
    <sheetView topLeftCell="A32" workbookViewId="0">
      <selection activeCell="B47" sqref="B47:I47"/>
    </sheetView>
  </sheetViews>
  <sheetFormatPr defaultRowHeight="15" x14ac:dyDescent="0.25"/>
  <cols>
    <col min="2" max="2" width="73.140625" customWidth="1"/>
    <col min="3" max="3" width="16" hidden="1" customWidth="1"/>
    <col min="5" max="5" width="11" bestFit="1" customWidth="1"/>
    <col min="6" max="6" width="12.140625" customWidth="1"/>
    <col min="10" max="10" width="4.7109375" customWidth="1"/>
    <col min="11" max="28" width="2.7109375" bestFit="1" customWidth="1"/>
    <col min="29" max="31" width="1.85546875" bestFit="1" customWidth="1"/>
    <col min="32" max="32" width="2.42578125" bestFit="1" customWidth="1"/>
    <col min="33" max="33" width="1.85546875" bestFit="1" customWidth="1"/>
    <col min="34" max="34" width="2.5703125" bestFit="1" customWidth="1"/>
    <col min="35" max="37" width="1.85546875" bestFit="1" customWidth="1"/>
    <col min="38" max="59" width="2.7109375" bestFit="1" customWidth="1"/>
    <col min="60" max="60" width="2.42578125" bestFit="1" customWidth="1"/>
    <col min="61" max="61" width="1.85546875" bestFit="1" customWidth="1"/>
    <col min="62" max="62" width="2.5703125" bestFit="1" customWidth="1"/>
    <col min="63" max="66" width="1.85546875" bestFit="1" customWidth="1"/>
    <col min="67" max="67" width="2.42578125" bestFit="1" customWidth="1"/>
    <col min="68" max="68" width="1.85546875" bestFit="1" customWidth="1"/>
    <col min="69" max="69" width="2.5703125" bestFit="1" customWidth="1"/>
    <col min="70" max="73" width="1.85546875" bestFit="1" customWidth="1"/>
  </cols>
  <sheetData>
    <row r="1" spans="1:73" ht="30" customHeight="1" x14ac:dyDescent="0.25">
      <c r="A1" s="347" t="s">
        <v>412</v>
      </c>
      <c r="B1" s="348"/>
      <c r="C1" s="348"/>
      <c r="D1" s="348"/>
      <c r="E1" s="348"/>
      <c r="F1" s="348"/>
      <c r="I1" s="349"/>
      <c r="K1" s="442" t="s">
        <v>408</v>
      </c>
      <c r="L1" s="442"/>
      <c r="M1" s="442"/>
      <c r="N1" s="442"/>
      <c r="O1" s="442"/>
      <c r="P1" s="442"/>
      <c r="Q1" s="442"/>
      <c r="R1" s="442"/>
      <c r="S1" s="442"/>
      <c r="T1" s="442"/>
      <c r="U1" s="442"/>
      <c r="V1" s="442"/>
      <c r="W1" s="442"/>
      <c r="X1" s="442"/>
      <c r="Y1" s="442"/>
      <c r="Z1" s="442"/>
      <c r="AA1" s="442"/>
      <c r="AB1" s="442"/>
      <c r="AC1" s="442"/>
      <c r="AD1" s="442"/>
      <c r="AE1" s="442"/>
    </row>
    <row r="2" spans="1:73" ht="18" customHeight="1" x14ac:dyDescent="0.25">
      <c r="A2" s="350"/>
      <c r="B2" s="351"/>
      <c r="C2" s="351"/>
      <c r="D2" s="352"/>
      <c r="E2" s="353"/>
      <c r="F2" s="353"/>
      <c r="H2" s="354"/>
    </row>
    <row r="3" spans="1:73" x14ac:dyDescent="0.25">
      <c r="A3" s="350"/>
      <c r="B3" s="342"/>
      <c r="H3" s="354"/>
      <c r="K3" s="355"/>
      <c r="L3" s="355"/>
      <c r="M3" s="355"/>
      <c r="N3" s="355"/>
      <c r="O3" s="355"/>
      <c r="P3" s="355"/>
      <c r="Q3" s="355"/>
      <c r="R3" s="355"/>
      <c r="S3" s="355"/>
      <c r="T3" s="355"/>
      <c r="U3" s="355"/>
      <c r="V3" s="355"/>
      <c r="W3" s="355"/>
      <c r="X3" s="355"/>
      <c r="Y3" s="355"/>
      <c r="Z3" s="355"/>
      <c r="AA3" s="355"/>
    </row>
    <row r="4" spans="1:73" ht="17.25" customHeight="1" x14ac:dyDescent="0.25">
      <c r="A4" s="339"/>
      <c r="B4" s="340" t="s">
        <v>413</v>
      </c>
      <c r="C4" s="438">
        <v>45231</v>
      </c>
      <c r="D4" s="438"/>
      <c r="E4" s="438"/>
      <c r="F4" s="339"/>
      <c r="G4" s="340" t="s">
        <v>406</v>
      </c>
      <c r="H4" s="341">
        <v>54</v>
      </c>
      <c r="I4" s="342"/>
      <c r="J4" s="343"/>
      <c r="K4" s="439" t="str">
        <f>"Week "&amp;(K6-($C$4-WEEKDAY($C$4,1)+2))/7+1</f>
        <v>Week 54</v>
      </c>
      <c r="L4" s="440"/>
      <c r="M4" s="440"/>
      <c r="N4" s="440"/>
      <c r="O4" s="440"/>
      <c r="P4" s="440"/>
      <c r="Q4" s="441"/>
      <c r="R4" s="439" t="str">
        <f>"Week "&amp;(R6-($C$4-WEEKDAY($C$4,1)+2))/7+1</f>
        <v>Week 55</v>
      </c>
      <c r="S4" s="440"/>
      <c r="T4" s="440"/>
      <c r="U4" s="440"/>
      <c r="V4" s="440"/>
      <c r="W4" s="440"/>
      <c r="X4" s="441"/>
      <c r="Y4" s="439" t="str">
        <f>"Week "&amp;(Y6-($C$4-WEEKDAY($C$4,1)+2))/7+1</f>
        <v>Week 56</v>
      </c>
      <c r="Z4" s="440"/>
      <c r="AA4" s="440"/>
      <c r="AB4" s="440"/>
      <c r="AC4" s="440"/>
      <c r="AD4" s="440"/>
      <c r="AE4" s="441"/>
      <c r="AF4" s="439" t="str">
        <f>"Week "&amp;(AF6-($C$4-WEEKDAY($C$4,1)+2))/7+1</f>
        <v>Week 57</v>
      </c>
      <c r="AG4" s="440"/>
      <c r="AH4" s="440"/>
      <c r="AI4" s="440"/>
      <c r="AJ4" s="440"/>
      <c r="AK4" s="440"/>
      <c r="AL4" s="441"/>
      <c r="AM4" s="439" t="str">
        <f>"Week "&amp;(AM6-($C$4-WEEKDAY($C$4,1)+2))/7+1</f>
        <v>Week 58</v>
      </c>
      <c r="AN4" s="440"/>
      <c r="AO4" s="440"/>
      <c r="AP4" s="440"/>
      <c r="AQ4" s="440"/>
      <c r="AR4" s="440"/>
      <c r="AS4" s="441"/>
      <c r="AT4" s="439" t="str">
        <f>"Week "&amp;(AT6-($C$4-WEEKDAY($C$4,1)+2))/7+1</f>
        <v>Week 59</v>
      </c>
      <c r="AU4" s="440"/>
      <c r="AV4" s="440"/>
      <c r="AW4" s="440"/>
      <c r="AX4" s="440"/>
      <c r="AY4" s="440"/>
      <c r="AZ4" s="441"/>
      <c r="BA4" s="439" t="str">
        <f>"Week "&amp;(BA6-($C$4-WEEKDAY($C$4,1)+2))/7+1</f>
        <v>Week 60</v>
      </c>
      <c r="BB4" s="440"/>
      <c r="BC4" s="440"/>
      <c r="BD4" s="440"/>
      <c r="BE4" s="440"/>
      <c r="BF4" s="440"/>
      <c r="BG4" s="441"/>
      <c r="BH4" s="439" t="str">
        <f>"Week "&amp;(BH6-($C$4-WEEKDAY($C$4,1)+2))/7+1</f>
        <v>Week 61</v>
      </c>
      <c r="BI4" s="440"/>
      <c r="BJ4" s="440"/>
      <c r="BK4" s="440"/>
      <c r="BL4" s="440"/>
      <c r="BM4" s="440"/>
      <c r="BN4" s="441"/>
      <c r="BO4" s="439" t="str">
        <f>"Week "&amp;(BO6-($C$4-WEEKDAY($C$4,1)+2))/7+1</f>
        <v>Week 62</v>
      </c>
      <c r="BP4" s="440"/>
      <c r="BQ4" s="440"/>
      <c r="BR4" s="440"/>
      <c r="BS4" s="440"/>
      <c r="BT4" s="440"/>
      <c r="BU4" s="441"/>
    </row>
    <row r="5" spans="1:73" ht="17.25" customHeight="1" x14ac:dyDescent="0.25">
      <c r="A5" s="339"/>
      <c r="B5" s="340" t="s">
        <v>407</v>
      </c>
      <c r="C5" s="443"/>
      <c r="D5" s="443"/>
      <c r="E5" s="443"/>
      <c r="F5" s="339"/>
      <c r="G5" s="339"/>
      <c r="H5" s="339"/>
      <c r="I5" s="339"/>
      <c r="J5" s="343"/>
      <c r="K5" s="435">
        <f>K6</f>
        <v>45600</v>
      </c>
      <c r="L5" s="436"/>
      <c r="M5" s="436"/>
      <c r="N5" s="436"/>
      <c r="O5" s="436"/>
      <c r="P5" s="436"/>
      <c r="Q5" s="437"/>
      <c r="R5" s="435">
        <f>R6</f>
        <v>45607</v>
      </c>
      <c r="S5" s="436"/>
      <c r="T5" s="436"/>
      <c r="U5" s="436"/>
      <c r="V5" s="436"/>
      <c r="W5" s="436"/>
      <c r="X5" s="437"/>
      <c r="Y5" s="435">
        <f>Y6</f>
        <v>45614</v>
      </c>
      <c r="Z5" s="436"/>
      <c r="AA5" s="436"/>
      <c r="AB5" s="436"/>
      <c r="AC5" s="436"/>
      <c r="AD5" s="436"/>
      <c r="AE5" s="437"/>
      <c r="AF5" s="435">
        <f>AF6</f>
        <v>45621</v>
      </c>
      <c r="AG5" s="436"/>
      <c r="AH5" s="436"/>
      <c r="AI5" s="436"/>
      <c r="AJ5" s="436"/>
      <c r="AK5" s="436"/>
      <c r="AL5" s="437"/>
      <c r="AM5" s="435">
        <f>AM6</f>
        <v>45628</v>
      </c>
      <c r="AN5" s="436"/>
      <c r="AO5" s="436"/>
      <c r="AP5" s="436"/>
      <c r="AQ5" s="436"/>
      <c r="AR5" s="436"/>
      <c r="AS5" s="437"/>
      <c r="AT5" s="435">
        <f>AT6</f>
        <v>45635</v>
      </c>
      <c r="AU5" s="436"/>
      <c r="AV5" s="436"/>
      <c r="AW5" s="436"/>
      <c r="AX5" s="436"/>
      <c r="AY5" s="436"/>
      <c r="AZ5" s="437"/>
      <c r="BA5" s="435">
        <f>BA6</f>
        <v>45642</v>
      </c>
      <c r="BB5" s="436"/>
      <c r="BC5" s="436"/>
      <c r="BD5" s="436"/>
      <c r="BE5" s="436"/>
      <c r="BF5" s="436"/>
      <c r="BG5" s="437"/>
      <c r="BH5" s="435">
        <f>BH6</f>
        <v>45649</v>
      </c>
      <c r="BI5" s="436"/>
      <c r="BJ5" s="436"/>
      <c r="BK5" s="436"/>
      <c r="BL5" s="436"/>
      <c r="BM5" s="436"/>
      <c r="BN5" s="437"/>
      <c r="BO5" s="435">
        <f>BO6</f>
        <v>45656</v>
      </c>
      <c r="BP5" s="436"/>
      <c r="BQ5" s="436"/>
      <c r="BR5" s="436"/>
      <c r="BS5" s="436"/>
      <c r="BT5" s="436"/>
      <c r="BU5" s="437"/>
    </row>
    <row r="6" spans="1:73" x14ac:dyDescent="0.25">
      <c r="A6" s="343"/>
      <c r="B6" s="343"/>
      <c r="C6" s="343"/>
      <c r="D6" s="343"/>
      <c r="E6" s="343"/>
      <c r="F6" s="343"/>
      <c r="G6" s="343"/>
      <c r="H6" s="343"/>
      <c r="I6" s="343"/>
      <c r="J6" s="343"/>
      <c r="K6" s="344">
        <f>C4-WEEKDAY(C4,1)+2+7*(H4-1)</f>
        <v>45600</v>
      </c>
      <c r="L6" s="345">
        <f t="shared" ref="L6:BN6" si="0">K6+1</f>
        <v>45601</v>
      </c>
      <c r="M6" s="345">
        <f t="shared" si="0"/>
        <v>45602</v>
      </c>
      <c r="N6" s="345">
        <f t="shared" si="0"/>
        <v>45603</v>
      </c>
      <c r="O6" s="345">
        <f t="shared" si="0"/>
        <v>45604</v>
      </c>
      <c r="P6" s="345">
        <f t="shared" si="0"/>
        <v>45605</v>
      </c>
      <c r="Q6" s="346">
        <f t="shared" si="0"/>
        <v>45606</v>
      </c>
      <c r="R6" s="344">
        <f t="shared" si="0"/>
        <v>45607</v>
      </c>
      <c r="S6" s="345">
        <f t="shared" si="0"/>
        <v>45608</v>
      </c>
      <c r="T6" s="345">
        <f t="shared" si="0"/>
        <v>45609</v>
      </c>
      <c r="U6" s="345">
        <f t="shared" si="0"/>
        <v>45610</v>
      </c>
      <c r="V6" s="345">
        <f t="shared" si="0"/>
        <v>45611</v>
      </c>
      <c r="W6" s="345">
        <f t="shared" si="0"/>
        <v>45612</v>
      </c>
      <c r="X6" s="346">
        <f t="shared" si="0"/>
        <v>45613</v>
      </c>
      <c r="Y6" s="344">
        <f t="shared" si="0"/>
        <v>45614</v>
      </c>
      <c r="Z6" s="345">
        <f t="shared" si="0"/>
        <v>45615</v>
      </c>
      <c r="AA6" s="345">
        <f t="shared" si="0"/>
        <v>45616</v>
      </c>
      <c r="AB6" s="345">
        <f t="shared" si="0"/>
        <v>45617</v>
      </c>
      <c r="AC6" s="345">
        <f t="shared" si="0"/>
        <v>45618</v>
      </c>
      <c r="AD6" s="345">
        <f t="shared" si="0"/>
        <v>45619</v>
      </c>
      <c r="AE6" s="346">
        <f t="shared" si="0"/>
        <v>45620</v>
      </c>
      <c r="AF6" s="344">
        <f t="shared" si="0"/>
        <v>45621</v>
      </c>
      <c r="AG6" s="345">
        <f t="shared" si="0"/>
        <v>45622</v>
      </c>
      <c r="AH6" s="345">
        <f t="shared" si="0"/>
        <v>45623</v>
      </c>
      <c r="AI6" s="345">
        <f t="shared" si="0"/>
        <v>45624</v>
      </c>
      <c r="AJ6" s="345">
        <f t="shared" si="0"/>
        <v>45625</v>
      </c>
      <c r="AK6" s="345">
        <f t="shared" si="0"/>
        <v>45626</v>
      </c>
      <c r="AL6" s="346">
        <f t="shared" si="0"/>
        <v>45627</v>
      </c>
      <c r="AM6" s="344">
        <f t="shared" si="0"/>
        <v>45628</v>
      </c>
      <c r="AN6" s="345">
        <f t="shared" si="0"/>
        <v>45629</v>
      </c>
      <c r="AO6" s="345">
        <f t="shared" si="0"/>
        <v>45630</v>
      </c>
      <c r="AP6" s="345">
        <f t="shared" si="0"/>
        <v>45631</v>
      </c>
      <c r="AQ6" s="345">
        <f t="shared" si="0"/>
        <v>45632</v>
      </c>
      <c r="AR6" s="345">
        <f t="shared" si="0"/>
        <v>45633</v>
      </c>
      <c r="AS6" s="346">
        <f t="shared" si="0"/>
        <v>45634</v>
      </c>
      <c r="AT6" s="344">
        <f t="shared" si="0"/>
        <v>45635</v>
      </c>
      <c r="AU6" s="345">
        <f t="shared" si="0"/>
        <v>45636</v>
      </c>
      <c r="AV6" s="345">
        <f t="shared" si="0"/>
        <v>45637</v>
      </c>
      <c r="AW6" s="345">
        <f t="shared" si="0"/>
        <v>45638</v>
      </c>
      <c r="AX6" s="345">
        <f t="shared" si="0"/>
        <v>45639</v>
      </c>
      <c r="AY6" s="345">
        <f t="shared" si="0"/>
        <v>45640</v>
      </c>
      <c r="AZ6" s="346">
        <f t="shared" si="0"/>
        <v>45641</v>
      </c>
      <c r="BA6" s="344">
        <f t="shared" si="0"/>
        <v>45642</v>
      </c>
      <c r="BB6" s="345">
        <f t="shared" si="0"/>
        <v>45643</v>
      </c>
      <c r="BC6" s="345">
        <f t="shared" si="0"/>
        <v>45644</v>
      </c>
      <c r="BD6" s="345">
        <f t="shared" si="0"/>
        <v>45645</v>
      </c>
      <c r="BE6" s="345">
        <f t="shared" si="0"/>
        <v>45646</v>
      </c>
      <c r="BF6" s="345">
        <f t="shared" si="0"/>
        <v>45647</v>
      </c>
      <c r="BG6" s="346">
        <f t="shared" si="0"/>
        <v>45648</v>
      </c>
      <c r="BH6" s="344">
        <f t="shared" si="0"/>
        <v>45649</v>
      </c>
      <c r="BI6" s="345">
        <f t="shared" si="0"/>
        <v>45650</v>
      </c>
      <c r="BJ6" s="345">
        <f t="shared" si="0"/>
        <v>45651</v>
      </c>
      <c r="BK6" s="345">
        <f t="shared" si="0"/>
        <v>45652</v>
      </c>
      <c r="BL6" s="345">
        <f t="shared" si="0"/>
        <v>45653</v>
      </c>
      <c r="BM6" s="345">
        <f t="shared" si="0"/>
        <v>45654</v>
      </c>
      <c r="BN6" s="346">
        <f t="shared" si="0"/>
        <v>45655</v>
      </c>
      <c r="BO6" s="344">
        <f t="shared" ref="BO6" si="1">BN6+1</f>
        <v>45656</v>
      </c>
      <c r="BP6" s="345">
        <f t="shared" ref="BP6" si="2">BO6+1</f>
        <v>45657</v>
      </c>
      <c r="BQ6" s="345">
        <f t="shared" ref="BQ6" si="3">BP6+1</f>
        <v>45658</v>
      </c>
      <c r="BR6" s="345">
        <f t="shared" ref="BR6" si="4">BQ6+1</f>
        <v>45659</v>
      </c>
      <c r="BS6" s="345">
        <f t="shared" ref="BS6" si="5">BR6+1</f>
        <v>45660</v>
      </c>
      <c r="BT6" s="345">
        <f t="shared" ref="BT6" si="6">BS6+1</f>
        <v>45661</v>
      </c>
      <c r="BU6" s="346">
        <f t="shared" ref="BU6" si="7">BT6+1</f>
        <v>45662</v>
      </c>
    </row>
    <row r="7" spans="1:73" s="342" customFormat="1" ht="36.75" thickBot="1" x14ac:dyDescent="0.25">
      <c r="A7" s="356" t="s">
        <v>409</v>
      </c>
      <c r="B7" s="356" t="s">
        <v>410</v>
      </c>
      <c r="C7" s="357" t="s">
        <v>411</v>
      </c>
      <c r="D7" s="358" t="s">
        <v>414</v>
      </c>
      <c r="E7" s="359" t="s">
        <v>415</v>
      </c>
      <c r="F7" s="359" t="s">
        <v>416</v>
      </c>
      <c r="G7" s="357" t="s">
        <v>417</v>
      </c>
      <c r="H7" s="357" t="s">
        <v>418</v>
      </c>
      <c r="I7" s="357" t="s">
        <v>419</v>
      </c>
      <c r="J7" s="357"/>
      <c r="K7" s="360" t="str">
        <f t="shared" ref="K7:BN7" si="8">CHOOSE(WEEKDAY(K6,1),"S","M","T","W","T","F","S")</f>
        <v>M</v>
      </c>
      <c r="L7" s="361" t="str">
        <f t="shared" si="8"/>
        <v>T</v>
      </c>
      <c r="M7" s="361" t="str">
        <f t="shared" si="8"/>
        <v>W</v>
      </c>
      <c r="N7" s="361" t="str">
        <f t="shared" si="8"/>
        <v>T</v>
      </c>
      <c r="O7" s="361" t="str">
        <f t="shared" si="8"/>
        <v>F</v>
      </c>
      <c r="P7" s="361" t="str">
        <f t="shared" si="8"/>
        <v>S</v>
      </c>
      <c r="Q7" s="362" t="str">
        <f t="shared" si="8"/>
        <v>S</v>
      </c>
      <c r="R7" s="360" t="str">
        <f t="shared" si="8"/>
        <v>M</v>
      </c>
      <c r="S7" s="361" t="str">
        <f t="shared" si="8"/>
        <v>T</v>
      </c>
      <c r="T7" s="361" t="str">
        <f t="shared" si="8"/>
        <v>W</v>
      </c>
      <c r="U7" s="361" t="str">
        <f t="shared" si="8"/>
        <v>T</v>
      </c>
      <c r="V7" s="361" t="str">
        <f t="shared" si="8"/>
        <v>F</v>
      </c>
      <c r="W7" s="361" t="str">
        <f t="shared" si="8"/>
        <v>S</v>
      </c>
      <c r="X7" s="362" t="str">
        <f t="shared" si="8"/>
        <v>S</v>
      </c>
      <c r="Y7" s="360" t="str">
        <f t="shared" si="8"/>
        <v>M</v>
      </c>
      <c r="Z7" s="361" t="str">
        <f t="shared" si="8"/>
        <v>T</v>
      </c>
      <c r="AA7" s="361" t="str">
        <f t="shared" si="8"/>
        <v>W</v>
      </c>
      <c r="AB7" s="361" t="str">
        <f t="shared" si="8"/>
        <v>T</v>
      </c>
      <c r="AC7" s="361" t="str">
        <f t="shared" si="8"/>
        <v>F</v>
      </c>
      <c r="AD7" s="361" t="str">
        <f t="shared" si="8"/>
        <v>S</v>
      </c>
      <c r="AE7" s="362" t="str">
        <f t="shared" si="8"/>
        <v>S</v>
      </c>
      <c r="AF7" s="360" t="str">
        <f t="shared" si="8"/>
        <v>M</v>
      </c>
      <c r="AG7" s="361" t="str">
        <f t="shared" si="8"/>
        <v>T</v>
      </c>
      <c r="AH7" s="361" t="str">
        <f t="shared" si="8"/>
        <v>W</v>
      </c>
      <c r="AI7" s="361" t="str">
        <f t="shared" si="8"/>
        <v>T</v>
      </c>
      <c r="AJ7" s="361" t="str">
        <f t="shared" si="8"/>
        <v>F</v>
      </c>
      <c r="AK7" s="361" t="str">
        <f t="shared" si="8"/>
        <v>S</v>
      </c>
      <c r="AL7" s="362" t="str">
        <f t="shared" si="8"/>
        <v>S</v>
      </c>
      <c r="AM7" s="360" t="str">
        <f t="shared" si="8"/>
        <v>M</v>
      </c>
      <c r="AN7" s="361" t="str">
        <f t="shared" si="8"/>
        <v>T</v>
      </c>
      <c r="AO7" s="361" t="str">
        <f t="shared" si="8"/>
        <v>W</v>
      </c>
      <c r="AP7" s="361" t="str">
        <f t="shared" si="8"/>
        <v>T</v>
      </c>
      <c r="AQ7" s="361" t="str">
        <f t="shared" si="8"/>
        <v>F</v>
      </c>
      <c r="AR7" s="361" t="str">
        <f t="shared" si="8"/>
        <v>S</v>
      </c>
      <c r="AS7" s="362" t="str">
        <f t="shared" si="8"/>
        <v>S</v>
      </c>
      <c r="AT7" s="360" t="str">
        <f t="shared" si="8"/>
        <v>M</v>
      </c>
      <c r="AU7" s="361" t="str">
        <f t="shared" si="8"/>
        <v>T</v>
      </c>
      <c r="AV7" s="361" t="str">
        <f t="shared" si="8"/>
        <v>W</v>
      </c>
      <c r="AW7" s="361" t="str">
        <f t="shared" si="8"/>
        <v>T</v>
      </c>
      <c r="AX7" s="361" t="str">
        <f t="shared" si="8"/>
        <v>F</v>
      </c>
      <c r="AY7" s="361" t="str">
        <f t="shared" si="8"/>
        <v>S</v>
      </c>
      <c r="AZ7" s="362" t="str">
        <f t="shared" si="8"/>
        <v>S</v>
      </c>
      <c r="BA7" s="360" t="str">
        <f t="shared" si="8"/>
        <v>M</v>
      </c>
      <c r="BB7" s="361" t="str">
        <f t="shared" si="8"/>
        <v>T</v>
      </c>
      <c r="BC7" s="361" t="str">
        <f t="shared" si="8"/>
        <v>W</v>
      </c>
      <c r="BD7" s="361" t="str">
        <f t="shared" si="8"/>
        <v>T</v>
      </c>
      <c r="BE7" s="361" t="str">
        <f t="shared" si="8"/>
        <v>F</v>
      </c>
      <c r="BF7" s="361" t="str">
        <f t="shared" si="8"/>
        <v>S</v>
      </c>
      <c r="BG7" s="362" t="str">
        <f t="shared" si="8"/>
        <v>S</v>
      </c>
      <c r="BH7" s="360" t="str">
        <f t="shared" si="8"/>
        <v>M</v>
      </c>
      <c r="BI7" s="361" t="str">
        <f t="shared" si="8"/>
        <v>T</v>
      </c>
      <c r="BJ7" s="361" t="str">
        <f t="shared" si="8"/>
        <v>W</v>
      </c>
      <c r="BK7" s="361" t="str">
        <f t="shared" si="8"/>
        <v>T</v>
      </c>
      <c r="BL7" s="361" t="str">
        <f t="shared" si="8"/>
        <v>F</v>
      </c>
      <c r="BM7" s="361" t="str">
        <f t="shared" si="8"/>
        <v>S</v>
      </c>
      <c r="BN7" s="362" t="str">
        <f t="shared" si="8"/>
        <v>S</v>
      </c>
      <c r="BO7" s="360" t="str">
        <f t="shared" ref="BO7:BU7" si="9">CHOOSE(WEEKDAY(BO6,1),"S","M","T","W","T","F","S")</f>
        <v>M</v>
      </c>
      <c r="BP7" s="361" t="str">
        <f t="shared" si="9"/>
        <v>T</v>
      </c>
      <c r="BQ7" s="361" t="str">
        <f t="shared" si="9"/>
        <v>W</v>
      </c>
      <c r="BR7" s="361" t="str">
        <f t="shared" si="9"/>
        <v>T</v>
      </c>
      <c r="BS7" s="361" t="str">
        <f t="shared" si="9"/>
        <v>F</v>
      </c>
      <c r="BT7" s="361" t="str">
        <f t="shared" si="9"/>
        <v>S</v>
      </c>
      <c r="BU7" s="362" t="str">
        <f t="shared" si="9"/>
        <v>S</v>
      </c>
    </row>
    <row r="8" spans="1:73" s="374" customFormat="1" ht="18.75" x14ac:dyDescent="0.25">
      <c r="A8" s="363" t="str">
        <f>IF(ISERROR(VALUE(SUBSTITUTE(prevWBS,".",""))),"1",IF(ISERROR(FIND("`",SUBSTITUTE(prevWBS,".","`",1))),TEXT(VALUE(prevWBS)+1,"#"),TEXT(VALUE(LEFT(prevWBS,FIND("`",SUBSTITUTE(prevWBS,".","`",1))-1))+1,"#")))</f>
        <v>1</v>
      </c>
      <c r="B8" s="364" t="str">
        <f>Gantt!D10</f>
        <v>SERVIZI APPLICATIVI - ATTIVITA' DI CARATTERE PROGETTUALE
(Sviluppo SW + MEV+Supporto Specialistico Operativo)</v>
      </c>
      <c r="C8" s="365"/>
      <c r="D8" s="366"/>
      <c r="E8" s="367"/>
      <c r="F8" s="368" t="str">
        <f>IF(ISBLANK(E8)," - ",IF(G8=0,E8,E8+G8-1))</f>
        <v xml:space="preserve"> - </v>
      </c>
      <c r="G8" s="369"/>
      <c r="H8" s="370"/>
      <c r="I8" s="371" t="str">
        <f t="shared" ref="I8:I17" si="10">IF(OR(F8=0,E8=0)," - ",NETWORKDAYS(E8,F8))</f>
        <v xml:space="preserve"> - </v>
      </c>
      <c r="J8" s="372"/>
      <c r="K8" s="373"/>
      <c r="L8" s="373"/>
      <c r="M8" s="373"/>
      <c r="N8" s="373"/>
      <c r="O8" s="373"/>
      <c r="P8" s="373"/>
      <c r="Q8" s="373"/>
      <c r="R8" s="373"/>
      <c r="S8" s="373"/>
      <c r="T8" s="373"/>
      <c r="U8" s="373"/>
      <c r="V8" s="373"/>
      <c r="W8" s="373"/>
      <c r="X8" s="373"/>
      <c r="Y8" s="373"/>
      <c r="Z8" s="373"/>
      <c r="AA8" s="373"/>
      <c r="AB8" s="373"/>
      <c r="AC8" s="373"/>
      <c r="AD8" s="373"/>
      <c r="AE8" s="373"/>
      <c r="AF8" s="373"/>
      <c r="AG8" s="373"/>
      <c r="AH8" s="373"/>
      <c r="AI8" s="373"/>
      <c r="AJ8" s="373"/>
      <c r="AK8" s="373"/>
      <c r="AL8" s="373"/>
      <c r="AM8" s="373"/>
      <c r="AN8" s="373"/>
      <c r="AO8" s="373"/>
      <c r="AP8" s="373"/>
      <c r="AQ8" s="373"/>
      <c r="AR8" s="373"/>
      <c r="AS8" s="373"/>
      <c r="AT8" s="373"/>
      <c r="AU8" s="373"/>
      <c r="AV8" s="373"/>
      <c r="AW8" s="373"/>
      <c r="AX8" s="373"/>
      <c r="AY8" s="373"/>
      <c r="AZ8" s="373"/>
      <c r="BA8" s="373"/>
      <c r="BB8" s="373"/>
      <c r="BC8" s="373"/>
      <c r="BD8" s="373"/>
      <c r="BE8" s="373"/>
      <c r="BF8" s="373"/>
      <c r="BG8" s="373"/>
      <c r="BH8" s="373"/>
      <c r="BI8" s="373"/>
      <c r="BJ8" s="373"/>
      <c r="BK8" s="373"/>
      <c r="BL8" s="373"/>
      <c r="BM8" s="373"/>
      <c r="BN8" s="373"/>
      <c r="BO8" s="373"/>
      <c r="BP8" s="373"/>
      <c r="BQ8" s="373"/>
      <c r="BR8" s="373"/>
      <c r="BS8" s="373"/>
      <c r="BT8" s="373"/>
      <c r="BU8" s="373"/>
    </row>
    <row r="9" spans="1:73" s="377" customFormat="1" ht="24" x14ac:dyDescent="0.25">
      <c r="A9" s="375">
        <f>Gantt!A11</f>
        <v>0</v>
      </c>
      <c r="B9" s="376" t="str">
        <f>Gantt!D11</f>
        <v>MEV GARI-PA per porting (IV TRIM 23) su nuovo ambiente di tutti i moduli (BASE, PUA, QDCA, UMA)</v>
      </c>
      <c r="D9" s="378"/>
      <c r="E9" s="384">
        <f>Gantt!U11</f>
        <v>45231</v>
      </c>
      <c r="F9" s="385">
        <f>Gantt!X11</f>
        <v>45313</v>
      </c>
      <c r="G9" s="379">
        <f>F9-E9</f>
        <v>82</v>
      </c>
      <c r="H9" s="380">
        <f>Gantt!T11</f>
        <v>1</v>
      </c>
      <c r="I9" s="381">
        <f t="shared" si="10"/>
        <v>59</v>
      </c>
      <c r="J9" s="382"/>
      <c r="K9" s="375"/>
      <c r="L9" s="375"/>
      <c r="M9" s="375"/>
      <c r="N9" s="375"/>
      <c r="O9" s="375"/>
      <c r="P9" s="375"/>
      <c r="Q9" s="375"/>
      <c r="R9" s="375"/>
      <c r="S9" s="375"/>
      <c r="T9" s="375"/>
      <c r="U9" s="375"/>
      <c r="V9" s="375"/>
      <c r="W9" s="375"/>
      <c r="X9" s="375"/>
      <c r="Y9" s="375"/>
      <c r="Z9" s="375"/>
      <c r="AA9" s="375"/>
      <c r="AB9" s="375"/>
      <c r="AC9" s="375"/>
      <c r="AD9" s="375"/>
      <c r="AE9" s="375"/>
      <c r="AF9" s="375"/>
      <c r="AG9" s="375"/>
      <c r="AH9" s="375"/>
      <c r="AI9" s="375"/>
      <c r="AJ9" s="375"/>
      <c r="AK9" s="375"/>
      <c r="AL9" s="375"/>
      <c r="AM9" s="375"/>
      <c r="AN9" s="375"/>
      <c r="AO9" s="375"/>
      <c r="AP9" s="375"/>
      <c r="AQ9" s="375"/>
      <c r="AR9" s="375"/>
      <c r="AS9" s="375"/>
      <c r="AT9" s="375"/>
      <c r="AU9" s="375"/>
      <c r="AV9" s="375"/>
      <c r="AW9" s="375"/>
      <c r="AX9" s="375"/>
      <c r="AY9" s="375"/>
      <c r="AZ9" s="375"/>
      <c r="BA9" s="375"/>
      <c r="BB9" s="375"/>
      <c r="BC9" s="375"/>
      <c r="BD9" s="375"/>
      <c r="BE9" s="375"/>
      <c r="BF9" s="375"/>
      <c r="BG9" s="375"/>
      <c r="BH9" s="375"/>
      <c r="BI9" s="375"/>
      <c r="BJ9" s="375"/>
      <c r="BK9" s="375"/>
      <c r="BL9" s="375"/>
      <c r="BM9" s="375"/>
      <c r="BN9" s="375"/>
      <c r="BO9" s="375"/>
      <c r="BP9" s="375"/>
      <c r="BQ9" s="375"/>
      <c r="BR9" s="375"/>
      <c r="BS9" s="375"/>
      <c r="BT9" s="375"/>
      <c r="BU9" s="375"/>
    </row>
    <row r="10" spans="1:73" s="377" customFormat="1" ht="18.75" x14ac:dyDescent="0.25">
      <c r="A10" s="375">
        <f>Gantt!A12</f>
        <v>1</v>
      </c>
      <c r="B10" s="402" t="str">
        <f>Gantt!D12</f>
        <v>GARI BASE</v>
      </c>
      <c r="C10" s="403"/>
      <c r="D10" s="404"/>
      <c r="E10" s="405"/>
      <c r="F10" s="406"/>
      <c r="G10" s="407"/>
      <c r="H10" s="408"/>
      <c r="I10" s="407"/>
      <c r="J10" s="382"/>
      <c r="K10" s="375"/>
      <c r="L10" s="375"/>
      <c r="M10" s="375"/>
      <c r="N10" s="375"/>
      <c r="O10" s="375"/>
      <c r="P10" s="375"/>
      <c r="Q10" s="375"/>
      <c r="R10" s="375"/>
      <c r="S10" s="375"/>
      <c r="T10" s="375"/>
      <c r="U10" s="375"/>
      <c r="V10" s="375"/>
      <c r="W10" s="375"/>
      <c r="X10" s="375"/>
      <c r="Y10" s="375"/>
      <c r="Z10" s="375"/>
      <c r="AA10" s="375"/>
      <c r="AB10" s="375"/>
      <c r="AC10" s="375"/>
      <c r="AD10" s="375"/>
      <c r="AE10" s="375"/>
      <c r="AF10" s="375"/>
      <c r="AG10" s="375"/>
      <c r="AH10" s="375"/>
      <c r="AI10" s="375"/>
      <c r="AJ10" s="375"/>
      <c r="AK10" s="375"/>
      <c r="AL10" s="375"/>
      <c r="AM10" s="375"/>
      <c r="AN10" s="375"/>
      <c r="AO10" s="375"/>
      <c r="AP10" s="375"/>
      <c r="AQ10" s="375"/>
      <c r="AR10" s="375"/>
      <c r="AS10" s="375"/>
      <c r="AT10" s="375"/>
      <c r="AU10" s="375"/>
      <c r="AV10" s="375"/>
      <c r="AW10" s="375"/>
      <c r="AX10" s="375"/>
      <c r="AY10" s="375"/>
      <c r="AZ10" s="375"/>
      <c r="BA10" s="375"/>
      <c r="BB10" s="375"/>
      <c r="BC10" s="375"/>
      <c r="BD10" s="375"/>
      <c r="BE10" s="375"/>
      <c r="BF10" s="375"/>
      <c r="BG10" s="375"/>
      <c r="BH10" s="375"/>
      <c r="BI10" s="375"/>
      <c r="BJ10" s="375"/>
      <c r="BK10" s="375"/>
      <c r="BL10" s="375"/>
      <c r="BM10" s="375"/>
      <c r="BN10" s="375"/>
      <c r="BO10" s="375"/>
      <c r="BP10" s="375"/>
      <c r="BQ10" s="375"/>
      <c r="BR10" s="375"/>
      <c r="BS10" s="375"/>
      <c r="BT10" s="375"/>
      <c r="BU10" s="375"/>
    </row>
    <row r="11" spans="1:73" s="377" customFormat="1" ht="25.5" customHeight="1" x14ac:dyDescent="0.25">
      <c r="A11" s="375" t="str">
        <f>Gantt!A13</f>
        <v>1.1</v>
      </c>
      <c r="B11" s="376" t="str">
        <f>Gantt!D13</f>
        <v>GARI-BASE Re-ingegnerizzazione della piattaforma GIAS per implementare la nuova piattaforma GARI su nuove tecnologie ( i.e  tecnologia Angular)</v>
      </c>
      <c r="D11" s="378"/>
      <c r="E11" s="384">
        <f>Gantt!U13</f>
        <v>45299</v>
      </c>
      <c r="F11" s="385">
        <f>Gantt!X13</f>
        <v>45366</v>
      </c>
      <c r="G11" s="379">
        <f t="shared" ref="G11:G52" si="11">F11-E11</f>
        <v>67</v>
      </c>
      <c r="H11" s="380">
        <f>Gantt!T13</f>
        <v>1</v>
      </c>
      <c r="I11" s="381">
        <f t="shared" si="10"/>
        <v>50</v>
      </c>
      <c r="J11" s="382"/>
      <c r="K11" s="375"/>
      <c r="L11" s="375"/>
      <c r="M11" s="383"/>
      <c r="N11" s="375"/>
      <c r="O11" s="375"/>
      <c r="P11" s="375"/>
      <c r="Q11" s="375"/>
      <c r="R11" s="375"/>
      <c r="S11" s="375"/>
      <c r="T11" s="375"/>
      <c r="U11" s="375"/>
      <c r="V11" s="375"/>
      <c r="W11" s="375"/>
      <c r="X11" s="375"/>
      <c r="Y11" s="375"/>
      <c r="Z11" s="375"/>
      <c r="AA11" s="375"/>
      <c r="AB11" s="375"/>
      <c r="AC11" s="375"/>
      <c r="AD11" s="375"/>
      <c r="AE11" s="375"/>
      <c r="AF11" s="375"/>
      <c r="AG11" s="375"/>
      <c r="AH11" s="375"/>
      <c r="AI11" s="375"/>
      <c r="AJ11" s="375"/>
      <c r="AK11" s="375"/>
      <c r="AL11" s="375"/>
      <c r="AM11" s="375"/>
      <c r="AN11" s="375"/>
      <c r="AO11" s="375"/>
      <c r="AP11" s="375"/>
      <c r="AQ11" s="375"/>
      <c r="AR11" s="375"/>
      <c r="AS11" s="375"/>
      <c r="AT11" s="375"/>
      <c r="AU11" s="375"/>
      <c r="AV11" s="375"/>
      <c r="AW11" s="375"/>
      <c r="AX11" s="375"/>
      <c r="AY11" s="375"/>
      <c r="AZ11" s="375"/>
      <c r="BA11" s="375"/>
      <c r="BB11" s="375"/>
      <c r="BC11" s="375"/>
      <c r="BD11" s="375"/>
      <c r="BE11" s="375"/>
      <c r="BF11" s="375"/>
      <c r="BG11" s="375"/>
      <c r="BH11" s="375"/>
      <c r="BI11" s="375"/>
      <c r="BJ11" s="375"/>
      <c r="BK11" s="375"/>
      <c r="BL11" s="375"/>
      <c r="BM11" s="375"/>
      <c r="BN11" s="375"/>
      <c r="BO11" s="375"/>
      <c r="BP11" s="375"/>
      <c r="BQ11" s="375"/>
      <c r="BR11" s="375"/>
      <c r="BS11" s="375"/>
      <c r="BT11" s="375"/>
      <c r="BU11" s="375"/>
    </row>
    <row r="12" spans="1:73" s="377" customFormat="1" ht="25.5" customHeight="1" x14ac:dyDescent="0.25">
      <c r="A12" s="375" t="str">
        <f>Gantt!A14</f>
        <v>1.2</v>
      </c>
      <c r="B12" s="376" t="str">
        <f>Gantt!D14</f>
        <v xml:space="preserve">Sviluppo funzionalità di Interlavoro con il sistema SIAN per importare il Piano colturale Grafico AGEA, compendiato dagli attributi catastali alfanumerici e altre informazioni legate alle consistenze aziendali funzionali alla gestione GARI
Con acquisizione dei dati di fascicolo necessari ai procedimenti del GARI se e come esposti da AGEA. </v>
      </c>
      <c r="D12" s="378"/>
      <c r="E12" s="384">
        <f>Gantt!U14</f>
        <v>45536</v>
      </c>
      <c r="F12" s="385">
        <f>Gantt!X14</f>
        <v>45641</v>
      </c>
      <c r="G12" s="379">
        <f t="shared" si="11"/>
        <v>105</v>
      </c>
      <c r="H12" s="380">
        <f>Gantt!T14</f>
        <v>0.4</v>
      </c>
      <c r="I12" s="381">
        <f t="shared" si="10"/>
        <v>75</v>
      </c>
      <c r="J12" s="382"/>
      <c r="K12" s="375"/>
      <c r="L12" s="375"/>
      <c r="M12" s="375"/>
      <c r="N12" s="375"/>
      <c r="O12" s="375"/>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c r="BK12" s="375"/>
      <c r="BL12" s="375"/>
      <c r="BM12" s="375"/>
      <c r="BN12" s="375"/>
      <c r="BO12" s="375"/>
      <c r="BP12" s="375"/>
      <c r="BQ12" s="375"/>
      <c r="BR12" s="375"/>
      <c r="BS12" s="375"/>
      <c r="BT12" s="375"/>
      <c r="BU12" s="375"/>
    </row>
    <row r="13" spans="1:73" s="377" customFormat="1" ht="25.5" customHeight="1" x14ac:dyDescent="0.25">
      <c r="A13" s="375" t="str">
        <f>Gantt!A15</f>
        <v>1.3</v>
      </c>
      <c r="B13" s="376" t="str">
        <f>Gantt!D15</f>
        <v>Implementazione del modulo GARI-GIS  per la gestione( nel contesto GIS) i dati importati dal SIAN relativi al PCG (nuovo sistema di riferimento wgs84)</v>
      </c>
      <c r="D13" s="378"/>
      <c r="E13" s="384">
        <f>Gantt!U15</f>
        <v>45536</v>
      </c>
      <c r="F13" s="385">
        <f>Gantt!X15</f>
        <v>45641</v>
      </c>
      <c r="G13" s="379">
        <f t="shared" si="11"/>
        <v>105</v>
      </c>
      <c r="H13" s="380">
        <f>Gantt!T15</f>
        <v>0.4</v>
      </c>
      <c r="I13" s="381">
        <f t="shared" si="10"/>
        <v>75</v>
      </c>
      <c r="J13" s="382"/>
      <c r="K13" s="375"/>
      <c r="L13" s="375"/>
      <c r="M13" s="375"/>
      <c r="N13" s="375"/>
      <c r="O13" s="375"/>
      <c r="P13" s="375"/>
      <c r="Q13" s="375"/>
      <c r="R13" s="375"/>
      <c r="S13" s="375"/>
      <c r="T13" s="375"/>
      <c r="U13" s="375"/>
      <c r="V13" s="375"/>
      <c r="W13" s="375"/>
      <c r="X13" s="375"/>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c r="BK13" s="375"/>
      <c r="BL13" s="375"/>
      <c r="BM13" s="375"/>
      <c r="BN13" s="375"/>
      <c r="BO13" s="375"/>
      <c r="BP13" s="375"/>
      <c r="BQ13" s="375"/>
      <c r="BR13" s="375"/>
      <c r="BS13" s="375"/>
      <c r="BT13" s="375"/>
      <c r="BU13" s="375"/>
    </row>
    <row r="14" spans="1:73" s="377" customFormat="1" ht="25.5" customHeight="1" x14ac:dyDescent="0.25">
      <c r="A14" s="375" t="str">
        <f>Gantt!A16</f>
        <v>1.4</v>
      </c>
      <c r="B14" s="376" t="str">
        <f>Gantt!D16</f>
        <v>Gestione delle Anagrafiche (risorse , macchine, analisi terreno etc)</v>
      </c>
      <c r="D14" s="378"/>
      <c r="E14" s="384">
        <f>Gantt!U16</f>
        <v>45488</v>
      </c>
      <c r="F14" s="385">
        <f>Gantt!X16</f>
        <v>45590</v>
      </c>
      <c r="G14" s="379">
        <f t="shared" si="11"/>
        <v>102</v>
      </c>
      <c r="H14" s="380">
        <f>Gantt!T16</f>
        <v>0.9</v>
      </c>
      <c r="I14" s="381">
        <f t="shared" si="10"/>
        <v>75</v>
      </c>
      <c r="J14" s="382"/>
      <c r="K14" s="375"/>
      <c r="L14" s="375"/>
      <c r="M14" s="375"/>
      <c r="N14" s="375"/>
      <c r="O14" s="375"/>
      <c r="P14" s="375"/>
      <c r="Q14" s="375"/>
      <c r="R14" s="375"/>
      <c r="S14" s="375"/>
      <c r="T14" s="375"/>
      <c r="U14" s="375"/>
      <c r="V14" s="375"/>
      <c r="W14" s="375"/>
      <c r="X14" s="375"/>
      <c r="Y14" s="375"/>
      <c r="Z14" s="375"/>
      <c r="AA14" s="375"/>
      <c r="AB14" s="375"/>
      <c r="AC14" s="375"/>
      <c r="AD14" s="375"/>
      <c r="AE14" s="375"/>
      <c r="AF14" s="375"/>
      <c r="AG14" s="375"/>
      <c r="AH14" s="375"/>
      <c r="AI14" s="375"/>
      <c r="AJ14" s="375"/>
      <c r="AK14" s="375"/>
      <c r="AL14" s="375"/>
      <c r="AM14" s="375"/>
      <c r="AN14" s="375"/>
      <c r="AO14" s="375"/>
      <c r="AP14" s="375"/>
      <c r="AQ14" s="375"/>
      <c r="AR14" s="375"/>
      <c r="AS14" s="375"/>
      <c r="AT14" s="375"/>
      <c r="AU14" s="375"/>
      <c r="AV14" s="375"/>
      <c r="AW14" s="375"/>
      <c r="AX14" s="375"/>
      <c r="AY14" s="375"/>
      <c r="AZ14" s="375"/>
      <c r="BA14" s="375"/>
      <c r="BB14" s="375"/>
      <c r="BC14" s="375"/>
      <c r="BD14" s="375"/>
      <c r="BE14" s="375"/>
      <c r="BF14" s="375"/>
      <c r="BG14" s="375"/>
      <c r="BH14" s="375"/>
      <c r="BI14" s="375"/>
      <c r="BJ14" s="375"/>
      <c r="BK14" s="375"/>
      <c r="BL14" s="375"/>
      <c r="BM14" s="375"/>
      <c r="BN14" s="375"/>
      <c r="BO14" s="375"/>
      <c r="BP14" s="375"/>
      <c r="BQ14" s="375"/>
      <c r="BR14" s="375"/>
      <c r="BS14" s="375"/>
      <c r="BT14" s="375"/>
      <c r="BU14" s="375"/>
    </row>
    <row r="15" spans="1:73" s="377" customFormat="1" ht="25.5" customHeight="1" x14ac:dyDescent="0.25">
      <c r="A15" s="375" t="str">
        <f>Gantt!A17</f>
        <v>1.5</v>
      </c>
      <c r="B15" s="376" t="str">
        <f>Gantt!D17</f>
        <v>Implementazione del Modulo di Gestione dei documenti funzionale ai moduli GARI (Evolutive, installazione, configurazione/setting e profilazione utenza)</v>
      </c>
      <c r="D15" s="378"/>
      <c r="E15" s="384">
        <f>Gantt!U17</f>
        <v>45355</v>
      </c>
      <c r="F15" s="385">
        <f>Gantt!X17</f>
        <v>45641</v>
      </c>
      <c r="G15" s="379">
        <f t="shared" si="11"/>
        <v>286</v>
      </c>
      <c r="H15" s="380">
        <f>Gantt!T17</f>
        <v>0.9</v>
      </c>
      <c r="I15" s="381">
        <f t="shared" si="10"/>
        <v>205</v>
      </c>
      <c r="J15" s="382"/>
      <c r="K15" s="375"/>
      <c r="L15" s="375"/>
      <c r="M15" s="375"/>
      <c r="N15" s="375"/>
      <c r="O15" s="375"/>
      <c r="P15" s="375"/>
      <c r="Q15" s="375"/>
      <c r="R15" s="375"/>
      <c r="S15" s="375"/>
      <c r="T15" s="375"/>
      <c r="U15" s="375"/>
      <c r="V15" s="375"/>
      <c r="W15" s="375"/>
      <c r="X15" s="375"/>
      <c r="Y15" s="375"/>
      <c r="Z15" s="375"/>
      <c r="AA15" s="375"/>
      <c r="AB15" s="375"/>
      <c r="AC15" s="375"/>
      <c r="AD15" s="375"/>
      <c r="AE15" s="375"/>
      <c r="AF15" s="375"/>
      <c r="AG15" s="375"/>
      <c r="AH15" s="375"/>
      <c r="AI15" s="375"/>
      <c r="AJ15" s="375"/>
      <c r="AK15" s="375"/>
      <c r="AL15" s="375"/>
      <c r="AM15" s="375"/>
      <c r="AN15" s="375"/>
      <c r="AO15" s="375"/>
      <c r="AP15" s="375"/>
      <c r="AQ15" s="375"/>
      <c r="AR15" s="375"/>
      <c r="AS15" s="375"/>
      <c r="AT15" s="375"/>
      <c r="AU15" s="375"/>
      <c r="AV15" s="375"/>
      <c r="AW15" s="375"/>
      <c r="AX15" s="375"/>
      <c r="AY15" s="375"/>
      <c r="AZ15" s="375"/>
      <c r="BA15" s="375"/>
      <c r="BB15" s="375"/>
      <c r="BC15" s="375"/>
      <c r="BD15" s="375"/>
      <c r="BE15" s="375"/>
      <c r="BF15" s="375"/>
      <c r="BG15" s="375"/>
      <c r="BH15" s="375"/>
      <c r="BI15" s="375"/>
      <c r="BJ15" s="375"/>
      <c r="BK15" s="375"/>
      <c r="BL15" s="375"/>
      <c r="BM15" s="375"/>
      <c r="BN15" s="375"/>
      <c r="BO15" s="375"/>
      <c r="BP15" s="375"/>
      <c r="BQ15" s="375"/>
      <c r="BR15" s="375"/>
      <c r="BS15" s="375"/>
      <c r="BT15" s="375"/>
      <c r="BU15" s="375"/>
    </row>
    <row r="16" spans="1:73" s="377" customFormat="1" ht="25.5" customHeight="1" x14ac:dyDescent="0.25">
      <c r="A16" s="375">
        <f>Gantt!A18</f>
        <v>2</v>
      </c>
      <c r="B16" s="402" t="str">
        <f>Gantt!D18</f>
        <v>GARI PA - UMA</v>
      </c>
      <c r="C16" s="403"/>
      <c r="D16" s="404"/>
      <c r="E16" s="405"/>
      <c r="F16" s="406"/>
      <c r="G16" s="407"/>
      <c r="H16" s="408"/>
      <c r="I16" s="407"/>
      <c r="J16" s="382"/>
      <c r="K16" s="375"/>
      <c r="L16" s="375"/>
      <c r="M16" s="375"/>
      <c r="N16" s="375"/>
      <c r="O16" s="375"/>
      <c r="P16" s="375"/>
      <c r="Q16" s="375"/>
      <c r="R16" s="375"/>
      <c r="S16" s="375"/>
      <c r="T16" s="375"/>
      <c r="U16" s="375"/>
      <c r="V16" s="375"/>
      <c r="W16" s="375"/>
      <c r="X16" s="375"/>
      <c r="Y16" s="375"/>
      <c r="Z16" s="375"/>
      <c r="AA16" s="375"/>
      <c r="AB16" s="375"/>
      <c r="AC16" s="375"/>
      <c r="AD16" s="375"/>
      <c r="AE16" s="375"/>
      <c r="AF16" s="375"/>
      <c r="AG16" s="375"/>
      <c r="AH16" s="375"/>
      <c r="AI16" s="375"/>
      <c r="AJ16" s="375"/>
      <c r="AK16" s="375"/>
      <c r="AL16" s="375"/>
      <c r="AM16" s="375"/>
      <c r="AN16" s="375"/>
      <c r="AO16" s="375"/>
      <c r="AP16" s="375"/>
      <c r="AQ16" s="375"/>
      <c r="AR16" s="375"/>
      <c r="AS16" s="375"/>
      <c r="AT16" s="375"/>
      <c r="AU16" s="375"/>
      <c r="AV16" s="375"/>
      <c r="AW16" s="375"/>
      <c r="AX16" s="375"/>
      <c r="AY16" s="375"/>
      <c r="AZ16" s="375"/>
      <c r="BA16" s="375"/>
      <c r="BB16" s="375"/>
      <c r="BC16" s="375"/>
      <c r="BD16" s="375"/>
      <c r="BE16" s="375"/>
      <c r="BF16" s="375"/>
      <c r="BG16" s="375"/>
      <c r="BH16" s="375"/>
      <c r="BI16" s="375"/>
      <c r="BJ16" s="375"/>
      <c r="BK16" s="375"/>
      <c r="BL16" s="375"/>
      <c r="BM16" s="375"/>
      <c r="BN16" s="375"/>
      <c r="BO16" s="375"/>
      <c r="BP16" s="375"/>
      <c r="BQ16" s="375"/>
      <c r="BR16" s="375"/>
      <c r="BS16" s="375"/>
      <c r="BT16" s="375"/>
      <c r="BU16" s="375"/>
    </row>
    <row r="17" spans="1:73" s="377" customFormat="1" ht="25.5" customHeight="1" x14ac:dyDescent="0.25">
      <c r="A17" s="375" t="str">
        <f>Gantt!A19</f>
        <v>2.1</v>
      </c>
      <c r="B17" s="376" t="str">
        <f>Gantt!D19</f>
        <v xml:space="preserve">RILASCIO 1 - Rif. Doc. fase unica PT000849TECH001 </v>
      </c>
      <c r="D17" s="378"/>
      <c r="E17" s="384">
        <f>Gantt!U19</f>
        <v>45246</v>
      </c>
      <c r="F17" s="385">
        <f>Gantt!X19</f>
        <v>45278</v>
      </c>
      <c r="G17" s="379">
        <f t="shared" si="11"/>
        <v>32</v>
      </c>
      <c r="H17" s="380">
        <f>Gantt!T19</f>
        <v>1</v>
      </c>
      <c r="I17" s="381">
        <f t="shared" si="10"/>
        <v>23</v>
      </c>
      <c r="J17" s="382"/>
      <c r="K17" s="375"/>
      <c r="L17" s="375"/>
      <c r="M17" s="375"/>
      <c r="N17" s="375"/>
      <c r="O17" s="375"/>
      <c r="P17" s="375"/>
      <c r="Q17" s="375"/>
      <c r="R17" s="375"/>
      <c r="S17" s="375"/>
      <c r="T17" s="375"/>
      <c r="U17" s="375"/>
      <c r="V17" s="375"/>
      <c r="W17" s="375"/>
      <c r="X17" s="375"/>
      <c r="Y17" s="375"/>
      <c r="Z17" s="375"/>
      <c r="AA17" s="375"/>
      <c r="AB17" s="375"/>
      <c r="AC17" s="375"/>
      <c r="AD17" s="375"/>
      <c r="AE17" s="375"/>
      <c r="AF17" s="375"/>
      <c r="AG17" s="375"/>
      <c r="AH17" s="375"/>
      <c r="AI17" s="375"/>
      <c r="AJ17" s="375"/>
      <c r="AK17" s="375"/>
      <c r="AL17" s="375"/>
      <c r="AM17" s="375"/>
      <c r="AN17" s="375"/>
      <c r="AO17" s="375"/>
      <c r="AP17" s="375"/>
      <c r="AQ17" s="375"/>
      <c r="AR17" s="375"/>
      <c r="AS17" s="375"/>
      <c r="AT17" s="375"/>
      <c r="AU17" s="375"/>
      <c r="AV17" s="375"/>
      <c r="AW17" s="375"/>
      <c r="AX17" s="375"/>
      <c r="AY17" s="375"/>
      <c r="AZ17" s="375"/>
      <c r="BA17" s="375"/>
      <c r="BB17" s="375"/>
      <c r="BC17" s="375"/>
      <c r="BD17" s="375"/>
      <c r="BE17" s="375"/>
      <c r="BF17" s="375"/>
      <c r="BG17" s="375"/>
      <c r="BH17" s="375"/>
      <c r="BI17" s="375"/>
      <c r="BJ17" s="375"/>
      <c r="BK17" s="375"/>
      <c r="BL17" s="375"/>
      <c r="BM17" s="375"/>
      <c r="BN17" s="375"/>
      <c r="BO17" s="375"/>
      <c r="BP17" s="375"/>
      <c r="BQ17" s="375"/>
      <c r="BR17" s="375"/>
      <c r="BS17" s="375"/>
      <c r="BT17" s="375"/>
      <c r="BU17" s="375"/>
    </row>
    <row r="18" spans="1:73" s="377" customFormat="1" ht="25.5" customHeight="1" x14ac:dyDescent="0.25">
      <c r="A18" s="375" t="str">
        <f>Gantt!A20</f>
        <v>2.2</v>
      </c>
      <c r="B18" s="376" t="str">
        <f>Gantt!D20</f>
        <v xml:space="preserve">RILASCIO 2 - Rif. Doc. fase unica PT000849TECH001 </v>
      </c>
      <c r="D18" s="378"/>
      <c r="E18" s="384">
        <f>Gantt!U20</f>
        <v>45297</v>
      </c>
      <c r="F18" s="385">
        <f>Gantt!X20</f>
        <v>45345</v>
      </c>
      <c r="G18" s="379">
        <f t="shared" si="11"/>
        <v>48</v>
      </c>
      <c r="H18" s="380">
        <f>Gantt!T20</f>
        <v>1</v>
      </c>
      <c r="I18" s="381">
        <f t="shared" ref="I18:I19" si="12">IF(OR(F18=0,E18=0)," - ",NETWORKDAYS(E18,F18))</f>
        <v>35</v>
      </c>
      <c r="J18" s="382"/>
      <c r="K18" s="375"/>
      <c r="L18" s="375"/>
      <c r="M18" s="375"/>
      <c r="N18" s="375"/>
      <c r="O18" s="375"/>
      <c r="P18" s="375"/>
      <c r="Q18" s="375"/>
      <c r="R18" s="375"/>
      <c r="S18" s="375"/>
      <c r="T18" s="375"/>
      <c r="U18" s="375"/>
      <c r="V18" s="375"/>
      <c r="W18" s="375"/>
      <c r="X18" s="375"/>
      <c r="Y18" s="375"/>
      <c r="Z18" s="375"/>
      <c r="AA18" s="375"/>
      <c r="AB18" s="375"/>
      <c r="AC18" s="375"/>
      <c r="AD18" s="375"/>
      <c r="AE18" s="375"/>
      <c r="AF18" s="375"/>
      <c r="AG18" s="375"/>
      <c r="AH18" s="375"/>
      <c r="AI18" s="375"/>
      <c r="AJ18" s="375"/>
      <c r="AK18" s="375"/>
      <c r="AL18" s="375"/>
      <c r="AM18" s="375"/>
      <c r="AN18" s="375"/>
      <c r="AO18" s="375"/>
      <c r="AP18" s="375"/>
      <c r="AQ18" s="375"/>
      <c r="AR18" s="375"/>
      <c r="AS18" s="375"/>
      <c r="AT18" s="375"/>
      <c r="AU18" s="375"/>
      <c r="AV18" s="375"/>
      <c r="AW18" s="375"/>
      <c r="AX18" s="375"/>
      <c r="AY18" s="375"/>
      <c r="AZ18" s="375"/>
      <c r="BA18" s="375"/>
      <c r="BB18" s="375"/>
      <c r="BC18" s="375"/>
      <c r="BD18" s="375"/>
      <c r="BE18" s="375"/>
      <c r="BF18" s="375"/>
      <c r="BG18" s="375"/>
      <c r="BH18" s="375"/>
      <c r="BI18" s="375"/>
      <c r="BJ18" s="375"/>
      <c r="BK18" s="375"/>
      <c r="BL18" s="375"/>
      <c r="BM18" s="375"/>
      <c r="BN18" s="375"/>
      <c r="BO18" s="375"/>
      <c r="BP18" s="375"/>
      <c r="BQ18" s="375"/>
      <c r="BR18" s="375"/>
      <c r="BS18" s="375"/>
      <c r="BT18" s="375"/>
      <c r="BU18" s="375"/>
    </row>
    <row r="19" spans="1:73" s="377" customFormat="1" ht="25.5" customHeight="1" x14ac:dyDescent="0.25">
      <c r="A19" s="375" t="str">
        <f>Gantt!A21</f>
        <v>2.3</v>
      </c>
      <c r="B19" s="376" t="str">
        <f>Gantt!D21</f>
        <v>RILASCIO 3 - Rif. Doc. fase unica PT000849TECH001</v>
      </c>
      <c r="D19" s="378"/>
      <c r="E19" s="384">
        <f>Gantt!U21</f>
        <v>45357</v>
      </c>
      <c r="F19" s="385">
        <f>Gantt!X21</f>
        <v>45401</v>
      </c>
      <c r="G19" s="379">
        <f t="shared" si="11"/>
        <v>44</v>
      </c>
      <c r="H19" s="380">
        <f>Gantt!T21</f>
        <v>1</v>
      </c>
      <c r="I19" s="381">
        <f t="shared" si="12"/>
        <v>33</v>
      </c>
      <c r="J19" s="382"/>
      <c r="K19" s="375"/>
      <c r="L19" s="375"/>
      <c r="M19" s="375"/>
      <c r="N19" s="375"/>
      <c r="O19" s="375"/>
      <c r="P19" s="375"/>
      <c r="Q19" s="375"/>
      <c r="R19" s="375"/>
      <c r="S19" s="375"/>
      <c r="T19" s="375"/>
      <c r="U19" s="375"/>
      <c r="V19" s="375"/>
      <c r="W19" s="375"/>
      <c r="X19" s="375"/>
      <c r="Y19" s="375"/>
      <c r="Z19" s="375"/>
      <c r="AA19" s="375"/>
      <c r="AB19" s="375"/>
      <c r="AC19" s="375"/>
      <c r="AD19" s="375"/>
      <c r="AE19" s="375"/>
      <c r="AF19" s="375"/>
      <c r="AG19" s="375"/>
      <c r="AH19" s="375"/>
      <c r="AI19" s="375"/>
      <c r="AJ19" s="375"/>
      <c r="AK19" s="375"/>
      <c r="AL19" s="375"/>
      <c r="AM19" s="375"/>
      <c r="AN19" s="375"/>
      <c r="AO19" s="375"/>
      <c r="AP19" s="375"/>
      <c r="AQ19" s="375"/>
      <c r="AR19" s="375"/>
      <c r="AS19" s="375"/>
      <c r="AT19" s="375"/>
      <c r="AU19" s="375"/>
      <c r="AV19" s="375"/>
      <c r="AW19" s="375"/>
      <c r="AX19" s="375"/>
      <c r="AY19" s="375"/>
      <c r="AZ19" s="375"/>
      <c r="BA19" s="375"/>
      <c r="BB19" s="375"/>
      <c r="BC19" s="375"/>
      <c r="BD19" s="375"/>
      <c r="BE19" s="375"/>
      <c r="BF19" s="375"/>
      <c r="BG19" s="375"/>
      <c r="BH19" s="375"/>
      <c r="BI19" s="375"/>
      <c r="BJ19" s="375"/>
      <c r="BK19" s="375"/>
      <c r="BL19" s="375"/>
      <c r="BM19" s="375"/>
      <c r="BN19" s="375"/>
      <c r="BO19" s="375"/>
      <c r="BP19" s="375"/>
      <c r="BQ19" s="375"/>
      <c r="BR19" s="375"/>
      <c r="BS19" s="375"/>
      <c r="BT19" s="375"/>
      <c r="BU19" s="375"/>
    </row>
    <row r="20" spans="1:73" s="377" customFormat="1" ht="25.5" customHeight="1" x14ac:dyDescent="0.25">
      <c r="A20" s="375" t="str">
        <f>Gantt!A22</f>
        <v>2.4</v>
      </c>
      <c r="B20" s="376" t="str">
        <f>Gantt!D22</f>
        <v xml:space="preserve">RILASCIO 4 - Rif. Doc. fase unica PT000849TECH001 </v>
      </c>
      <c r="D20" s="378"/>
      <c r="E20" s="384">
        <f>Gantt!U22</f>
        <v>45388</v>
      </c>
      <c r="F20" s="385">
        <f>Gantt!X22</f>
        <v>45450</v>
      </c>
      <c r="G20" s="379">
        <f t="shared" si="11"/>
        <v>62</v>
      </c>
      <c r="H20" s="380">
        <f>Gantt!T22</f>
        <v>1</v>
      </c>
      <c r="I20" s="381">
        <f t="shared" ref="I20:I22" si="13">IF(OR(F20=0,E20=0)," - ",NETWORKDAYS(E20,F20))</f>
        <v>45</v>
      </c>
      <c r="J20" s="382"/>
      <c r="K20" s="375"/>
      <c r="L20" s="375"/>
      <c r="M20" s="375"/>
      <c r="N20" s="375"/>
      <c r="O20" s="375"/>
      <c r="P20" s="375"/>
      <c r="Q20" s="375"/>
      <c r="R20" s="375"/>
      <c r="S20" s="375"/>
      <c r="T20" s="375"/>
      <c r="U20" s="375"/>
      <c r="V20" s="375"/>
      <c r="W20" s="375"/>
      <c r="X20" s="375"/>
      <c r="Y20" s="375"/>
      <c r="Z20" s="375"/>
      <c r="AA20" s="375"/>
      <c r="AB20" s="375"/>
      <c r="AC20" s="375"/>
      <c r="AD20" s="375"/>
      <c r="AE20" s="375"/>
      <c r="AF20" s="375"/>
      <c r="AG20" s="375"/>
      <c r="AH20" s="375"/>
      <c r="AI20" s="375"/>
      <c r="AJ20" s="375"/>
      <c r="AK20" s="375"/>
      <c r="AL20" s="375"/>
      <c r="AM20" s="375"/>
      <c r="AN20" s="375"/>
      <c r="AO20" s="375"/>
      <c r="AP20" s="375"/>
      <c r="AQ20" s="375"/>
      <c r="AR20" s="375"/>
      <c r="AS20" s="375"/>
      <c r="AT20" s="375"/>
      <c r="AU20" s="375"/>
      <c r="AV20" s="375"/>
      <c r="AW20" s="375"/>
      <c r="AX20" s="375"/>
      <c r="AY20" s="375"/>
      <c r="AZ20" s="375"/>
      <c r="BA20" s="375"/>
      <c r="BB20" s="375"/>
      <c r="BC20" s="375"/>
      <c r="BD20" s="375"/>
      <c r="BE20" s="375"/>
      <c r="BF20" s="375"/>
      <c r="BG20" s="375"/>
      <c r="BH20" s="375"/>
      <c r="BI20" s="375"/>
      <c r="BJ20" s="375"/>
      <c r="BK20" s="375"/>
      <c r="BL20" s="375"/>
      <c r="BM20" s="375"/>
      <c r="BN20" s="375"/>
      <c r="BO20" s="375"/>
      <c r="BP20" s="375"/>
      <c r="BQ20" s="375"/>
      <c r="BR20" s="375"/>
      <c r="BS20" s="375"/>
      <c r="BT20" s="375"/>
      <c r="BU20" s="375"/>
    </row>
    <row r="21" spans="1:73" s="377" customFormat="1" ht="25.5" customHeight="1" x14ac:dyDescent="0.25">
      <c r="A21" s="375" t="str">
        <f>Gantt!A23</f>
        <v>2.5</v>
      </c>
      <c r="B21" s="376" t="str">
        <f>Gantt!D23</f>
        <v xml:space="preserve">RILASCIO 5 - Rif. Doc. fase unica PT000849TECH001 </v>
      </c>
      <c r="D21" s="378"/>
      <c r="E21" s="384">
        <f>Gantt!U23</f>
        <v>45449</v>
      </c>
      <c r="F21" s="385">
        <f>Gantt!X23</f>
        <v>45590</v>
      </c>
      <c r="G21" s="379">
        <f t="shared" si="11"/>
        <v>141</v>
      </c>
      <c r="H21" s="380">
        <f>Gantt!T23</f>
        <v>1</v>
      </c>
      <c r="I21" s="381">
        <f t="shared" si="13"/>
        <v>102</v>
      </c>
      <c r="J21" s="382"/>
      <c r="K21" s="375"/>
      <c r="L21" s="375"/>
      <c r="M21" s="375"/>
      <c r="N21" s="375"/>
      <c r="O21" s="375"/>
      <c r="P21" s="375"/>
      <c r="Q21" s="375"/>
      <c r="R21" s="375"/>
      <c r="S21" s="375"/>
      <c r="T21" s="375"/>
      <c r="U21" s="375"/>
      <c r="V21" s="375"/>
      <c r="W21" s="375"/>
      <c r="X21" s="375"/>
      <c r="Y21" s="375"/>
      <c r="Z21" s="375"/>
      <c r="AA21" s="375"/>
      <c r="AB21" s="375"/>
      <c r="AC21" s="375"/>
      <c r="AD21" s="375"/>
      <c r="AE21" s="375"/>
      <c r="AF21" s="375"/>
      <c r="AG21" s="375"/>
      <c r="AH21" s="375"/>
      <c r="AI21" s="375"/>
      <c r="AJ21" s="375"/>
      <c r="AK21" s="375"/>
      <c r="AL21" s="375"/>
      <c r="AM21" s="375"/>
      <c r="AN21" s="375"/>
      <c r="AO21" s="375"/>
      <c r="AP21" s="375"/>
      <c r="AQ21" s="375"/>
      <c r="AR21" s="375"/>
      <c r="AS21" s="375"/>
      <c r="AT21" s="375"/>
      <c r="AU21" s="375"/>
      <c r="AV21" s="375"/>
      <c r="AW21" s="375"/>
      <c r="AX21" s="375"/>
      <c r="AY21" s="375"/>
      <c r="AZ21" s="375"/>
      <c r="BA21" s="375"/>
      <c r="BB21" s="375"/>
      <c r="BC21" s="375"/>
      <c r="BD21" s="375"/>
      <c r="BE21" s="375"/>
      <c r="BF21" s="375"/>
      <c r="BG21" s="375"/>
      <c r="BH21" s="375"/>
      <c r="BI21" s="375"/>
      <c r="BJ21" s="375"/>
      <c r="BK21" s="375"/>
      <c r="BL21" s="375"/>
      <c r="BM21" s="375"/>
      <c r="BN21" s="375"/>
      <c r="BO21" s="375"/>
      <c r="BP21" s="375"/>
      <c r="BQ21" s="375"/>
      <c r="BR21" s="375"/>
      <c r="BS21" s="375"/>
      <c r="BT21" s="375"/>
      <c r="BU21" s="375"/>
    </row>
    <row r="22" spans="1:73" s="377" customFormat="1" ht="25.5" customHeight="1" x14ac:dyDescent="0.25">
      <c r="A22" s="375" t="str">
        <f>Gantt!A24</f>
        <v>2.6</v>
      </c>
      <c r="B22" s="376" t="str">
        <f>Gantt!D24</f>
        <v>UMA  Re-ingegnerizzazione della piattaforma GIAS per implementare la nuova piattaforma GARI su nuove tecnologie introdotte con il paradigma PCG</v>
      </c>
      <c r="D22" s="378"/>
      <c r="E22" s="384">
        <f>Gantt!U24</f>
        <v>45566</v>
      </c>
      <c r="F22" s="385">
        <f>Gantt!X24</f>
        <v>45641</v>
      </c>
      <c r="G22" s="379">
        <f t="shared" si="11"/>
        <v>75</v>
      </c>
      <c r="H22" s="380">
        <f>Gantt!T24</f>
        <v>0.5</v>
      </c>
      <c r="I22" s="381">
        <f t="shared" si="13"/>
        <v>54</v>
      </c>
      <c r="J22" s="382"/>
      <c r="K22" s="375"/>
      <c r="L22" s="375"/>
      <c r="M22" s="375"/>
      <c r="N22" s="375"/>
      <c r="O22" s="375"/>
      <c r="P22" s="375"/>
      <c r="Q22" s="375"/>
      <c r="R22" s="375"/>
      <c r="S22" s="375"/>
      <c r="T22" s="375"/>
      <c r="U22" s="375"/>
      <c r="V22" s="375"/>
      <c r="W22" s="375"/>
      <c r="X22" s="375"/>
      <c r="Y22" s="375"/>
      <c r="Z22" s="375"/>
      <c r="AA22" s="375"/>
      <c r="AB22" s="375"/>
      <c r="AC22" s="375"/>
      <c r="AD22" s="375"/>
      <c r="AE22" s="375"/>
      <c r="AF22" s="375"/>
      <c r="AG22" s="375"/>
      <c r="AH22" s="375"/>
      <c r="AI22" s="375"/>
      <c r="AJ22" s="375"/>
      <c r="AK22" s="375"/>
      <c r="AL22" s="375"/>
      <c r="AM22" s="375"/>
      <c r="AN22" s="375"/>
      <c r="AO22" s="375"/>
      <c r="AP22" s="375"/>
      <c r="AQ22" s="375"/>
      <c r="AR22" s="375"/>
      <c r="AS22" s="375"/>
      <c r="AT22" s="375"/>
      <c r="AU22" s="375"/>
      <c r="AV22" s="375"/>
      <c r="AW22" s="375"/>
      <c r="AX22" s="375"/>
      <c r="AY22" s="375"/>
      <c r="AZ22" s="375"/>
      <c r="BA22" s="375"/>
      <c r="BB22" s="375"/>
      <c r="BC22" s="375"/>
      <c r="BD22" s="375"/>
      <c r="BE22" s="375"/>
      <c r="BF22" s="375"/>
      <c r="BG22" s="375"/>
      <c r="BH22" s="375"/>
      <c r="BI22" s="375"/>
      <c r="BJ22" s="375"/>
      <c r="BK22" s="375"/>
      <c r="BL22" s="375"/>
      <c r="BM22" s="375"/>
      <c r="BN22" s="375"/>
      <c r="BO22" s="375"/>
      <c r="BP22" s="375"/>
      <c r="BQ22" s="375"/>
      <c r="BR22" s="375"/>
      <c r="BS22" s="375"/>
      <c r="BT22" s="375"/>
      <c r="BU22" s="375"/>
    </row>
    <row r="23" spans="1:73" s="377" customFormat="1" ht="25.5" customHeight="1" x14ac:dyDescent="0.25">
      <c r="A23" s="375">
        <f>Gantt!A25</f>
        <v>3</v>
      </c>
      <c r="B23" s="402" t="str">
        <f>Gantt!D25</f>
        <v>GARI PUA</v>
      </c>
      <c r="C23" s="403"/>
      <c r="D23" s="404"/>
      <c r="E23" s="405"/>
      <c r="F23" s="406"/>
      <c r="G23" s="407"/>
      <c r="H23" s="408"/>
      <c r="I23" s="407"/>
      <c r="J23" s="382"/>
      <c r="K23" s="375"/>
      <c r="L23" s="375"/>
      <c r="M23" s="375"/>
      <c r="N23" s="375"/>
      <c r="O23" s="375"/>
      <c r="P23" s="375"/>
      <c r="Q23" s="375"/>
      <c r="R23" s="375"/>
      <c r="S23" s="375"/>
      <c r="T23" s="375"/>
      <c r="U23" s="375"/>
      <c r="V23" s="375"/>
      <c r="W23" s="375"/>
      <c r="X23" s="375"/>
      <c r="Y23" s="375"/>
      <c r="Z23" s="375"/>
      <c r="AA23" s="375"/>
      <c r="AB23" s="375"/>
      <c r="AC23" s="375"/>
      <c r="AD23" s="375"/>
      <c r="AE23" s="375"/>
      <c r="AF23" s="375"/>
      <c r="AG23" s="375"/>
      <c r="AH23" s="375"/>
      <c r="AI23" s="375"/>
      <c r="AJ23" s="375"/>
      <c r="AK23" s="375"/>
      <c r="AL23" s="375"/>
      <c r="AM23" s="375"/>
      <c r="AN23" s="375"/>
      <c r="AO23" s="375"/>
      <c r="AP23" s="375"/>
      <c r="AQ23" s="375"/>
      <c r="AR23" s="375"/>
      <c r="AS23" s="375"/>
      <c r="AT23" s="375"/>
      <c r="AU23" s="375"/>
      <c r="AV23" s="375"/>
      <c r="AW23" s="375"/>
      <c r="AX23" s="375"/>
      <c r="AY23" s="375"/>
      <c r="AZ23" s="375"/>
      <c r="BA23" s="375"/>
      <c r="BB23" s="375"/>
      <c r="BC23" s="375"/>
      <c r="BD23" s="375"/>
      <c r="BE23" s="375"/>
      <c r="BF23" s="375"/>
      <c r="BG23" s="375"/>
      <c r="BH23" s="375"/>
      <c r="BI23" s="375"/>
      <c r="BJ23" s="375"/>
      <c r="BK23" s="375"/>
      <c r="BL23" s="375"/>
      <c r="BM23" s="375"/>
      <c r="BN23" s="375"/>
      <c r="BO23" s="375"/>
      <c r="BP23" s="375"/>
      <c r="BQ23" s="375"/>
      <c r="BR23" s="375"/>
      <c r="BS23" s="375"/>
      <c r="BT23" s="375"/>
      <c r="BU23" s="375"/>
    </row>
    <row r="24" spans="1:73" s="377" customFormat="1" ht="25.5" customHeight="1" x14ac:dyDescent="0.25">
      <c r="A24" s="375" t="str">
        <f>Gantt!A26</f>
        <v>3.1</v>
      </c>
      <c r="B24" s="376" t="str">
        <f>Gantt!D26</f>
        <v>GARI-PUA Re-ingegnerizzazione della piattaforma GIAS per implementare la nuova piattaforma GARI su nuove tecnologie ( i.e  tecnologia Angular)</v>
      </c>
      <c r="D24" s="378"/>
      <c r="E24" s="384">
        <f>Gantt!U26</f>
        <v>45352</v>
      </c>
      <c r="F24" s="385">
        <f>Gantt!X26</f>
        <v>45366</v>
      </c>
      <c r="G24" s="379">
        <f t="shared" si="11"/>
        <v>14</v>
      </c>
      <c r="H24" s="380">
        <f>Gantt!T26</f>
        <v>1</v>
      </c>
      <c r="I24" s="381">
        <f t="shared" ref="I24" si="14">IF(OR(F24=0,E24=0)," - ",NETWORKDAYS(E24,F24))</f>
        <v>11</v>
      </c>
      <c r="J24" s="382"/>
      <c r="K24" s="375"/>
      <c r="L24" s="375"/>
      <c r="M24" s="375"/>
      <c r="N24" s="375"/>
      <c r="O24" s="375"/>
      <c r="P24" s="375"/>
      <c r="Q24" s="375"/>
      <c r="R24" s="375"/>
      <c r="S24" s="375"/>
      <c r="T24" s="375"/>
      <c r="U24" s="375"/>
      <c r="V24" s="375"/>
      <c r="W24" s="375"/>
      <c r="X24" s="375"/>
      <c r="Y24" s="375"/>
      <c r="Z24" s="375"/>
      <c r="AA24" s="375"/>
      <c r="AB24" s="375"/>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5"/>
      <c r="BA24" s="375"/>
      <c r="BB24" s="375"/>
      <c r="BC24" s="375"/>
      <c r="BD24" s="375"/>
      <c r="BE24" s="375"/>
      <c r="BF24" s="375"/>
      <c r="BG24" s="375"/>
      <c r="BH24" s="375"/>
      <c r="BI24" s="375"/>
      <c r="BJ24" s="375"/>
      <c r="BK24" s="375"/>
      <c r="BL24" s="375"/>
      <c r="BM24" s="375"/>
      <c r="BN24" s="375"/>
      <c r="BO24" s="375"/>
      <c r="BP24" s="375"/>
      <c r="BQ24" s="375"/>
      <c r="BR24" s="375"/>
      <c r="BS24" s="375"/>
      <c r="BT24" s="375"/>
      <c r="BU24" s="375"/>
    </row>
    <row r="25" spans="1:73" s="377" customFormat="1" ht="25.5" customHeight="1" x14ac:dyDescent="0.25">
      <c r="A25" s="375" t="str">
        <f>Gantt!A27</f>
        <v>3.2</v>
      </c>
      <c r="B25" s="376" t="str">
        <f>Gantt!D27</f>
        <v xml:space="preserve">Nuovo Modulo PUA incluso la interoperabilità con ACA per le 04 13 e 24 - Fase1 </v>
      </c>
      <c r="D25" s="378"/>
      <c r="E25" s="384">
        <f>Gantt!U27</f>
        <v>45454</v>
      </c>
      <c r="F25" s="385">
        <f>Gantt!X27</f>
        <v>45672</v>
      </c>
      <c r="G25" s="379">
        <f t="shared" si="11"/>
        <v>218</v>
      </c>
      <c r="H25" s="380">
        <f>Gantt!T27</f>
        <v>0.3</v>
      </c>
      <c r="I25" s="381">
        <f t="shared" ref="I25:I26" si="15">IF(OR(F25=0,E25=0)," - ",NETWORKDAYS(E25,F25))</f>
        <v>157</v>
      </c>
      <c r="J25" s="382"/>
      <c r="K25" s="375"/>
      <c r="L25" s="375"/>
      <c r="M25" s="375"/>
      <c r="N25" s="375"/>
      <c r="O25" s="375"/>
      <c r="P25" s="375"/>
      <c r="Q25" s="375"/>
      <c r="R25" s="375"/>
      <c r="S25" s="375"/>
      <c r="T25" s="375"/>
      <c r="U25" s="375"/>
      <c r="V25" s="375"/>
      <c r="W25" s="375"/>
      <c r="X25" s="375"/>
      <c r="Y25" s="375"/>
      <c r="Z25" s="375"/>
      <c r="AA25" s="375"/>
      <c r="AB25" s="375"/>
      <c r="AC25" s="375"/>
      <c r="AD25" s="375"/>
      <c r="AE25" s="375"/>
      <c r="AF25" s="375"/>
      <c r="AG25" s="375"/>
      <c r="AH25" s="375"/>
      <c r="AI25" s="375"/>
      <c r="AJ25" s="375"/>
      <c r="AK25" s="375"/>
      <c r="AL25" s="375"/>
      <c r="AM25" s="375"/>
      <c r="AN25" s="375"/>
      <c r="AO25" s="375"/>
      <c r="AP25" s="375"/>
      <c r="AQ25" s="375"/>
      <c r="AR25" s="375"/>
      <c r="AS25" s="375"/>
      <c r="AT25" s="375"/>
      <c r="AU25" s="375"/>
      <c r="AV25" s="375"/>
      <c r="AW25" s="375"/>
      <c r="AX25" s="375"/>
      <c r="AY25" s="375"/>
      <c r="AZ25" s="375"/>
      <c r="BA25" s="375"/>
      <c r="BB25" s="375"/>
      <c r="BC25" s="375"/>
      <c r="BD25" s="375"/>
      <c r="BE25" s="375"/>
      <c r="BF25" s="375"/>
      <c r="BG25" s="375"/>
      <c r="BH25" s="375"/>
      <c r="BI25" s="375"/>
      <c r="BJ25" s="375"/>
      <c r="BK25" s="375"/>
      <c r="BL25" s="375"/>
      <c r="BM25" s="375"/>
      <c r="BN25" s="375"/>
      <c r="BO25" s="375"/>
      <c r="BP25" s="375"/>
      <c r="BQ25" s="375"/>
      <c r="BR25" s="375"/>
      <c r="BS25" s="375"/>
      <c r="BT25" s="375"/>
      <c r="BU25" s="375"/>
    </row>
    <row r="26" spans="1:73" s="377" customFormat="1" ht="25.5" customHeight="1" x14ac:dyDescent="0.25">
      <c r="A26" s="375" t="str">
        <f>Gantt!A28</f>
        <v>3.3</v>
      </c>
      <c r="B26" s="376" t="str">
        <f>Gantt!D28</f>
        <v>Nuovo Modulo PUA collegamento e funzionamento su base PCG - Fase2</v>
      </c>
      <c r="D26" s="378"/>
      <c r="E26" s="384">
        <f>Gantt!U28</f>
        <v>45454</v>
      </c>
      <c r="F26" s="385">
        <f>Gantt!X28</f>
        <v>45688</v>
      </c>
      <c r="G26" s="379">
        <f t="shared" si="11"/>
        <v>234</v>
      </c>
      <c r="H26" s="380">
        <f>Gantt!T28</f>
        <v>0.3</v>
      </c>
      <c r="I26" s="381">
        <f t="shared" si="15"/>
        <v>169</v>
      </c>
      <c r="J26" s="382"/>
      <c r="K26" s="375"/>
      <c r="L26" s="375"/>
      <c r="M26" s="375"/>
      <c r="N26" s="375"/>
      <c r="O26" s="375"/>
      <c r="P26" s="375"/>
      <c r="Q26" s="375"/>
      <c r="R26" s="375"/>
      <c r="S26" s="375"/>
      <c r="T26" s="375"/>
      <c r="U26" s="375"/>
      <c r="V26" s="375"/>
      <c r="W26" s="375"/>
      <c r="X26" s="375"/>
      <c r="Y26" s="375"/>
      <c r="Z26" s="375"/>
      <c r="AA26" s="375"/>
      <c r="AB26" s="375"/>
      <c r="AC26" s="375"/>
      <c r="AD26" s="375"/>
      <c r="AE26" s="375"/>
      <c r="AF26" s="375"/>
      <c r="AG26" s="375"/>
      <c r="AH26" s="375"/>
      <c r="AI26" s="375"/>
      <c r="AJ26" s="375"/>
      <c r="AK26" s="375"/>
      <c r="AL26" s="375"/>
      <c r="AM26" s="375"/>
      <c r="AN26" s="375"/>
      <c r="AO26" s="375"/>
      <c r="AP26" s="375"/>
      <c r="AQ26" s="375"/>
      <c r="AR26" s="375"/>
      <c r="AS26" s="375"/>
      <c r="AT26" s="375"/>
      <c r="AU26" s="375"/>
      <c r="AV26" s="375"/>
      <c r="AW26" s="375"/>
      <c r="AX26" s="375"/>
      <c r="AY26" s="375"/>
      <c r="AZ26" s="375"/>
      <c r="BA26" s="375"/>
      <c r="BB26" s="375"/>
      <c r="BC26" s="375"/>
      <c r="BD26" s="375"/>
      <c r="BE26" s="375"/>
      <c r="BF26" s="375"/>
      <c r="BG26" s="375"/>
      <c r="BH26" s="375"/>
      <c r="BI26" s="375"/>
      <c r="BJ26" s="375"/>
      <c r="BK26" s="375"/>
      <c r="BL26" s="375"/>
      <c r="BM26" s="375"/>
      <c r="BN26" s="375"/>
      <c r="BO26" s="375"/>
      <c r="BP26" s="375"/>
      <c r="BQ26" s="375"/>
      <c r="BR26" s="375"/>
      <c r="BS26" s="375"/>
      <c r="BT26" s="375"/>
      <c r="BU26" s="375"/>
    </row>
    <row r="27" spans="1:73" s="377" customFormat="1" ht="25.5" customHeight="1" x14ac:dyDescent="0.25">
      <c r="A27" s="375">
        <f>Gantt!A29</f>
        <v>4</v>
      </c>
      <c r="B27" s="402" t="str">
        <f>Gantt!D29</f>
        <v>GARI - QDCA</v>
      </c>
      <c r="C27" s="403"/>
      <c r="D27" s="404"/>
      <c r="E27" s="405"/>
      <c r="F27" s="406"/>
      <c r="G27" s="407"/>
      <c r="H27" s="408"/>
      <c r="I27" s="407"/>
      <c r="J27" s="382"/>
      <c r="K27" s="375"/>
      <c r="L27" s="375"/>
      <c r="M27" s="375"/>
      <c r="N27" s="375"/>
      <c r="O27" s="375"/>
      <c r="P27" s="375"/>
      <c r="Q27" s="375"/>
      <c r="R27" s="375"/>
      <c r="S27" s="375"/>
      <c r="T27" s="375"/>
      <c r="U27" s="375"/>
      <c r="V27" s="375"/>
      <c r="W27" s="375"/>
      <c r="X27" s="375"/>
      <c r="Y27" s="375"/>
      <c r="Z27" s="375"/>
      <c r="AA27" s="375"/>
      <c r="AB27" s="375"/>
      <c r="AC27" s="375"/>
      <c r="AD27" s="375"/>
      <c r="AE27" s="375"/>
      <c r="AF27" s="375"/>
      <c r="AG27" s="375"/>
      <c r="AH27" s="375"/>
      <c r="AI27" s="375"/>
      <c r="AJ27" s="375"/>
      <c r="AK27" s="375"/>
      <c r="AL27" s="375"/>
      <c r="AM27" s="375"/>
      <c r="AN27" s="375"/>
      <c r="AO27" s="375"/>
      <c r="AP27" s="375"/>
      <c r="AQ27" s="375"/>
      <c r="AR27" s="375"/>
      <c r="AS27" s="375"/>
      <c r="AT27" s="375"/>
      <c r="AU27" s="375"/>
      <c r="AV27" s="375"/>
      <c r="AW27" s="375"/>
      <c r="AX27" s="375"/>
      <c r="AY27" s="375"/>
      <c r="AZ27" s="375"/>
      <c r="BA27" s="375"/>
      <c r="BB27" s="375"/>
      <c r="BC27" s="375"/>
      <c r="BD27" s="375"/>
      <c r="BE27" s="375"/>
      <c r="BF27" s="375"/>
      <c r="BG27" s="375"/>
      <c r="BH27" s="375"/>
      <c r="BI27" s="375"/>
      <c r="BJ27" s="375"/>
      <c r="BK27" s="375"/>
      <c r="BL27" s="375"/>
      <c r="BM27" s="375"/>
      <c r="BN27" s="375"/>
      <c r="BO27" s="375"/>
      <c r="BP27" s="375"/>
      <c r="BQ27" s="375"/>
      <c r="BR27" s="375"/>
      <c r="BS27" s="375"/>
      <c r="BT27" s="375"/>
      <c r="BU27" s="375"/>
    </row>
    <row r="28" spans="1:73" s="377" customFormat="1" ht="25.5" customHeight="1" x14ac:dyDescent="0.25">
      <c r="A28" s="375" t="str">
        <f>Gantt!A30</f>
        <v>4.1</v>
      </c>
      <c r="B28" s="376" t="str">
        <f>Gantt!D30</f>
        <v>QCDA-Re-ingegnerizzazione della piattaforma GIAS per implementare la nuova piattaforma GARI su nuove tecnologie ( i.e  tecnologia Angular)</v>
      </c>
      <c r="D28" s="378"/>
      <c r="E28" s="384">
        <f>Gantt!U30</f>
        <v>45352</v>
      </c>
      <c r="F28" s="385">
        <f>Gantt!X30</f>
        <v>45366</v>
      </c>
      <c r="G28" s="379">
        <f t="shared" si="11"/>
        <v>14</v>
      </c>
      <c r="H28" s="380">
        <f>Gantt!T30</f>
        <v>1</v>
      </c>
      <c r="I28" s="381">
        <f t="shared" ref="I28:I30" si="16">IF(OR(F28=0,E28=0)," - ",NETWORKDAYS(E28,F28))</f>
        <v>11</v>
      </c>
      <c r="J28" s="382"/>
      <c r="K28" s="375"/>
      <c r="L28" s="375"/>
      <c r="M28" s="375"/>
      <c r="N28" s="375"/>
      <c r="O28" s="375"/>
      <c r="P28" s="375"/>
      <c r="Q28" s="375"/>
      <c r="R28" s="375"/>
      <c r="S28" s="375"/>
      <c r="T28" s="375"/>
      <c r="U28" s="375"/>
      <c r="V28" s="375"/>
      <c r="W28" s="375"/>
      <c r="X28" s="375"/>
      <c r="Y28" s="375"/>
      <c r="Z28" s="375"/>
      <c r="AA28" s="375"/>
      <c r="AB28" s="375"/>
      <c r="AC28" s="375"/>
      <c r="AD28" s="375"/>
      <c r="AE28" s="375"/>
      <c r="AF28" s="375"/>
      <c r="AG28" s="375"/>
      <c r="AH28" s="375"/>
      <c r="AI28" s="375"/>
      <c r="AJ28" s="375"/>
      <c r="AK28" s="375"/>
      <c r="AL28" s="375"/>
      <c r="AM28" s="375"/>
      <c r="AN28" s="375"/>
      <c r="AO28" s="375"/>
      <c r="AP28" s="375"/>
      <c r="AQ28" s="375"/>
      <c r="AR28" s="375"/>
      <c r="AS28" s="375"/>
      <c r="AT28" s="375"/>
      <c r="AU28" s="375"/>
      <c r="AV28" s="375"/>
      <c r="AW28" s="375"/>
      <c r="AX28" s="375"/>
      <c r="AY28" s="375"/>
      <c r="AZ28" s="375"/>
      <c r="BA28" s="375"/>
      <c r="BB28" s="375"/>
      <c r="BC28" s="375"/>
      <c r="BD28" s="375"/>
      <c r="BE28" s="375"/>
      <c r="BF28" s="375"/>
      <c r="BG28" s="375"/>
      <c r="BH28" s="375"/>
      <c r="BI28" s="375"/>
      <c r="BJ28" s="375"/>
      <c r="BK28" s="375"/>
      <c r="BL28" s="375"/>
      <c r="BM28" s="375"/>
      <c r="BN28" s="375"/>
      <c r="BO28" s="375"/>
      <c r="BP28" s="375"/>
      <c r="BQ28" s="375"/>
      <c r="BR28" s="375"/>
      <c r="BS28" s="375"/>
      <c r="BT28" s="375"/>
      <c r="BU28" s="375"/>
    </row>
    <row r="29" spans="1:73" s="377" customFormat="1" ht="25.5" customHeight="1" x14ac:dyDescent="0.25">
      <c r="A29" s="375" t="str">
        <f>Gantt!A31</f>
        <v>4.2</v>
      </c>
      <c r="B29" s="376" t="str">
        <f>Gantt!D31</f>
        <v>Sviluppo SW GARI - Misure ACA</v>
      </c>
      <c r="D29" s="378"/>
      <c r="E29" s="384">
        <f>Gantt!U31</f>
        <v>45355</v>
      </c>
      <c r="F29" s="385">
        <f>Gantt!X31</f>
        <v>45641</v>
      </c>
      <c r="G29" s="379">
        <f t="shared" si="11"/>
        <v>286</v>
      </c>
      <c r="H29" s="380">
        <f>Gantt!T31</f>
        <v>0.4</v>
      </c>
      <c r="I29" s="381">
        <f t="shared" si="16"/>
        <v>205</v>
      </c>
      <c r="J29" s="382"/>
      <c r="K29" s="375"/>
      <c r="L29" s="375"/>
      <c r="M29" s="375"/>
      <c r="N29" s="375"/>
      <c r="O29" s="375"/>
      <c r="P29" s="375"/>
      <c r="Q29" s="375"/>
      <c r="R29" s="375"/>
      <c r="S29" s="375"/>
      <c r="T29" s="375"/>
      <c r="U29" s="375"/>
      <c r="V29" s="375"/>
      <c r="W29" s="375"/>
      <c r="X29" s="375"/>
      <c r="Y29" s="375"/>
      <c r="Z29" s="375"/>
      <c r="AA29" s="375"/>
      <c r="AB29" s="375"/>
      <c r="AC29" s="375"/>
      <c r="AD29" s="375"/>
      <c r="AE29" s="375"/>
      <c r="AF29" s="375"/>
      <c r="AG29" s="375"/>
      <c r="AH29" s="375"/>
      <c r="AI29" s="375"/>
      <c r="AJ29" s="375"/>
      <c r="AK29" s="375"/>
      <c r="AL29" s="375"/>
      <c r="AM29" s="375"/>
      <c r="AN29" s="375"/>
      <c r="AO29" s="375"/>
      <c r="AP29" s="375"/>
      <c r="AQ29" s="375"/>
      <c r="AR29" s="375"/>
      <c r="AS29" s="375"/>
      <c r="AT29" s="375"/>
      <c r="AU29" s="375"/>
      <c r="AV29" s="375"/>
      <c r="AW29" s="375"/>
      <c r="AX29" s="375"/>
      <c r="AY29" s="375"/>
      <c r="AZ29" s="375"/>
      <c r="BA29" s="375"/>
      <c r="BB29" s="375"/>
      <c r="BC29" s="375"/>
      <c r="BD29" s="375"/>
      <c r="BE29" s="375"/>
      <c r="BF29" s="375"/>
      <c r="BG29" s="375"/>
      <c r="BH29" s="375"/>
      <c r="BI29" s="375"/>
      <c r="BJ29" s="375"/>
      <c r="BK29" s="375"/>
      <c r="BL29" s="375"/>
      <c r="BM29" s="375"/>
      <c r="BN29" s="375"/>
      <c r="BO29" s="375"/>
      <c r="BP29" s="375"/>
      <c r="BQ29" s="375"/>
      <c r="BR29" s="375"/>
      <c r="BS29" s="375"/>
      <c r="BT29" s="375"/>
      <c r="BU29" s="375"/>
    </row>
    <row r="30" spans="1:73" s="377" customFormat="1" ht="25.5" customHeight="1" x14ac:dyDescent="0.25">
      <c r="A30" s="375" t="str">
        <f>Gantt!A32</f>
        <v>4.3</v>
      </c>
      <c r="B30" s="376" t="str">
        <f>Gantt!D32</f>
        <v xml:space="preserve">Sviluppo SW GARI - DSS per misure ACA </v>
      </c>
      <c r="D30" s="378"/>
      <c r="E30" s="384">
        <f>Gantt!U32</f>
        <v>45355</v>
      </c>
      <c r="F30" s="385">
        <f>Gantt!X32</f>
        <v>45641</v>
      </c>
      <c r="G30" s="379">
        <f t="shared" si="11"/>
        <v>286</v>
      </c>
      <c r="H30" s="380">
        <f>Gantt!T32</f>
        <v>0.4</v>
      </c>
      <c r="I30" s="381">
        <f t="shared" si="16"/>
        <v>205</v>
      </c>
      <c r="J30" s="382"/>
      <c r="K30" s="375"/>
      <c r="L30" s="375"/>
      <c r="M30" s="375"/>
      <c r="N30" s="375"/>
      <c r="O30" s="375"/>
      <c r="P30" s="375"/>
      <c r="Q30" s="375"/>
      <c r="R30" s="375"/>
      <c r="S30" s="375"/>
      <c r="T30" s="375"/>
      <c r="U30" s="375"/>
      <c r="V30" s="375"/>
      <c r="W30" s="375"/>
      <c r="X30" s="375"/>
      <c r="Y30" s="375"/>
      <c r="Z30" s="375"/>
      <c r="AA30" s="375"/>
      <c r="AB30" s="375"/>
      <c r="AC30" s="375"/>
      <c r="AD30" s="375"/>
      <c r="AE30" s="375"/>
      <c r="AF30" s="375"/>
      <c r="AG30" s="375"/>
      <c r="AH30" s="375"/>
      <c r="AI30" s="375"/>
      <c r="AJ30" s="375"/>
      <c r="AK30" s="375"/>
      <c r="AL30" s="375"/>
      <c r="AM30" s="375"/>
      <c r="AN30" s="375"/>
      <c r="AO30" s="375"/>
      <c r="AP30" s="375"/>
      <c r="AQ30" s="375"/>
      <c r="AR30" s="375"/>
      <c r="AS30" s="375"/>
      <c r="AT30" s="375"/>
      <c r="AU30" s="375"/>
      <c r="AV30" s="375"/>
      <c r="AW30" s="375"/>
      <c r="AX30" s="375"/>
      <c r="AY30" s="375"/>
      <c r="AZ30" s="375"/>
      <c r="BA30" s="375"/>
      <c r="BB30" s="375"/>
      <c r="BC30" s="375"/>
      <c r="BD30" s="375"/>
      <c r="BE30" s="375"/>
      <c r="BF30" s="375"/>
      <c r="BG30" s="375"/>
      <c r="BH30" s="375"/>
      <c r="BI30" s="375"/>
      <c r="BJ30" s="375"/>
      <c r="BK30" s="375"/>
      <c r="BL30" s="375"/>
      <c r="BM30" s="375"/>
      <c r="BN30" s="375"/>
      <c r="BO30" s="375"/>
      <c r="BP30" s="375"/>
      <c r="BQ30" s="375"/>
      <c r="BR30" s="375"/>
      <c r="BS30" s="375"/>
      <c r="BT30" s="375"/>
      <c r="BU30" s="375"/>
    </row>
    <row r="31" spans="1:73" s="377" customFormat="1" ht="25.5" customHeight="1" x14ac:dyDescent="0.25">
      <c r="A31" s="375" t="str">
        <f>Gantt!A33</f>
        <v>4.4</v>
      </c>
      <c r="B31" s="376" t="str">
        <f>Gantt!D33</f>
        <v>MEV - GARI QDCA - DSS - solo front-end (no algoritmi /API) + adeguamento salvataggio su GARI degli output relativi ai consigli dei Modelli Previsionali difesa e Irrigazione + Meteo (DSS)</v>
      </c>
      <c r="D31" s="378"/>
      <c r="E31" s="384">
        <f>Gantt!U33</f>
        <v>45355</v>
      </c>
      <c r="F31" s="385">
        <f>Gantt!X33</f>
        <v>45688</v>
      </c>
      <c r="G31" s="379">
        <f t="shared" si="11"/>
        <v>333</v>
      </c>
      <c r="H31" s="380">
        <f>Gantt!T33</f>
        <v>0.25</v>
      </c>
      <c r="I31" s="381">
        <f t="shared" ref="I31:I38" si="17">IF(OR(F31=0,E31=0)," - ",NETWORKDAYS(E31,F31))</f>
        <v>240</v>
      </c>
      <c r="J31" s="382"/>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5"/>
      <c r="BA31" s="375"/>
      <c r="BB31" s="375"/>
      <c r="BC31" s="375"/>
      <c r="BD31" s="375"/>
      <c r="BE31" s="375"/>
      <c r="BF31" s="375"/>
      <c r="BG31" s="375"/>
      <c r="BH31" s="375"/>
      <c r="BI31" s="375"/>
      <c r="BJ31" s="375"/>
      <c r="BK31" s="375"/>
      <c r="BL31" s="375"/>
      <c r="BM31" s="375"/>
      <c r="BN31" s="375"/>
      <c r="BO31" s="375"/>
      <c r="BP31" s="375"/>
      <c r="BQ31" s="375"/>
      <c r="BR31" s="375"/>
      <c r="BS31" s="375"/>
      <c r="BT31" s="375"/>
      <c r="BU31" s="375"/>
    </row>
    <row r="32" spans="1:73" s="377" customFormat="1" ht="25.5" customHeight="1" x14ac:dyDescent="0.25">
      <c r="A32" s="375" t="str">
        <f>Gantt!A34</f>
        <v>4.5</v>
      </c>
      <c r="B32" s="376" t="str">
        <f>Gantt!D34</f>
        <v>Acquisizione, raccordo e verifica dei dati  Meteo/DSS da sorgenti esterne</v>
      </c>
      <c r="D32" s="378"/>
      <c r="E32" s="384">
        <f>Gantt!U34</f>
        <v>45474</v>
      </c>
      <c r="F32" s="385">
        <f>Gantt!X34</f>
        <v>45747</v>
      </c>
      <c r="G32" s="379">
        <f t="shared" si="11"/>
        <v>273</v>
      </c>
      <c r="H32" s="380">
        <f>Gantt!T34</f>
        <v>0</v>
      </c>
      <c r="I32" s="381">
        <f t="shared" si="17"/>
        <v>196</v>
      </c>
      <c r="J32" s="382"/>
      <c r="K32" s="375"/>
      <c r="L32" s="375"/>
      <c r="M32" s="375"/>
      <c r="N32" s="375"/>
      <c r="O32" s="375"/>
      <c r="P32" s="375"/>
      <c r="Q32" s="375"/>
      <c r="R32" s="375"/>
      <c r="S32" s="375"/>
      <c r="T32" s="375"/>
      <c r="U32" s="375"/>
      <c r="V32" s="375"/>
      <c r="W32" s="375"/>
      <c r="X32" s="375"/>
      <c r="Y32" s="375"/>
      <c r="Z32" s="375"/>
      <c r="AA32" s="375"/>
      <c r="AB32" s="375"/>
      <c r="AC32" s="375"/>
      <c r="AD32" s="375"/>
      <c r="AE32" s="375"/>
      <c r="AF32" s="375"/>
      <c r="AG32" s="375"/>
      <c r="AH32" s="375"/>
      <c r="AI32" s="375"/>
      <c r="AJ32" s="375"/>
      <c r="AK32" s="375"/>
      <c r="AL32" s="375"/>
      <c r="AM32" s="375"/>
      <c r="AN32" s="375"/>
      <c r="AO32" s="375"/>
      <c r="AP32" s="375"/>
      <c r="AQ32" s="375"/>
      <c r="AR32" s="375"/>
      <c r="AS32" s="375"/>
      <c r="AT32" s="375"/>
      <c r="AU32" s="375"/>
      <c r="AV32" s="375"/>
      <c r="AW32" s="375"/>
      <c r="AX32" s="375"/>
      <c r="AY32" s="375"/>
      <c r="AZ32" s="375"/>
      <c r="BA32" s="375"/>
      <c r="BB32" s="375"/>
      <c r="BC32" s="375"/>
      <c r="BD32" s="375"/>
      <c r="BE32" s="375"/>
      <c r="BF32" s="375"/>
      <c r="BG32" s="375"/>
      <c r="BH32" s="375"/>
      <c r="BI32" s="375"/>
      <c r="BJ32" s="375"/>
      <c r="BK32" s="375"/>
      <c r="BL32" s="375"/>
      <c r="BM32" s="375"/>
      <c r="BN32" s="375"/>
      <c r="BO32" s="375"/>
      <c r="BP32" s="375"/>
      <c r="BQ32" s="375"/>
      <c r="BR32" s="375"/>
      <c r="BS32" s="375"/>
      <c r="BT32" s="375"/>
      <c r="BU32" s="375"/>
    </row>
    <row r="33" spans="1:73" s="377" customFormat="1" ht="25.5" customHeight="1" x14ac:dyDescent="0.25">
      <c r="A33" s="375" t="str">
        <f>Gantt!A35</f>
        <v>4.6</v>
      </c>
      <c r="B33" s="376" t="str">
        <f>Gantt!D35</f>
        <v>Acquisizione ,raccordo e verifica dei dati  Meteo/DSS da sorgenti esterne</v>
      </c>
      <c r="D33" s="378"/>
      <c r="E33" s="384">
        <f>Gantt!U35</f>
        <v>45566</v>
      </c>
      <c r="F33" s="385">
        <f>Gantt!X35</f>
        <v>45838</v>
      </c>
      <c r="G33" s="379">
        <f t="shared" si="11"/>
        <v>272</v>
      </c>
      <c r="H33" s="380">
        <f>Gantt!T35</f>
        <v>0</v>
      </c>
      <c r="I33" s="381">
        <f t="shared" si="17"/>
        <v>195</v>
      </c>
      <c r="J33" s="382"/>
      <c r="K33" s="375"/>
      <c r="L33" s="375"/>
      <c r="M33" s="375"/>
      <c r="N33" s="375"/>
      <c r="O33" s="375"/>
      <c r="P33" s="375"/>
      <c r="Q33" s="375"/>
      <c r="R33" s="375"/>
      <c r="S33" s="375"/>
      <c r="T33" s="375"/>
      <c r="U33" s="375"/>
      <c r="V33" s="375"/>
      <c r="W33" s="375"/>
      <c r="X33" s="375"/>
      <c r="Y33" s="375"/>
      <c r="Z33" s="375"/>
      <c r="AA33" s="375"/>
      <c r="AB33" s="375"/>
      <c r="AC33" s="375"/>
      <c r="AD33" s="375"/>
      <c r="AE33" s="375"/>
      <c r="AF33" s="375"/>
      <c r="AG33" s="375"/>
      <c r="AH33" s="375"/>
      <c r="AI33" s="375"/>
      <c r="AJ33" s="375"/>
      <c r="AK33" s="375"/>
      <c r="AL33" s="375"/>
      <c r="AM33" s="375"/>
      <c r="AN33" s="375"/>
      <c r="AO33" s="375"/>
      <c r="AP33" s="375"/>
      <c r="AQ33" s="375"/>
      <c r="AR33" s="375"/>
      <c r="AS33" s="375"/>
      <c r="AT33" s="375"/>
      <c r="AU33" s="375"/>
      <c r="AV33" s="375"/>
      <c r="AW33" s="375"/>
      <c r="AX33" s="375"/>
      <c r="AY33" s="375"/>
      <c r="AZ33" s="375"/>
      <c r="BA33" s="375"/>
      <c r="BB33" s="375"/>
      <c r="BC33" s="375"/>
      <c r="BD33" s="375"/>
      <c r="BE33" s="375"/>
      <c r="BF33" s="375"/>
      <c r="BG33" s="375"/>
      <c r="BH33" s="375"/>
      <c r="BI33" s="375"/>
      <c r="BJ33" s="375"/>
      <c r="BK33" s="375"/>
      <c r="BL33" s="375"/>
      <c r="BM33" s="375"/>
      <c r="BN33" s="375"/>
      <c r="BO33" s="375"/>
      <c r="BP33" s="375"/>
      <c r="BQ33" s="375"/>
      <c r="BR33" s="375"/>
      <c r="BS33" s="375"/>
      <c r="BT33" s="375"/>
      <c r="BU33" s="375"/>
    </row>
    <row r="34" spans="1:73" s="377" customFormat="1" ht="25.5" customHeight="1" x14ac:dyDescent="0.25">
      <c r="A34" s="375" t="str">
        <f>Gantt!A36</f>
        <v>4.7</v>
      </c>
      <c r="B34" s="376" t="str">
        <f>Gantt!D36</f>
        <v>Report ARPA: dati di impiego dei prodotti fitosanitari</v>
      </c>
      <c r="D34" s="378"/>
      <c r="E34" s="384">
        <f>Gantt!U36</f>
        <v>45499</v>
      </c>
      <c r="F34" s="385">
        <f>Gantt!X36</f>
        <v>45657</v>
      </c>
      <c r="G34" s="379">
        <f t="shared" si="11"/>
        <v>158</v>
      </c>
      <c r="H34" s="380">
        <f>Gantt!T36</f>
        <v>0.4</v>
      </c>
      <c r="I34" s="381">
        <f t="shared" si="17"/>
        <v>113</v>
      </c>
      <c r="J34" s="382"/>
      <c r="K34" s="375"/>
      <c r="L34" s="375"/>
      <c r="M34" s="375"/>
      <c r="N34" s="375"/>
      <c r="O34" s="375"/>
      <c r="P34" s="375"/>
      <c r="Q34" s="375"/>
      <c r="R34" s="375"/>
      <c r="S34" s="375"/>
      <c r="T34" s="375"/>
      <c r="U34" s="375"/>
      <c r="V34" s="375"/>
      <c r="W34" s="375"/>
      <c r="X34" s="375"/>
      <c r="Y34" s="375"/>
      <c r="Z34" s="375"/>
      <c r="AA34" s="375"/>
      <c r="AB34" s="375"/>
      <c r="AC34" s="375"/>
      <c r="AD34" s="375"/>
      <c r="AE34" s="375"/>
      <c r="AF34" s="375"/>
      <c r="AG34" s="375"/>
      <c r="AH34" s="375"/>
      <c r="AI34" s="375"/>
      <c r="AJ34" s="375"/>
      <c r="AK34" s="375"/>
      <c r="AL34" s="375"/>
      <c r="AM34" s="375"/>
      <c r="AN34" s="375"/>
      <c r="AO34" s="375"/>
      <c r="AP34" s="375"/>
      <c r="AQ34" s="375"/>
      <c r="AR34" s="375"/>
      <c r="AS34" s="375"/>
      <c r="AT34" s="375"/>
      <c r="AU34" s="375"/>
      <c r="AV34" s="375"/>
      <c r="AW34" s="375"/>
      <c r="AX34" s="375"/>
      <c r="AY34" s="375"/>
      <c r="AZ34" s="375"/>
      <c r="BA34" s="375"/>
      <c r="BB34" s="375"/>
      <c r="BC34" s="375"/>
      <c r="BD34" s="375"/>
      <c r="BE34" s="375"/>
      <c r="BF34" s="375"/>
      <c r="BG34" s="375"/>
      <c r="BH34" s="375"/>
      <c r="BI34" s="375"/>
      <c r="BJ34" s="375"/>
      <c r="BK34" s="375"/>
      <c r="BL34" s="375"/>
      <c r="BM34" s="375"/>
      <c r="BN34" s="375"/>
      <c r="BO34" s="375"/>
      <c r="BP34" s="375"/>
      <c r="BQ34" s="375"/>
      <c r="BR34" s="375"/>
      <c r="BS34" s="375"/>
      <c r="BT34" s="375"/>
      <c r="BU34" s="375"/>
    </row>
    <row r="35" spans="1:73" s="377" customFormat="1" ht="25.5" customHeight="1" x14ac:dyDescent="0.25">
      <c r="A35" s="375" t="str">
        <f>Gantt!A37</f>
        <v>4.8</v>
      </c>
      <c r="B35" s="376" t="str">
        <f>Gantt!D37</f>
        <v>Revisione dei moduli QUADERNO SQNPI e BIO  per essere utilizzabili e integrabili  sulle nuove tecnologie introdotte con il paradigma PCG</v>
      </c>
      <c r="D35" s="378"/>
      <c r="E35" s="384">
        <f>Gantt!U37</f>
        <v>0</v>
      </c>
      <c r="F35" s="385">
        <f>Gantt!X37</f>
        <v>45703</v>
      </c>
      <c r="G35" s="379">
        <f t="shared" si="11"/>
        <v>45703</v>
      </c>
      <c r="H35" s="380">
        <f>Gantt!T37</f>
        <v>0.15</v>
      </c>
      <c r="I35" s="381" t="str">
        <f t="shared" si="17"/>
        <v xml:space="preserve"> - </v>
      </c>
      <c r="J35" s="382"/>
      <c r="K35" s="375"/>
      <c r="L35" s="375"/>
      <c r="M35" s="375"/>
      <c r="N35" s="375"/>
      <c r="O35" s="375"/>
      <c r="P35" s="375"/>
      <c r="Q35" s="375"/>
      <c r="R35" s="375"/>
      <c r="S35" s="375"/>
      <c r="T35" s="375"/>
      <c r="U35" s="375"/>
      <c r="V35" s="375"/>
      <c r="W35" s="375"/>
      <c r="X35" s="375"/>
      <c r="Y35" s="375"/>
      <c r="Z35" s="375"/>
      <c r="AA35" s="375"/>
      <c r="AB35" s="375"/>
      <c r="AC35" s="375"/>
      <c r="AD35" s="375"/>
      <c r="AE35" s="375"/>
      <c r="AF35" s="375"/>
      <c r="AG35" s="375"/>
      <c r="AH35" s="375"/>
      <c r="AI35" s="375"/>
      <c r="AJ35" s="375"/>
      <c r="AK35" s="375"/>
      <c r="AL35" s="375"/>
      <c r="AM35" s="375"/>
      <c r="AN35" s="375"/>
      <c r="AO35" s="375"/>
      <c r="AP35" s="375"/>
      <c r="AQ35" s="375"/>
      <c r="AR35" s="375"/>
      <c r="AS35" s="375"/>
      <c r="AT35" s="375"/>
      <c r="AU35" s="375"/>
      <c r="AV35" s="375"/>
      <c r="AW35" s="375"/>
      <c r="AX35" s="375"/>
      <c r="AY35" s="375"/>
      <c r="AZ35" s="375"/>
      <c r="BA35" s="375"/>
      <c r="BB35" s="375"/>
      <c r="BC35" s="375"/>
      <c r="BD35" s="375"/>
      <c r="BE35" s="375"/>
      <c r="BF35" s="375"/>
      <c r="BG35" s="375"/>
      <c r="BH35" s="375"/>
      <c r="BI35" s="375"/>
      <c r="BJ35" s="375"/>
      <c r="BK35" s="375"/>
      <c r="BL35" s="375"/>
      <c r="BM35" s="375"/>
      <c r="BN35" s="375"/>
      <c r="BO35" s="375"/>
      <c r="BP35" s="375"/>
      <c r="BQ35" s="375"/>
      <c r="BR35" s="375"/>
      <c r="BS35" s="375"/>
      <c r="BT35" s="375"/>
      <c r="BU35" s="375"/>
    </row>
    <row r="36" spans="1:73" s="377" customFormat="1" ht="25.5" customHeight="1" x14ac:dyDescent="0.25">
      <c r="A36" s="375" t="str">
        <f>Gantt!A38</f>
        <v>4.9</v>
      </c>
      <c r="B36" s="376" t="str">
        <f>Gantt!D38</f>
        <v>Attivazione registri bio nel contesto del  QDCA GARI, setting, configurazioni, profilazioni utenti, ecc.</v>
      </c>
      <c r="D36" s="378"/>
      <c r="E36" s="384">
        <f>Gantt!U38</f>
        <v>45355</v>
      </c>
      <c r="F36" s="385">
        <f>Gantt!X38</f>
        <v>45641</v>
      </c>
      <c r="G36" s="379">
        <f t="shared" si="11"/>
        <v>286</v>
      </c>
      <c r="H36" s="380">
        <f>Gantt!T38</f>
        <v>0.8</v>
      </c>
      <c r="I36" s="381">
        <f t="shared" si="17"/>
        <v>205</v>
      </c>
      <c r="J36" s="382"/>
      <c r="K36" s="375"/>
      <c r="L36" s="375"/>
      <c r="M36" s="375"/>
      <c r="N36" s="375"/>
      <c r="O36" s="375"/>
      <c r="P36" s="375"/>
      <c r="Q36" s="375"/>
      <c r="R36" s="375"/>
      <c r="S36" s="375"/>
      <c r="T36" s="375"/>
      <c r="U36" s="375"/>
      <c r="V36" s="375"/>
      <c r="W36" s="375"/>
      <c r="X36" s="375"/>
      <c r="Y36" s="375"/>
      <c r="Z36" s="375"/>
      <c r="AA36" s="375"/>
      <c r="AB36" s="375"/>
      <c r="AC36" s="375"/>
      <c r="AD36" s="375"/>
      <c r="AE36" s="375"/>
      <c r="AF36" s="375"/>
      <c r="AG36" s="375"/>
      <c r="AH36" s="375"/>
      <c r="AI36" s="375"/>
      <c r="AJ36" s="375"/>
      <c r="AK36" s="375"/>
      <c r="AL36" s="375"/>
      <c r="AM36" s="375"/>
      <c r="AN36" s="375"/>
      <c r="AO36" s="375"/>
      <c r="AP36" s="375"/>
      <c r="AQ36" s="375"/>
      <c r="AR36" s="375"/>
      <c r="AS36" s="375"/>
      <c r="AT36" s="375"/>
      <c r="AU36" s="375"/>
      <c r="AV36" s="375"/>
      <c r="AW36" s="375"/>
      <c r="AX36" s="375"/>
      <c r="AY36" s="375"/>
      <c r="AZ36" s="375"/>
      <c r="BA36" s="375"/>
      <c r="BB36" s="375"/>
      <c r="BC36" s="375"/>
      <c r="BD36" s="375"/>
      <c r="BE36" s="375"/>
      <c r="BF36" s="375"/>
      <c r="BG36" s="375"/>
      <c r="BH36" s="375"/>
      <c r="BI36" s="375"/>
      <c r="BJ36" s="375"/>
      <c r="BK36" s="375"/>
      <c r="BL36" s="375"/>
      <c r="BM36" s="375"/>
      <c r="BN36" s="375"/>
      <c r="BO36" s="375"/>
      <c r="BP36" s="375"/>
      <c r="BQ36" s="375"/>
      <c r="BR36" s="375"/>
      <c r="BS36" s="375"/>
      <c r="BT36" s="375"/>
      <c r="BU36" s="375"/>
    </row>
    <row r="37" spans="1:73" s="374" customFormat="1" ht="25.5" customHeight="1" x14ac:dyDescent="0.25">
      <c r="A37" s="363"/>
      <c r="B37" s="364" t="str">
        <f>Gantt!D39</f>
        <v xml:space="preserve">ATTIVITA' DI CARATTERE CONTINUATIVO (NON PROGETTUALE)
</v>
      </c>
      <c r="C37" s="365"/>
      <c r="D37" s="366"/>
      <c r="E37" s="384"/>
      <c r="F37" s="385"/>
      <c r="G37" s="379"/>
      <c r="H37" s="380"/>
      <c r="I37" s="371" t="str">
        <f t="shared" si="17"/>
        <v xml:space="preserve"> - </v>
      </c>
      <c r="J37" s="372"/>
      <c r="K37" s="373"/>
      <c r="L37" s="373"/>
      <c r="M37" s="373"/>
      <c r="N37" s="373"/>
      <c r="O37" s="373"/>
      <c r="P37" s="373"/>
      <c r="Q37" s="373"/>
      <c r="R37" s="373"/>
      <c r="S37" s="373"/>
      <c r="T37" s="373"/>
      <c r="U37" s="373"/>
      <c r="V37" s="373"/>
      <c r="W37" s="373"/>
      <c r="X37" s="373"/>
      <c r="Y37" s="373"/>
      <c r="Z37" s="373"/>
      <c r="AA37" s="373"/>
      <c r="AB37" s="373"/>
      <c r="AC37" s="373"/>
      <c r="AD37" s="373"/>
      <c r="AE37" s="373"/>
      <c r="AF37" s="373"/>
      <c r="AG37" s="373"/>
      <c r="AH37" s="373"/>
      <c r="AI37" s="373"/>
      <c r="AJ37" s="373"/>
      <c r="AK37" s="373"/>
      <c r="AL37" s="373"/>
      <c r="AM37" s="373"/>
      <c r="AN37" s="373"/>
      <c r="AO37" s="373"/>
      <c r="AP37" s="373"/>
      <c r="AQ37" s="373"/>
      <c r="AR37" s="373"/>
      <c r="AS37" s="373"/>
      <c r="AT37" s="373"/>
      <c r="AU37" s="373"/>
      <c r="AV37" s="373"/>
      <c r="AW37" s="373"/>
      <c r="AX37" s="373"/>
      <c r="AY37" s="373"/>
      <c r="AZ37" s="373"/>
      <c r="BA37" s="373"/>
      <c r="BB37" s="373"/>
      <c r="BC37" s="373"/>
      <c r="BD37" s="373"/>
      <c r="BE37" s="373"/>
      <c r="BF37" s="373"/>
      <c r="BG37" s="373"/>
      <c r="BH37" s="373"/>
      <c r="BI37" s="373"/>
      <c r="BJ37" s="373"/>
      <c r="BK37" s="373"/>
      <c r="BL37" s="373"/>
      <c r="BM37" s="373"/>
      <c r="BN37" s="373"/>
      <c r="BO37" s="373"/>
      <c r="BP37" s="373"/>
      <c r="BQ37" s="373"/>
      <c r="BR37" s="373"/>
      <c r="BS37" s="373"/>
      <c r="BT37" s="373"/>
      <c r="BU37" s="373"/>
    </row>
    <row r="38" spans="1:73" s="377" customFormat="1" ht="25.5" customHeight="1" x14ac:dyDescent="0.25">
      <c r="A38" s="375">
        <f>Gantt!A40</f>
        <v>5</v>
      </c>
      <c r="B38" s="402" t="str">
        <f>Gantt!D40</f>
        <v>SERVIZI DI SUPPORTO SPECIALISTICO APPLICATIVO</v>
      </c>
      <c r="C38" s="403"/>
      <c r="D38" s="404"/>
      <c r="E38" s="405"/>
      <c r="F38" s="406"/>
      <c r="G38" s="407"/>
      <c r="H38" s="408"/>
      <c r="I38" s="407" t="str">
        <f t="shared" si="17"/>
        <v xml:space="preserve"> - </v>
      </c>
      <c r="J38" s="382"/>
      <c r="K38" s="375"/>
      <c r="L38" s="375"/>
      <c r="M38" s="375"/>
      <c r="N38" s="375"/>
      <c r="O38" s="375"/>
      <c r="P38" s="375"/>
      <c r="Q38" s="375"/>
      <c r="R38" s="375"/>
      <c r="S38" s="375"/>
      <c r="T38" s="375"/>
      <c r="U38" s="375"/>
      <c r="V38" s="375"/>
      <c r="W38" s="375"/>
      <c r="X38" s="375"/>
      <c r="Y38" s="375"/>
      <c r="Z38" s="375"/>
      <c r="AA38" s="375"/>
      <c r="AB38" s="375"/>
      <c r="AC38" s="375"/>
      <c r="AD38" s="375"/>
      <c r="AE38" s="375"/>
      <c r="AF38" s="375"/>
      <c r="AG38" s="375"/>
      <c r="AH38" s="375"/>
      <c r="AI38" s="375"/>
      <c r="AJ38" s="375"/>
      <c r="AK38" s="375"/>
      <c r="AL38" s="375"/>
      <c r="AM38" s="375"/>
      <c r="AN38" s="375"/>
      <c r="AO38" s="375"/>
      <c r="AP38" s="375"/>
      <c r="AQ38" s="375"/>
      <c r="AR38" s="375"/>
      <c r="AS38" s="375"/>
      <c r="AT38" s="375"/>
      <c r="AU38" s="375"/>
      <c r="AV38" s="375"/>
      <c r="AW38" s="375"/>
      <c r="AX38" s="375"/>
      <c r="AY38" s="375"/>
      <c r="AZ38" s="375"/>
      <c r="BA38" s="375"/>
      <c r="BB38" s="375"/>
      <c r="BC38" s="375"/>
      <c r="BD38" s="375"/>
      <c r="BE38" s="375"/>
      <c r="BF38" s="375"/>
      <c r="BG38" s="375"/>
      <c r="BH38" s="375"/>
      <c r="BI38" s="375"/>
      <c r="BJ38" s="375"/>
      <c r="BK38" s="375"/>
      <c r="BL38" s="375"/>
      <c r="BM38" s="375"/>
      <c r="BN38" s="375"/>
      <c r="BO38" s="375"/>
      <c r="BP38" s="375"/>
      <c r="BQ38" s="375"/>
      <c r="BR38" s="375"/>
      <c r="BS38" s="375"/>
      <c r="BT38" s="375"/>
      <c r="BU38" s="375"/>
    </row>
    <row r="39" spans="1:73" s="377" customFormat="1" ht="25.5" customHeight="1" x14ac:dyDescent="0.25">
      <c r="A39" s="375" t="str">
        <f>Gantt!A41</f>
        <v>5.1</v>
      </c>
      <c r="B39" s="396" t="str">
        <f>Gantt!D41</f>
        <v>Supporto Specialistico  2024</v>
      </c>
      <c r="D39" s="397"/>
      <c r="E39" s="398"/>
      <c r="F39" s="399"/>
      <c r="G39" s="400"/>
      <c r="H39" s="401"/>
      <c r="I39" s="400"/>
      <c r="J39" s="382"/>
      <c r="K39" s="375"/>
      <c r="L39" s="375"/>
      <c r="M39" s="375"/>
      <c r="N39" s="375"/>
      <c r="O39" s="375"/>
      <c r="P39" s="375"/>
      <c r="Q39" s="375"/>
      <c r="R39" s="375"/>
      <c r="S39" s="375"/>
      <c r="T39" s="375"/>
      <c r="U39" s="375"/>
      <c r="V39" s="375"/>
      <c r="W39" s="375"/>
      <c r="X39" s="375"/>
      <c r="Y39" s="375"/>
      <c r="Z39" s="375"/>
      <c r="AA39" s="375"/>
      <c r="AB39" s="375"/>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5"/>
      <c r="BA39" s="375"/>
      <c r="BB39" s="375"/>
      <c r="BC39" s="375"/>
      <c r="BD39" s="375"/>
      <c r="BE39" s="375"/>
      <c r="BF39" s="375"/>
      <c r="BG39" s="375"/>
      <c r="BH39" s="375"/>
      <c r="BI39" s="375"/>
      <c r="BJ39" s="375"/>
      <c r="BK39" s="375"/>
      <c r="BL39" s="375"/>
      <c r="BM39" s="375"/>
      <c r="BN39" s="375"/>
      <c r="BO39" s="375"/>
      <c r="BP39" s="375"/>
      <c r="BQ39" s="375"/>
      <c r="BR39" s="375"/>
      <c r="BS39" s="375"/>
      <c r="BT39" s="375"/>
      <c r="BU39" s="375"/>
    </row>
    <row r="40" spans="1:73" s="377" customFormat="1" ht="25.5" customHeight="1" x14ac:dyDescent="0.25">
      <c r="A40" s="375" t="str">
        <f>Gantt!A42</f>
        <v>5.1.1</v>
      </c>
      <c r="B40" s="376" t="str">
        <f>Gantt!D42</f>
        <v>Supporto Specialistico - I TRIM 2024</v>
      </c>
      <c r="D40" s="378"/>
      <c r="E40" s="384">
        <f>Gantt!U42</f>
        <v>45292</v>
      </c>
      <c r="F40" s="385">
        <f>Gantt!X42</f>
        <v>45382</v>
      </c>
      <c r="G40" s="379">
        <f t="shared" si="11"/>
        <v>90</v>
      </c>
      <c r="H40" s="380">
        <f>Gantt!T42</f>
        <v>1</v>
      </c>
      <c r="I40" s="381">
        <f t="shared" ref="I40" si="18">IF(OR(F40=0,E40=0)," - ",NETWORKDAYS(E40,F40))</f>
        <v>65</v>
      </c>
      <c r="J40" s="382"/>
      <c r="K40" s="375"/>
      <c r="L40" s="375"/>
      <c r="M40" s="375"/>
      <c r="N40" s="375"/>
      <c r="O40" s="375"/>
      <c r="P40" s="375"/>
      <c r="Q40" s="375"/>
      <c r="R40" s="375"/>
      <c r="S40" s="375"/>
      <c r="T40" s="375"/>
      <c r="U40" s="375"/>
      <c r="V40" s="375"/>
      <c r="W40" s="375"/>
      <c r="X40" s="375"/>
      <c r="Y40" s="375"/>
      <c r="Z40" s="375"/>
      <c r="AA40" s="375"/>
      <c r="AB40" s="375"/>
      <c r="AC40" s="375"/>
      <c r="AD40" s="375"/>
      <c r="AE40" s="375"/>
      <c r="AF40" s="375"/>
      <c r="AG40" s="375"/>
      <c r="AH40" s="375"/>
      <c r="AI40" s="375"/>
      <c r="AJ40" s="375"/>
      <c r="AK40" s="375"/>
      <c r="AL40" s="375"/>
      <c r="AM40" s="375"/>
      <c r="AN40" s="375"/>
      <c r="AO40" s="375"/>
      <c r="AP40" s="375"/>
      <c r="AQ40" s="375"/>
      <c r="AR40" s="375"/>
      <c r="AS40" s="375"/>
      <c r="AT40" s="375"/>
      <c r="AU40" s="375"/>
      <c r="AV40" s="375"/>
      <c r="AW40" s="375"/>
      <c r="AX40" s="375"/>
      <c r="AY40" s="375"/>
      <c r="AZ40" s="375"/>
      <c r="BA40" s="375"/>
      <c r="BB40" s="375"/>
      <c r="BC40" s="375"/>
      <c r="BD40" s="375"/>
      <c r="BE40" s="375"/>
      <c r="BF40" s="375"/>
      <c r="BG40" s="375"/>
      <c r="BH40" s="375"/>
      <c r="BI40" s="375"/>
      <c r="BJ40" s="375"/>
      <c r="BK40" s="375"/>
      <c r="BL40" s="375"/>
      <c r="BM40" s="375"/>
      <c r="BN40" s="375"/>
      <c r="BO40" s="375"/>
      <c r="BP40" s="375"/>
      <c r="BQ40" s="375"/>
      <c r="BR40" s="375"/>
      <c r="BS40" s="375"/>
      <c r="BT40" s="375"/>
      <c r="BU40" s="375"/>
    </row>
    <row r="41" spans="1:73" s="377" customFormat="1" ht="25.5" customHeight="1" x14ac:dyDescent="0.25">
      <c r="A41" s="375" t="str">
        <f>Gantt!A43</f>
        <v>5.1.2</v>
      </c>
      <c r="B41" s="376" t="str">
        <f>Gantt!D43</f>
        <v>Supporto Specialistico - II TRIM 2024</v>
      </c>
      <c r="D41" s="378"/>
      <c r="E41" s="384">
        <f>Gantt!U43</f>
        <v>45383</v>
      </c>
      <c r="F41" s="385">
        <f>Gantt!X43</f>
        <v>45473</v>
      </c>
      <c r="G41" s="379">
        <f t="shared" si="11"/>
        <v>90</v>
      </c>
      <c r="H41" s="380">
        <f>Gantt!T43</f>
        <v>1</v>
      </c>
      <c r="I41" s="381">
        <f t="shared" ref="I41:I43" si="19">IF(OR(F41=0,E41=0)," - ",NETWORKDAYS(E41,F41))</f>
        <v>65</v>
      </c>
      <c r="J41" s="382"/>
      <c r="K41" s="375"/>
      <c r="L41" s="375"/>
      <c r="M41" s="375"/>
      <c r="N41" s="375"/>
      <c r="O41" s="375"/>
      <c r="P41" s="375"/>
      <c r="Q41" s="375"/>
      <c r="R41" s="375"/>
      <c r="S41" s="375"/>
      <c r="T41" s="375"/>
      <c r="U41" s="375"/>
      <c r="V41" s="375"/>
      <c r="W41" s="375"/>
      <c r="X41" s="375"/>
      <c r="Y41" s="375"/>
      <c r="Z41" s="375"/>
      <c r="AA41" s="375"/>
      <c r="AB41" s="375"/>
      <c r="AC41" s="375"/>
      <c r="AD41" s="375"/>
      <c r="AE41" s="375"/>
      <c r="AF41" s="375"/>
      <c r="AG41" s="375"/>
      <c r="AH41" s="375"/>
      <c r="AI41" s="375"/>
      <c r="AJ41" s="375"/>
      <c r="AK41" s="375"/>
      <c r="AL41" s="375"/>
      <c r="AM41" s="375"/>
      <c r="AN41" s="375"/>
      <c r="AO41" s="375"/>
      <c r="AP41" s="375"/>
      <c r="AQ41" s="375"/>
      <c r="AR41" s="375"/>
      <c r="AS41" s="375"/>
      <c r="AT41" s="375"/>
      <c r="AU41" s="375"/>
      <c r="AV41" s="375"/>
      <c r="AW41" s="375"/>
      <c r="AX41" s="375"/>
      <c r="AY41" s="375"/>
      <c r="AZ41" s="375"/>
      <c r="BA41" s="375"/>
      <c r="BB41" s="375"/>
      <c r="BC41" s="375"/>
      <c r="BD41" s="375"/>
      <c r="BE41" s="375"/>
      <c r="BF41" s="375"/>
      <c r="BG41" s="375"/>
      <c r="BH41" s="375"/>
      <c r="BI41" s="375"/>
      <c r="BJ41" s="375"/>
      <c r="BK41" s="375"/>
      <c r="BL41" s="375"/>
      <c r="BM41" s="375"/>
      <c r="BN41" s="375"/>
      <c r="BO41" s="375"/>
      <c r="BP41" s="375"/>
      <c r="BQ41" s="375"/>
      <c r="BR41" s="375"/>
      <c r="BS41" s="375"/>
      <c r="BT41" s="375"/>
      <c r="BU41" s="375"/>
    </row>
    <row r="42" spans="1:73" s="377" customFormat="1" ht="25.5" customHeight="1" x14ac:dyDescent="0.25">
      <c r="A42" s="375" t="str">
        <f>Gantt!A44</f>
        <v>5.1.3</v>
      </c>
      <c r="B42" s="376" t="str">
        <f>Gantt!D44</f>
        <v>Supporto Specialistico -  III TRIM 2024</v>
      </c>
      <c r="D42" s="378"/>
      <c r="E42" s="384">
        <f>Gantt!U44</f>
        <v>45474</v>
      </c>
      <c r="F42" s="385">
        <f>Gantt!X44</f>
        <v>45565</v>
      </c>
      <c r="G42" s="379">
        <f t="shared" si="11"/>
        <v>91</v>
      </c>
      <c r="H42" s="380">
        <f>Gantt!T44</f>
        <v>1</v>
      </c>
      <c r="I42" s="381">
        <f t="shared" si="19"/>
        <v>66</v>
      </c>
      <c r="J42" s="382"/>
      <c r="K42" s="375"/>
      <c r="L42" s="375"/>
      <c r="M42" s="375"/>
      <c r="N42" s="375"/>
      <c r="O42" s="375"/>
      <c r="P42" s="375"/>
      <c r="Q42" s="375"/>
      <c r="R42" s="375"/>
      <c r="S42" s="375"/>
      <c r="T42" s="375"/>
      <c r="U42" s="375"/>
      <c r="V42" s="375"/>
      <c r="W42" s="375"/>
      <c r="X42" s="375"/>
      <c r="Y42" s="375"/>
      <c r="Z42" s="375"/>
      <c r="AA42" s="375"/>
      <c r="AB42" s="375"/>
      <c r="AC42" s="375"/>
      <c r="AD42" s="375"/>
      <c r="AE42" s="375"/>
      <c r="AF42" s="375"/>
      <c r="AG42" s="375"/>
      <c r="AH42" s="375"/>
      <c r="AI42" s="375"/>
      <c r="AJ42" s="375"/>
      <c r="AK42" s="375"/>
      <c r="AL42" s="375"/>
      <c r="AM42" s="375"/>
      <c r="AN42" s="375"/>
      <c r="AO42" s="375"/>
      <c r="AP42" s="375"/>
      <c r="AQ42" s="375"/>
      <c r="AR42" s="375"/>
      <c r="AS42" s="375"/>
      <c r="AT42" s="375"/>
      <c r="AU42" s="375"/>
      <c r="AV42" s="375"/>
      <c r="AW42" s="375"/>
      <c r="AX42" s="375"/>
      <c r="AY42" s="375"/>
      <c r="AZ42" s="375"/>
      <c r="BA42" s="375"/>
      <c r="BB42" s="375"/>
      <c r="BC42" s="375"/>
      <c r="BD42" s="375"/>
      <c r="BE42" s="375"/>
      <c r="BF42" s="375"/>
      <c r="BG42" s="375"/>
      <c r="BH42" s="375"/>
      <c r="BI42" s="375"/>
      <c r="BJ42" s="375"/>
      <c r="BK42" s="375"/>
      <c r="BL42" s="375"/>
      <c r="BM42" s="375"/>
      <c r="BN42" s="375"/>
      <c r="BO42" s="375"/>
      <c r="BP42" s="375"/>
      <c r="BQ42" s="375"/>
      <c r="BR42" s="375"/>
      <c r="BS42" s="375"/>
      <c r="BT42" s="375"/>
      <c r="BU42" s="375"/>
    </row>
    <row r="43" spans="1:73" s="377" customFormat="1" ht="25.5" customHeight="1" x14ac:dyDescent="0.25">
      <c r="A43" s="375" t="str">
        <f>Gantt!A45</f>
        <v>5.1.4</v>
      </c>
      <c r="B43" s="376" t="str">
        <f>Gantt!D45</f>
        <v xml:space="preserve">Supporto Specialistico -  IV TRIM 2024 </v>
      </c>
      <c r="D43" s="378"/>
      <c r="E43" s="384">
        <f>Gantt!U45</f>
        <v>45566</v>
      </c>
      <c r="F43" s="385">
        <f>Gantt!X45</f>
        <v>45656</v>
      </c>
      <c r="G43" s="379">
        <f t="shared" si="11"/>
        <v>90</v>
      </c>
      <c r="H43" s="380">
        <f>Gantt!T45</f>
        <v>0.05</v>
      </c>
      <c r="I43" s="381">
        <f t="shared" si="19"/>
        <v>65</v>
      </c>
      <c r="J43" s="382"/>
      <c r="K43" s="375"/>
      <c r="L43" s="375"/>
      <c r="M43" s="375"/>
      <c r="N43" s="375"/>
      <c r="O43" s="375"/>
      <c r="P43" s="375"/>
      <c r="Q43" s="375"/>
      <c r="R43" s="375"/>
      <c r="S43" s="375"/>
      <c r="T43" s="375"/>
      <c r="U43" s="375"/>
      <c r="V43" s="375"/>
      <c r="W43" s="375"/>
      <c r="X43" s="375"/>
      <c r="Y43" s="375"/>
      <c r="Z43" s="375"/>
      <c r="AA43" s="375"/>
      <c r="AB43" s="375"/>
      <c r="AC43" s="375"/>
      <c r="AD43" s="375"/>
      <c r="AE43" s="375"/>
      <c r="AF43" s="375"/>
      <c r="AG43" s="375"/>
      <c r="AH43" s="375"/>
      <c r="AI43" s="375"/>
      <c r="AJ43" s="375"/>
      <c r="AK43" s="375"/>
      <c r="AL43" s="375"/>
      <c r="AM43" s="375"/>
      <c r="AN43" s="375"/>
      <c r="AO43" s="375"/>
      <c r="AP43" s="375"/>
      <c r="AQ43" s="375"/>
      <c r="AR43" s="375"/>
      <c r="AS43" s="375"/>
      <c r="AT43" s="375"/>
      <c r="AU43" s="375"/>
      <c r="AV43" s="375"/>
      <c r="AW43" s="375"/>
      <c r="AX43" s="375"/>
      <c r="AY43" s="375"/>
      <c r="AZ43" s="375"/>
      <c r="BA43" s="375"/>
      <c r="BB43" s="375"/>
      <c r="BC43" s="375"/>
      <c r="BD43" s="375"/>
      <c r="BE43" s="375"/>
      <c r="BF43" s="375"/>
      <c r="BG43" s="375"/>
      <c r="BH43" s="375"/>
      <c r="BI43" s="375"/>
      <c r="BJ43" s="375"/>
      <c r="BK43" s="375"/>
      <c r="BL43" s="375"/>
      <c r="BM43" s="375"/>
      <c r="BN43" s="375"/>
      <c r="BO43" s="375"/>
      <c r="BP43" s="375"/>
      <c r="BQ43" s="375"/>
      <c r="BR43" s="375"/>
      <c r="BS43" s="375"/>
      <c r="BT43" s="375"/>
      <c r="BU43" s="375"/>
    </row>
    <row r="44" spans="1:73" s="377" customFormat="1" ht="25.5" customHeight="1" x14ac:dyDescent="0.25">
      <c r="A44" s="375" t="str">
        <f>Gantt!A46</f>
        <v>5.2</v>
      </c>
      <c r="B44" s="396" t="str">
        <f>Gantt!D46</f>
        <v>Supporto Specialistio  2025</v>
      </c>
      <c r="D44" s="397"/>
      <c r="E44" s="398"/>
      <c r="F44" s="399"/>
      <c r="G44" s="400"/>
      <c r="H44" s="401"/>
      <c r="I44" s="400"/>
      <c r="J44" s="382"/>
      <c r="K44" s="375"/>
      <c r="L44" s="375"/>
      <c r="M44" s="375"/>
      <c r="N44" s="375"/>
      <c r="O44" s="375"/>
      <c r="P44" s="375"/>
      <c r="Q44" s="375"/>
      <c r="R44" s="375"/>
      <c r="S44" s="375"/>
      <c r="T44" s="375"/>
      <c r="U44" s="375"/>
      <c r="V44" s="375"/>
      <c r="W44" s="375"/>
      <c r="X44" s="375"/>
      <c r="Y44" s="375"/>
      <c r="Z44" s="375"/>
      <c r="AA44" s="375"/>
      <c r="AB44" s="375"/>
      <c r="AC44" s="375"/>
      <c r="AD44" s="375"/>
      <c r="AE44" s="375"/>
      <c r="AF44" s="375"/>
      <c r="AG44" s="375"/>
      <c r="AH44" s="375"/>
      <c r="AI44" s="375"/>
      <c r="AJ44" s="375"/>
      <c r="AK44" s="375"/>
      <c r="AL44" s="375"/>
      <c r="AM44" s="375"/>
      <c r="AN44" s="375"/>
      <c r="AO44" s="375"/>
      <c r="AP44" s="375"/>
      <c r="AQ44" s="375"/>
      <c r="AR44" s="375"/>
      <c r="AS44" s="375"/>
      <c r="AT44" s="375"/>
      <c r="AU44" s="375"/>
      <c r="AV44" s="375"/>
      <c r="AW44" s="375"/>
      <c r="AX44" s="375"/>
      <c r="AY44" s="375"/>
      <c r="AZ44" s="375"/>
      <c r="BA44" s="375"/>
      <c r="BB44" s="375"/>
      <c r="BC44" s="375"/>
      <c r="BD44" s="375"/>
      <c r="BE44" s="375"/>
      <c r="BF44" s="375"/>
      <c r="BG44" s="375"/>
      <c r="BH44" s="375"/>
      <c r="BI44" s="375"/>
      <c r="BJ44" s="375"/>
      <c r="BK44" s="375"/>
      <c r="BL44" s="375"/>
      <c r="BM44" s="375"/>
      <c r="BN44" s="375"/>
      <c r="BO44" s="375"/>
      <c r="BP44" s="375"/>
      <c r="BQ44" s="375"/>
      <c r="BR44" s="375"/>
      <c r="BS44" s="375"/>
      <c r="BT44" s="375"/>
      <c r="BU44" s="375"/>
    </row>
    <row r="45" spans="1:73" s="377" customFormat="1" ht="25.5" customHeight="1" x14ac:dyDescent="0.25">
      <c r="A45" s="375" t="str">
        <f>Gantt!A47</f>
        <v>5.2.1</v>
      </c>
      <c r="B45" s="376" t="str">
        <f>Gantt!D47</f>
        <v>Supporto Specialistico - I TRIM 2025</v>
      </c>
      <c r="D45" s="378"/>
      <c r="E45" s="384">
        <f>Gantt!U47</f>
        <v>45658</v>
      </c>
      <c r="F45" s="385">
        <f>Gantt!X47</f>
        <v>45747</v>
      </c>
      <c r="G45" s="379">
        <f t="shared" si="11"/>
        <v>89</v>
      </c>
      <c r="H45" s="380">
        <f>Gantt!T47</f>
        <v>0</v>
      </c>
      <c r="I45" s="381">
        <f t="shared" ref="I45:I51" si="20">IF(OR(F45=0,E45=0)," - ",NETWORKDAYS(E45,F45))</f>
        <v>64</v>
      </c>
      <c r="J45" s="382"/>
      <c r="K45" s="375"/>
      <c r="L45" s="375"/>
      <c r="M45" s="375"/>
      <c r="N45" s="375"/>
      <c r="O45" s="375"/>
      <c r="P45" s="375"/>
      <c r="Q45" s="375"/>
      <c r="R45" s="375"/>
      <c r="S45" s="375"/>
      <c r="T45" s="375"/>
      <c r="U45" s="375"/>
      <c r="V45" s="375"/>
      <c r="W45" s="375"/>
      <c r="X45" s="375"/>
      <c r="Y45" s="375"/>
      <c r="Z45" s="375"/>
      <c r="AA45" s="375"/>
      <c r="AB45" s="375"/>
      <c r="AC45" s="375"/>
      <c r="AD45" s="375"/>
      <c r="AE45" s="375"/>
      <c r="AF45" s="375"/>
      <c r="AG45" s="375"/>
      <c r="AH45" s="375"/>
      <c r="AI45" s="375"/>
      <c r="AJ45" s="375"/>
      <c r="AK45" s="375"/>
      <c r="AL45" s="375"/>
      <c r="AM45" s="375"/>
      <c r="AN45" s="375"/>
      <c r="AO45" s="375"/>
      <c r="AP45" s="375"/>
      <c r="AQ45" s="375"/>
      <c r="AR45" s="375"/>
      <c r="AS45" s="375"/>
      <c r="AT45" s="375"/>
      <c r="AU45" s="375"/>
      <c r="AV45" s="375"/>
      <c r="AW45" s="375"/>
      <c r="AX45" s="375"/>
      <c r="AY45" s="375"/>
      <c r="AZ45" s="375"/>
      <c r="BA45" s="375"/>
      <c r="BB45" s="375"/>
      <c r="BC45" s="375"/>
      <c r="BD45" s="375"/>
      <c r="BE45" s="375"/>
      <c r="BF45" s="375"/>
      <c r="BG45" s="375"/>
      <c r="BH45" s="375"/>
      <c r="BI45" s="375"/>
      <c r="BJ45" s="375"/>
      <c r="BK45" s="375"/>
      <c r="BL45" s="375"/>
      <c r="BM45" s="375"/>
      <c r="BN45" s="375"/>
      <c r="BO45" s="375"/>
      <c r="BP45" s="375"/>
      <c r="BQ45" s="375"/>
      <c r="BR45" s="375"/>
      <c r="BS45" s="375"/>
      <c r="BT45" s="375"/>
      <c r="BU45" s="375"/>
    </row>
    <row r="46" spans="1:73" s="377" customFormat="1" ht="25.5" customHeight="1" x14ac:dyDescent="0.25">
      <c r="A46" s="375" t="str">
        <f>Gantt!A48</f>
        <v>5.2.2</v>
      </c>
      <c r="B46" s="376" t="str">
        <f>Gantt!D48</f>
        <v>Supporto Specialistico - II TRIM 2025</v>
      </c>
      <c r="D46" s="378"/>
      <c r="E46" s="384">
        <f>Gantt!U48</f>
        <v>45748</v>
      </c>
      <c r="F46" s="385">
        <f>Gantt!X48</f>
        <v>45838</v>
      </c>
      <c r="G46" s="379">
        <f t="shared" si="11"/>
        <v>90</v>
      </c>
      <c r="H46" s="380">
        <f>Gantt!T48</f>
        <v>0</v>
      </c>
      <c r="I46" s="381">
        <f t="shared" si="20"/>
        <v>65</v>
      </c>
      <c r="J46" s="382"/>
      <c r="K46" s="375"/>
      <c r="L46" s="375"/>
      <c r="M46" s="375"/>
      <c r="N46" s="375"/>
      <c r="O46" s="375"/>
      <c r="P46" s="375"/>
      <c r="Q46" s="375"/>
      <c r="R46" s="375"/>
      <c r="S46" s="375"/>
      <c r="T46" s="375"/>
      <c r="U46" s="375"/>
      <c r="V46" s="375"/>
      <c r="W46" s="375"/>
      <c r="X46" s="375"/>
      <c r="Y46" s="375"/>
      <c r="Z46" s="375"/>
      <c r="AA46" s="375"/>
      <c r="AB46" s="375"/>
      <c r="AC46" s="375"/>
      <c r="AD46" s="375"/>
      <c r="AE46" s="375"/>
      <c r="AF46" s="375"/>
      <c r="AG46" s="375"/>
      <c r="AH46" s="375"/>
      <c r="AI46" s="375"/>
      <c r="AJ46" s="375"/>
      <c r="AK46" s="375"/>
      <c r="AL46" s="375"/>
      <c r="AM46" s="375"/>
      <c r="AN46" s="375"/>
      <c r="AO46" s="375"/>
      <c r="AP46" s="375"/>
      <c r="AQ46" s="375"/>
      <c r="AR46" s="375"/>
      <c r="AS46" s="375"/>
      <c r="AT46" s="375"/>
      <c r="AU46" s="375"/>
      <c r="AV46" s="375"/>
      <c r="AW46" s="375"/>
      <c r="AX46" s="375"/>
      <c r="AY46" s="375"/>
      <c r="AZ46" s="375"/>
      <c r="BA46" s="375"/>
      <c r="BB46" s="375"/>
      <c r="BC46" s="375"/>
      <c r="BD46" s="375"/>
      <c r="BE46" s="375"/>
      <c r="BF46" s="375"/>
      <c r="BG46" s="375"/>
      <c r="BH46" s="375"/>
      <c r="BI46" s="375"/>
      <c r="BJ46" s="375"/>
      <c r="BK46" s="375"/>
      <c r="BL46" s="375"/>
      <c r="BM46" s="375"/>
      <c r="BN46" s="375"/>
      <c r="BO46" s="375"/>
      <c r="BP46" s="375"/>
      <c r="BQ46" s="375"/>
      <c r="BR46" s="375"/>
      <c r="BS46" s="375"/>
      <c r="BT46" s="375"/>
      <c r="BU46" s="375"/>
    </row>
    <row r="47" spans="1:73" s="377" customFormat="1" ht="25.5" customHeight="1" x14ac:dyDescent="0.25">
      <c r="A47" s="375">
        <f>Gantt!A49</f>
        <v>6</v>
      </c>
      <c r="B47" s="402" t="str">
        <f>Gantt!D49</f>
        <v>SERVIZI DI CALL CENTER</v>
      </c>
      <c r="C47" s="403"/>
      <c r="D47" s="404"/>
      <c r="E47" s="405"/>
      <c r="F47" s="406"/>
      <c r="G47" s="407"/>
      <c r="H47" s="408"/>
      <c r="I47" s="407" t="str">
        <f t="shared" si="20"/>
        <v xml:space="preserve"> - </v>
      </c>
      <c r="J47" s="382"/>
      <c r="K47" s="375"/>
      <c r="L47" s="375"/>
      <c r="M47" s="375"/>
      <c r="N47" s="375"/>
      <c r="O47" s="375"/>
      <c r="P47" s="375"/>
      <c r="Q47" s="375"/>
      <c r="R47" s="375"/>
      <c r="S47" s="375"/>
      <c r="T47" s="375"/>
      <c r="U47" s="375"/>
      <c r="V47" s="375"/>
      <c r="W47" s="375"/>
      <c r="X47" s="375"/>
      <c r="Y47" s="375"/>
      <c r="Z47" s="375"/>
      <c r="AA47" s="375"/>
      <c r="AB47" s="375"/>
      <c r="AC47" s="375"/>
      <c r="AD47" s="375"/>
      <c r="AE47" s="375"/>
      <c r="AF47" s="375"/>
      <c r="AG47" s="375"/>
      <c r="AH47" s="375"/>
      <c r="AI47" s="375"/>
      <c r="AJ47" s="375"/>
      <c r="AK47" s="375"/>
      <c r="AL47" s="375"/>
      <c r="AM47" s="375"/>
      <c r="AN47" s="375"/>
      <c r="AO47" s="375"/>
      <c r="AP47" s="375"/>
      <c r="AQ47" s="375"/>
      <c r="AR47" s="375"/>
      <c r="AS47" s="375"/>
      <c r="AT47" s="375"/>
      <c r="AU47" s="375"/>
      <c r="AV47" s="375"/>
      <c r="AW47" s="375"/>
      <c r="AX47" s="375"/>
      <c r="AY47" s="375"/>
      <c r="AZ47" s="375"/>
      <c r="BA47" s="375"/>
      <c r="BB47" s="375"/>
      <c r="BC47" s="375"/>
      <c r="BD47" s="375"/>
      <c r="BE47" s="375"/>
      <c r="BF47" s="375"/>
      <c r="BG47" s="375"/>
      <c r="BH47" s="375"/>
      <c r="BI47" s="375"/>
      <c r="BJ47" s="375"/>
      <c r="BK47" s="375"/>
      <c r="BL47" s="375"/>
      <c r="BM47" s="375"/>
      <c r="BN47" s="375"/>
      <c r="BO47" s="375"/>
      <c r="BP47" s="375"/>
      <c r="BQ47" s="375"/>
      <c r="BR47" s="375"/>
      <c r="BS47" s="375"/>
      <c r="BT47" s="375"/>
      <c r="BU47" s="375"/>
    </row>
    <row r="48" spans="1:73" s="377" customFormat="1" ht="25.5" customHeight="1" x14ac:dyDescent="0.25">
      <c r="A48" s="375" t="str">
        <f>Gantt!A50</f>
        <v>6.1</v>
      </c>
      <c r="B48" s="376" t="str">
        <f>Gantt!D50</f>
        <v>Servizi call center - I TRIM 2024</v>
      </c>
      <c r="D48" s="378"/>
      <c r="E48" s="384">
        <f>Gantt!U50</f>
        <v>45292</v>
      </c>
      <c r="F48" s="385">
        <f>Gantt!X50</f>
        <v>45382</v>
      </c>
      <c r="G48" s="379">
        <f t="shared" si="11"/>
        <v>90</v>
      </c>
      <c r="H48" s="380">
        <f>Gantt!T50</f>
        <v>0.75</v>
      </c>
      <c r="I48" s="381">
        <f t="shared" si="20"/>
        <v>65</v>
      </c>
      <c r="J48" s="382"/>
      <c r="K48" s="375"/>
      <c r="L48" s="375"/>
      <c r="M48" s="375"/>
      <c r="N48" s="375"/>
      <c r="O48" s="375"/>
      <c r="P48" s="375"/>
      <c r="Q48" s="375"/>
      <c r="R48" s="375"/>
      <c r="S48" s="375"/>
      <c r="T48" s="375"/>
      <c r="U48" s="375"/>
      <c r="V48" s="375"/>
      <c r="W48" s="375"/>
      <c r="X48" s="375"/>
      <c r="Y48" s="375"/>
      <c r="Z48" s="375"/>
      <c r="AA48" s="375"/>
      <c r="AB48" s="375"/>
      <c r="AC48" s="375"/>
      <c r="AD48" s="375"/>
      <c r="AE48" s="375"/>
      <c r="AF48" s="375"/>
      <c r="AG48" s="375"/>
      <c r="AH48" s="375"/>
      <c r="AI48" s="375"/>
      <c r="AJ48" s="375"/>
      <c r="AK48" s="375"/>
      <c r="AL48" s="375"/>
      <c r="AM48" s="375"/>
      <c r="AN48" s="375"/>
      <c r="AO48" s="375"/>
      <c r="AP48" s="375"/>
      <c r="AQ48" s="375"/>
      <c r="AR48" s="375"/>
      <c r="AS48" s="375"/>
      <c r="AT48" s="375"/>
      <c r="AU48" s="375"/>
      <c r="AV48" s="375"/>
      <c r="AW48" s="375"/>
      <c r="AX48" s="375"/>
      <c r="AY48" s="375"/>
      <c r="AZ48" s="375"/>
      <c r="BA48" s="375"/>
      <c r="BB48" s="375"/>
      <c r="BC48" s="375"/>
      <c r="BD48" s="375"/>
      <c r="BE48" s="375"/>
      <c r="BF48" s="375"/>
      <c r="BG48" s="375"/>
      <c r="BH48" s="375"/>
      <c r="BI48" s="375"/>
      <c r="BJ48" s="375"/>
      <c r="BK48" s="375"/>
      <c r="BL48" s="375"/>
      <c r="BM48" s="375"/>
      <c r="BN48" s="375"/>
      <c r="BO48" s="375"/>
      <c r="BP48" s="375"/>
      <c r="BQ48" s="375"/>
      <c r="BR48" s="375"/>
      <c r="BS48" s="375"/>
      <c r="BT48" s="375"/>
      <c r="BU48" s="375"/>
    </row>
    <row r="49" spans="1:73" s="377" customFormat="1" ht="25.5" customHeight="1" x14ac:dyDescent="0.25">
      <c r="A49" s="375" t="str">
        <f>Gantt!A51</f>
        <v>6.2</v>
      </c>
      <c r="B49" s="376" t="str">
        <f>Gantt!D51</f>
        <v>Servizi call center - II TRIM 2024</v>
      </c>
      <c r="D49" s="378"/>
      <c r="E49" s="384">
        <f>Gantt!U51</f>
        <v>45383</v>
      </c>
      <c r="F49" s="385">
        <f>Gantt!X51</f>
        <v>45473</v>
      </c>
      <c r="G49" s="379">
        <f t="shared" si="11"/>
        <v>90</v>
      </c>
      <c r="H49" s="380">
        <f>Gantt!T51</f>
        <v>0.75</v>
      </c>
      <c r="I49" s="381">
        <f t="shared" si="20"/>
        <v>65</v>
      </c>
      <c r="J49" s="382"/>
      <c r="K49" s="375"/>
      <c r="L49" s="375"/>
      <c r="M49" s="375"/>
      <c r="N49" s="375"/>
      <c r="O49" s="375"/>
      <c r="P49" s="375"/>
      <c r="Q49" s="375"/>
      <c r="R49" s="375"/>
      <c r="S49" s="375"/>
      <c r="T49" s="375"/>
      <c r="U49" s="375"/>
      <c r="V49" s="375"/>
      <c r="W49" s="375"/>
      <c r="X49" s="375"/>
      <c r="Y49" s="375"/>
      <c r="Z49" s="375"/>
      <c r="AA49" s="375"/>
      <c r="AB49" s="375"/>
      <c r="AC49" s="375"/>
      <c r="AD49" s="375"/>
      <c r="AE49" s="375"/>
      <c r="AF49" s="375"/>
      <c r="AG49" s="375"/>
      <c r="AH49" s="375"/>
      <c r="AI49" s="375"/>
      <c r="AJ49" s="375"/>
      <c r="AK49" s="375"/>
      <c r="AL49" s="375"/>
      <c r="AM49" s="375"/>
      <c r="AN49" s="375"/>
      <c r="AO49" s="375"/>
      <c r="AP49" s="375"/>
      <c r="AQ49" s="375"/>
      <c r="AR49" s="375"/>
      <c r="AS49" s="375"/>
      <c r="AT49" s="375"/>
      <c r="AU49" s="375"/>
      <c r="AV49" s="375"/>
      <c r="AW49" s="375"/>
      <c r="AX49" s="375"/>
      <c r="AY49" s="375"/>
      <c r="AZ49" s="375"/>
      <c r="BA49" s="375"/>
      <c r="BB49" s="375"/>
      <c r="BC49" s="375"/>
      <c r="BD49" s="375"/>
      <c r="BE49" s="375"/>
      <c r="BF49" s="375"/>
      <c r="BG49" s="375"/>
      <c r="BH49" s="375"/>
      <c r="BI49" s="375"/>
      <c r="BJ49" s="375"/>
      <c r="BK49" s="375"/>
      <c r="BL49" s="375"/>
      <c r="BM49" s="375"/>
      <c r="BN49" s="375"/>
      <c r="BO49" s="375"/>
      <c r="BP49" s="375"/>
      <c r="BQ49" s="375"/>
      <c r="BR49" s="375"/>
      <c r="BS49" s="375"/>
      <c r="BT49" s="375"/>
      <c r="BU49" s="375"/>
    </row>
    <row r="50" spans="1:73" s="377" customFormat="1" ht="25.5" customHeight="1" x14ac:dyDescent="0.25">
      <c r="A50" s="375" t="str">
        <f>Gantt!A52</f>
        <v>6.3</v>
      </c>
      <c r="B50" s="376" t="str">
        <f>Gantt!D52</f>
        <v>Servizi call center - III TRIM 2024</v>
      </c>
      <c r="D50" s="378"/>
      <c r="E50" s="384">
        <f>Gantt!U52</f>
        <v>45474</v>
      </c>
      <c r="F50" s="385">
        <f>Gantt!X52</f>
        <v>45565</v>
      </c>
      <c r="G50" s="379">
        <f t="shared" si="11"/>
        <v>91</v>
      </c>
      <c r="H50" s="380">
        <f>Gantt!T52</f>
        <v>0.75</v>
      </c>
      <c r="I50" s="381">
        <f t="shared" si="20"/>
        <v>66</v>
      </c>
      <c r="J50" s="382"/>
      <c r="K50" s="375"/>
      <c r="L50" s="375"/>
      <c r="M50" s="375"/>
      <c r="N50" s="375"/>
      <c r="O50" s="375"/>
      <c r="P50" s="375"/>
      <c r="Q50" s="375"/>
      <c r="R50" s="375"/>
      <c r="S50" s="375"/>
      <c r="T50" s="375"/>
      <c r="U50" s="375"/>
      <c r="V50" s="375"/>
      <c r="W50" s="375"/>
      <c r="X50" s="375"/>
      <c r="Y50" s="375"/>
      <c r="Z50" s="375"/>
      <c r="AA50" s="375"/>
      <c r="AB50" s="375"/>
      <c r="AC50" s="375"/>
      <c r="AD50" s="375"/>
      <c r="AE50" s="375"/>
      <c r="AF50" s="375"/>
      <c r="AG50" s="375"/>
      <c r="AH50" s="375"/>
      <c r="AI50" s="375"/>
      <c r="AJ50" s="375"/>
      <c r="AK50" s="375"/>
      <c r="AL50" s="375"/>
      <c r="AM50" s="375"/>
      <c r="AN50" s="375"/>
      <c r="AO50" s="375"/>
      <c r="AP50" s="375"/>
      <c r="AQ50" s="375"/>
      <c r="AR50" s="375"/>
      <c r="AS50" s="375"/>
      <c r="AT50" s="375"/>
      <c r="AU50" s="375"/>
      <c r="AV50" s="375"/>
      <c r="AW50" s="375"/>
      <c r="AX50" s="375"/>
      <c r="AY50" s="375"/>
      <c r="AZ50" s="375"/>
      <c r="BA50" s="375"/>
      <c r="BB50" s="375"/>
      <c r="BC50" s="375"/>
      <c r="BD50" s="375"/>
      <c r="BE50" s="375"/>
      <c r="BF50" s="375"/>
      <c r="BG50" s="375"/>
      <c r="BH50" s="375"/>
      <c r="BI50" s="375"/>
      <c r="BJ50" s="375"/>
      <c r="BK50" s="375"/>
      <c r="BL50" s="375"/>
      <c r="BM50" s="375"/>
      <c r="BN50" s="375"/>
      <c r="BO50" s="375"/>
      <c r="BP50" s="375"/>
      <c r="BQ50" s="375"/>
      <c r="BR50" s="375"/>
      <c r="BS50" s="375"/>
      <c r="BT50" s="375"/>
      <c r="BU50" s="375"/>
    </row>
    <row r="51" spans="1:73" s="377" customFormat="1" ht="25.5" customHeight="1" x14ac:dyDescent="0.25">
      <c r="A51" s="375" t="str">
        <f>Gantt!A53</f>
        <v>6.4</v>
      </c>
      <c r="B51" s="376" t="str">
        <f>Gantt!D53</f>
        <v>Servizi call center - IV TRIM 2024</v>
      </c>
      <c r="D51" s="378"/>
      <c r="E51" s="384">
        <f>Gantt!U53</f>
        <v>45566</v>
      </c>
      <c r="F51" s="385">
        <f>Gantt!X53</f>
        <v>45657</v>
      </c>
      <c r="G51" s="379">
        <f t="shared" si="11"/>
        <v>91</v>
      </c>
      <c r="H51" s="380">
        <f>Gantt!T53</f>
        <v>0.75</v>
      </c>
      <c r="I51" s="381">
        <f t="shared" si="20"/>
        <v>66</v>
      </c>
      <c r="J51" s="382"/>
      <c r="K51" s="375"/>
      <c r="L51" s="375"/>
      <c r="M51" s="375"/>
      <c r="N51" s="375"/>
      <c r="O51" s="375"/>
      <c r="P51" s="375"/>
      <c r="Q51" s="375"/>
      <c r="R51" s="375"/>
      <c r="S51" s="375"/>
      <c r="T51" s="375"/>
      <c r="U51" s="375"/>
      <c r="V51" s="375"/>
      <c r="W51" s="375"/>
      <c r="X51" s="375"/>
      <c r="Y51" s="375"/>
      <c r="Z51" s="375"/>
      <c r="AA51" s="375"/>
      <c r="AB51" s="375"/>
      <c r="AC51" s="375"/>
      <c r="AD51" s="375"/>
      <c r="AE51" s="375"/>
      <c r="AF51" s="375"/>
      <c r="AG51" s="375"/>
      <c r="AH51" s="375"/>
      <c r="AI51" s="375"/>
      <c r="AJ51" s="375"/>
      <c r="AK51" s="375"/>
      <c r="AL51" s="375"/>
      <c r="AM51" s="375"/>
      <c r="AN51" s="375"/>
      <c r="AO51" s="375"/>
      <c r="AP51" s="375"/>
      <c r="AQ51" s="375"/>
      <c r="AR51" s="375"/>
      <c r="AS51" s="375"/>
      <c r="AT51" s="375"/>
      <c r="AU51" s="375"/>
      <c r="AV51" s="375"/>
      <c r="AW51" s="375"/>
      <c r="AX51" s="375"/>
      <c r="AY51" s="375"/>
      <c r="AZ51" s="375"/>
      <c r="BA51" s="375"/>
      <c r="BB51" s="375"/>
      <c r="BC51" s="375"/>
      <c r="BD51" s="375"/>
      <c r="BE51" s="375"/>
      <c r="BF51" s="375"/>
      <c r="BG51" s="375"/>
      <c r="BH51" s="375"/>
      <c r="BI51" s="375"/>
      <c r="BJ51" s="375"/>
      <c r="BK51" s="375"/>
      <c r="BL51" s="375"/>
      <c r="BM51" s="375"/>
      <c r="BN51" s="375"/>
      <c r="BO51" s="375"/>
      <c r="BP51" s="375"/>
      <c r="BQ51" s="375"/>
      <c r="BR51" s="375"/>
      <c r="BS51" s="375"/>
      <c r="BT51" s="375"/>
      <c r="BU51" s="375"/>
    </row>
    <row r="52" spans="1:73" s="377" customFormat="1" ht="25.5" customHeight="1" x14ac:dyDescent="0.25">
      <c r="A52" s="375" t="str">
        <f>Gantt!A54</f>
        <v>6.5</v>
      </c>
      <c r="B52" s="376" t="str">
        <f>Gantt!D54</f>
        <v>Servizi call center - I TRIM 2025</v>
      </c>
      <c r="D52" s="378"/>
      <c r="E52" s="384">
        <f>Gantt!U54</f>
        <v>45658</v>
      </c>
      <c r="F52" s="385">
        <f>Gantt!X54</f>
        <v>45747</v>
      </c>
      <c r="G52" s="379">
        <f t="shared" si="11"/>
        <v>89</v>
      </c>
      <c r="H52" s="380">
        <f>Gantt!T54</f>
        <v>0.75</v>
      </c>
      <c r="I52" s="381">
        <f t="shared" ref="I52" si="21">IF(OR(F52=0,E52=0)," - ",NETWORKDAYS(E52,F52))</f>
        <v>64</v>
      </c>
      <c r="J52" s="382"/>
      <c r="K52" s="375"/>
      <c r="L52" s="375"/>
      <c r="M52" s="375"/>
      <c r="N52" s="375"/>
      <c r="O52" s="375"/>
      <c r="P52" s="375"/>
      <c r="Q52" s="375"/>
      <c r="R52" s="375"/>
      <c r="S52" s="375"/>
      <c r="T52" s="375"/>
      <c r="U52" s="375"/>
      <c r="V52" s="375"/>
      <c r="W52" s="375"/>
      <c r="X52" s="375"/>
      <c r="Y52" s="375"/>
      <c r="Z52" s="375"/>
      <c r="AA52" s="375"/>
      <c r="AB52" s="375"/>
      <c r="AC52" s="375"/>
      <c r="AD52" s="375"/>
      <c r="AE52" s="375"/>
      <c r="AF52" s="375"/>
      <c r="AG52" s="375"/>
      <c r="AH52" s="375"/>
      <c r="AI52" s="375"/>
      <c r="AJ52" s="375"/>
      <c r="AK52" s="375"/>
      <c r="AL52" s="375"/>
      <c r="AM52" s="375"/>
      <c r="AN52" s="375"/>
      <c r="AO52" s="375"/>
      <c r="AP52" s="375"/>
      <c r="AQ52" s="375"/>
      <c r="AR52" s="375"/>
      <c r="AS52" s="375"/>
      <c r="AT52" s="375"/>
      <c r="AU52" s="375"/>
      <c r="AV52" s="375"/>
      <c r="AW52" s="375"/>
      <c r="AX52" s="375"/>
      <c r="AY52" s="375"/>
      <c r="AZ52" s="375"/>
      <c r="BA52" s="375"/>
      <c r="BB52" s="375"/>
      <c r="BC52" s="375"/>
      <c r="BD52" s="375"/>
      <c r="BE52" s="375"/>
      <c r="BF52" s="375"/>
      <c r="BG52" s="375"/>
      <c r="BH52" s="375"/>
      <c r="BI52" s="375"/>
      <c r="BJ52" s="375"/>
      <c r="BK52" s="375"/>
      <c r="BL52" s="375"/>
      <c r="BM52" s="375"/>
      <c r="BN52" s="375"/>
      <c r="BO52" s="375"/>
      <c r="BP52" s="375"/>
      <c r="BQ52" s="375"/>
      <c r="BR52" s="375"/>
      <c r="BS52" s="375"/>
      <c r="BT52" s="375"/>
      <c r="BU52" s="375"/>
    </row>
    <row r="53" spans="1:73" s="377" customFormat="1" ht="25.5" customHeight="1" x14ac:dyDescent="0.25">
      <c r="A53" s="375" t="str">
        <f>Gantt!A55</f>
        <v>6.6</v>
      </c>
      <c r="B53" s="376" t="str">
        <f>Gantt!D55</f>
        <v>Servizi call center - II TRIM 2025</v>
      </c>
      <c r="D53" s="378"/>
      <c r="E53" s="384">
        <f>Gantt!U55</f>
        <v>45748</v>
      </c>
      <c r="F53" s="385">
        <f>Gantt!X55</f>
        <v>45838</v>
      </c>
      <c r="G53" s="379">
        <f t="shared" ref="G53" si="22">F53-E53</f>
        <v>90</v>
      </c>
      <c r="H53" s="380">
        <f>Gantt!T55</f>
        <v>0.75</v>
      </c>
      <c r="I53" s="381">
        <f t="shared" ref="I53" si="23">IF(OR(F53=0,E53=0)," - ",NETWORKDAYS(E53,F53))</f>
        <v>65</v>
      </c>
      <c r="J53" s="382"/>
      <c r="K53" s="375"/>
      <c r="L53" s="375"/>
      <c r="M53" s="375"/>
      <c r="N53" s="375"/>
      <c r="O53" s="375"/>
      <c r="P53" s="375"/>
      <c r="Q53" s="375"/>
      <c r="R53" s="375"/>
      <c r="S53" s="375"/>
      <c r="T53" s="375"/>
      <c r="U53" s="375"/>
      <c r="V53" s="375"/>
      <c r="W53" s="375"/>
      <c r="X53" s="375"/>
      <c r="Y53" s="375"/>
      <c r="Z53" s="375"/>
      <c r="AA53" s="375"/>
      <c r="AB53" s="375"/>
      <c r="AC53" s="375"/>
      <c r="AD53" s="375"/>
      <c r="AE53" s="375"/>
      <c r="AF53" s="375"/>
      <c r="AG53" s="375"/>
      <c r="AH53" s="375"/>
      <c r="AI53" s="375"/>
      <c r="AJ53" s="375"/>
      <c r="AK53" s="375"/>
      <c r="AL53" s="375"/>
      <c r="AM53" s="375"/>
      <c r="AN53" s="375"/>
      <c r="AO53" s="375"/>
      <c r="AP53" s="375"/>
      <c r="AQ53" s="375"/>
      <c r="AR53" s="375"/>
      <c r="AS53" s="375"/>
      <c r="AT53" s="375"/>
      <c r="AU53" s="375"/>
      <c r="AV53" s="375"/>
      <c r="AW53" s="375"/>
      <c r="AX53" s="375"/>
      <c r="AY53" s="375"/>
      <c r="AZ53" s="375"/>
      <c r="BA53" s="375"/>
      <c r="BB53" s="375"/>
      <c r="BC53" s="375"/>
      <c r="BD53" s="375"/>
      <c r="BE53" s="375"/>
      <c r="BF53" s="375"/>
      <c r="BG53" s="375"/>
      <c r="BH53" s="375"/>
      <c r="BI53" s="375"/>
      <c r="BJ53" s="375"/>
      <c r="BK53" s="375"/>
      <c r="BL53" s="375"/>
      <c r="BM53" s="375"/>
      <c r="BN53" s="375"/>
      <c r="BO53" s="375"/>
      <c r="BP53" s="375"/>
      <c r="BQ53" s="375"/>
      <c r="BR53" s="375"/>
      <c r="BS53" s="375"/>
      <c r="BT53" s="375"/>
      <c r="BU53" s="375"/>
    </row>
  </sheetData>
  <mergeCells count="21">
    <mergeCell ref="BO4:BU4"/>
    <mergeCell ref="BO5:BU5"/>
    <mergeCell ref="AM4:AS4"/>
    <mergeCell ref="AT4:AZ4"/>
    <mergeCell ref="BA4:BG4"/>
    <mergeCell ref="BH4:BN4"/>
    <mergeCell ref="AM5:AS5"/>
    <mergeCell ref="AT5:AZ5"/>
    <mergeCell ref="BA5:BG5"/>
    <mergeCell ref="BH5:BN5"/>
    <mergeCell ref="K1:AE1"/>
    <mergeCell ref="C5:E5"/>
    <mergeCell ref="K5:Q5"/>
    <mergeCell ref="R5:X5"/>
    <mergeCell ref="Y5:AE5"/>
    <mergeCell ref="AF5:AL5"/>
    <mergeCell ref="C4:E4"/>
    <mergeCell ref="K4:Q4"/>
    <mergeCell ref="R4:X4"/>
    <mergeCell ref="Y4:AE4"/>
    <mergeCell ref="AF4:AL4"/>
  </mergeCells>
  <conditionalFormatting sqref="H8:H53">
    <cfRule type="dataBar" priority="4">
      <dataBar>
        <cfvo type="num" val="0"/>
        <cfvo type="num" val="1"/>
        <color theme="0" tint="-0.34998626667073579"/>
      </dataBar>
      <extLst>
        <ext xmlns:x14="http://schemas.microsoft.com/office/spreadsheetml/2009/9/main" uri="{B025F937-C7B1-47D3-B67F-A62EFF666E3E}">
          <x14:id>{5D0DABC1-23A8-40D9-9D0D-0C9FF4B1E5A1}</x14:id>
        </ext>
      </extLst>
    </cfRule>
  </conditionalFormatting>
  <conditionalFormatting sqref="K6:BU7">
    <cfRule type="expression" dxfId="109" priority="6">
      <formula>K$6=TODAY()</formula>
    </cfRule>
  </conditionalFormatting>
  <conditionalFormatting sqref="K6:BU53">
    <cfRule type="expression" dxfId="108" priority="1">
      <formula>K$6=TODAY()</formula>
    </cfRule>
  </conditionalFormatting>
  <conditionalFormatting sqref="K8:BU53">
    <cfRule type="expression" dxfId="107" priority="2">
      <formula>AND($E8&lt;=K$6,ROUNDDOWN(($F8-$E8+1)*$H8,0)+$E8-1&gt;=K$6)</formula>
    </cfRule>
    <cfRule type="expression" dxfId="106" priority="3">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1FC10AE3-3943-4750-BCEB-B859530CAC6C}"/>
  </dataValidations>
  <hyperlinks>
    <hyperlink ref="K1:AE1" r:id="rId1" display="Gantt Chart Template © 2006-2018 by Vertex42.com." xr:uid="{3D3D9CE8-9AA8-4C43-BCF1-95CAD3A04040}"/>
  </hyperlinks>
  <pageMargins left="0.7" right="0.7" top="0.75" bottom="0.75" header="0.3" footer="0.3"/>
  <pageSetup paperSize="9" orientation="portrait" r:id="rId2"/>
  <headerFooter>
    <oddFooter>&amp;C&amp;1#&amp;"Calibri"&amp;10&amp;K000000Company General Use</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9217" r:id="rId5" name="Scroll Bar 1">
              <controlPr defaultSize="0" print="0" autoPict="0">
                <anchor moveWithCells="1">
                  <from>
                    <xdr:col>9</xdr:col>
                    <xdr:colOff>95250</xdr:colOff>
                    <xdr:row>1</xdr:row>
                    <xdr:rowOff>123825</xdr:rowOff>
                  </from>
                  <to>
                    <xdr:col>24</xdr:col>
                    <xdr:colOff>133350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5D0DABC1-23A8-40D9-9D0D-0C9FF4B1E5A1}">
            <x14:dataBar minLength="0" maxLength="100" gradient="0">
              <x14:cfvo type="num">
                <xm:f>0</xm:f>
              </x14:cfvo>
              <x14:cfvo type="num">
                <xm:f>1</xm:f>
              </x14:cfvo>
              <x14:negativeFillColor rgb="FFFF0000"/>
              <x14:axisColor rgb="FF000000"/>
            </x14:dataBar>
          </x14:cfRule>
          <xm:sqref>H8:H53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02D76-103F-4AF2-A187-C889F70EB2CD}">
  <dimension ref="A1:J49"/>
  <sheetViews>
    <sheetView workbookViewId="0">
      <selection activeCell="B49" sqref="B49"/>
    </sheetView>
  </sheetViews>
  <sheetFormatPr defaultRowHeight="15" outlineLevelRow="2" x14ac:dyDescent="0.25"/>
  <cols>
    <col min="1" max="1" width="29.28515625" bestFit="1" customWidth="1"/>
    <col min="2" max="2" width="14.5703125" bestFit="1" customWidth="1"/>
    <col min="3" max="3" width="12.28515625" customWidth="1"/>
    <col min="4" max="4" width="14.5703125" bestFit="1" customWidth="1"/>
    <col min="5" max="5" width="12.28515625" customWidth="1"/>
    <col min="6" max="6" width="14.5703125" bestFit="1" customWidth="1"/>
    <col min="8" max="8" width="16.28515625" bestFit="1" customWidth="1"/>
    <col min="10" max="10" width="20.28515625" customWidth="1"/>
  </cols>
  <sheetData>
    <row r="1" spans="1:10" ht="15.75" x14ac:dyDescent="0.25">
      <c r="B1" s="264" t="s">
        <v>379</v>
      </c>
      <c r="C1" s="264" t="s">
        <v>380</v>
      </c>
      <c r="D1" s="264" t="s">
        <v>381</v>
      </c>
      <c r="E1" s="264" t="s">
        <v>382</v>
      </c>
      <c r="F1" s="264" t="s">
        <v>383</v>
      </c>
    </row>
    <row r="2" spans="1:10" ht="16.5" thickBot="1" x14ac:dyDescent="0.3">
      <c r="B2" s="265"/>
      <c r="C2" s="265"/>
      <c r="D2" s="265"/>
      <c r="E2" s="265"/>
      <c r="F2" s="266"/>
    </row>
    <row r="3" spans="1:10" ht="32.25" thickBot="1" x14ac:dyDescent="0.55000000000000004">
      <c r="A3" s="267" t="s">
        <v>384</v>
      </c>
      <c r="B3" s="268"/>
      <c r="C3" s="268"/>
      <c r="D3" s="268"/>
      <c r="E3" s="268"/>
      <c r="F3" s="269"/>
      <c r="H3" s="270"/>
      <c r="J3" s="271" t="s">
        <v>7</v>
      </c>
    </row>
    <row r="4" spans="1:10" ht="15.75" customHeight="1" outlineLevel="1" x14ac:dyDescent="0.25">
      <c r="A4" s="446" t="s">
        <v>389</v>
      </c>
      <c r="F4" s="284"/>
      <c r="H4" s="290"/>
    </row>
    <row r="5" spans="1:10" ht="19.5" customHeight="1" outlineLevel="1" thickBot="1" x14ac:dyDescent="0.3">
      <c r="A5" s="447"/>
      <c r="B5" s="303"/>
      <c r="C5" s="303"/>
      <c r="D5" s="303"/>
      <c r="E5" s="303"/>
      <c r="F5" s="304"/>
      <c r="H5" s="305" t="s">
        <v>0</v>
      </c>
    </row>
    <row r="6" spans="1:10" outlineLevel="2" x14ac:dyDescent="0.25">
      <c r="A6" s="306" t="s">
        <v>1</v>
      </c>
      <c r="B6" s="279">
        <v>0</v>
      </c>
      <c r="C6" s="279">
        <v>0</v>
      </c>
      <c r="D6" s="282"/>
      <c r="E6" s="279">
        <v>0</v>
      </c>
      <c r="F6" s="280">
        <f>'Riepilogo Contratto'!D4</f>
        <v>174540</v>
      </c>
      <c r="H6" s="281">
        <f>SUM(B6:F6)</f>
        <v>174540</v>
      </c>
    </row>
    <row r="7" spans="1:10" outlineLevel="2" x14ac:dyDescent="0.25">
      <c r="A7" s="306" t="s">
        <v>385</v>
      </c>
      <c r="B7" s="279">
        <v>0</v>
      </c>
      <c r="C7" s="279">
        <v>0</v>
      </c>
      <c r="D7" s="282"/>
      <c r="E7" s="279">
        <v>0</v>
      </c>
      <c r="F7" s="280">
        <v>0</v>
      </c>
      <c r="H7" s="281">
        <f t="shared" ref="H7:H8" si="0">SUM(B7:F7)</f>
        <v>0</v>
      </c>
    </row>
    <row r="8" spans="1:10" outlineLevel="2" x14ac:dyDescent="0.25">
      <c r="A8" s="306" t="s">
        <v>386</v>
      </c>
      <c r="B8" s="279">
        <f>'Riepilogo Contratto'!D8</f>
        <v>0</v>
      </c>
      <c r="C8" s="279">
        <v>0</v>
      </c>
      <c r="D8" s="282"/>
      <c r="E8" s="279">
        <v>0</v>
      </c>
      <c r="F8" s="280">
        <v>0</v>
      </c>
      <c r="H8" s="281">
        <f t="shared" si="0"/>
        <v>0</v>
      </c>
    </row>
    <row r="9" spans="1:10" outlineLevel="2" x14ac:dyDescent="0.25">
      <c r="A9" s="306" t="s">
        <v>387</v>
      </c>
      <c r="B9" s="279">
        <f>'Riepilogo Contratto'!D9</f>
        <v>0</v>
      </c>
      <c r="C9" s="279">
        <v>0</v>
      </c>
      <c r="D9" s="279"/>
      <c r="E9" s="279">
        <v>0</v>
      </c>
      <c r="F9" s="280">
        <v>0</v>
      </c>
      <c r="H9" s="281">
        <v>0</v>
      </c>
    </row>
    <row r="10" spans="1:10" ht="15.75" outlineLevel="2" thickBot="1" x14ac:dyDescent="0.3">
      <c r="A10" s="283"/>
      <c r="F10" s="284"/>
      <c r="H10" s="290"/>
    </row>
    <row r="11" spans="1:10" ht="21.75" outlineLevel="1" thickBot="1" x14ac:dyDescent="0.4">
      <c r="A11" s="307" t="s">
        <v>388</v>
      </c>
      <c r="B11" s="308">
        <f>SUM(B6:B9)</f>
        <v>0</v>
      </c>
      <c r="C11" s="308">
        <v>0</v>
      </c>
      <c r="D11" s="308">
        <f>SUM(D6:D9)</f>
        <v>0</v>
      </c>
      <c r="E11" s="308">
        <f t="shared" ref="E11:F11" si="1">SUM(E6:E9)</f>
        <v>0</v>
      </c>
      <c r="F11" s="309">
        <f t="shared" si="1"/>
        <v>174540</v>
      </c>
      <c r="H11" s="310">
        <f>SUM(H6:H9)</f>
        <v>174540</v>
      </c>
      <c r="J11" s="289" t="s">
        <v>393</v>
      </c>
    </row>
    <row r="12" spans="1:10" ht="21.75" outlineLevel="1" thickBot="1" x14ac:dyDescent="0.4">
      <c r="A12" s="311"/>
      <c r="B12" s="312"/>
      <c r="C12" s="312"/>
      <c r="D12" s="312"/>
      <c r="E12" s="312"/>
      <c r="F12" s="313"/>
      <c r="H12" s="314"/>
      <c r="J12" s="180"/>
    </row>
    <row r="13" spans="1:10" ht="21.75" thickBot="1" x14ac:dyDescent="0.4">
      <c r="A13" s="315" t="s">
        <v>390</v>
      </c>
      <c r="B13" s="316">
        <f>B11</f>
        <v>0</v>
      </c>
      <c r="C13" s="316">
        <f t="shared" ref="C13:F13" si="2">C11</f>
        <v>0</v>
      </c>
      <c r="D13" s="316">
        <f t="shared" si="2"/>
        <v>0</v>
      </c>
      <c r="E13" s="316">
        <f t="shared" si="2"/>
        <v>0</v>
      </c>
      <c r="F13" s="316">
        <f t="shared" si="2"/>
        <v>174540</v>
      </c>
      <c r="G13" s="11"/>
      <c r="H13" s="318">
        <f>H11</f>
        <v>174540</v>
      </c>
      <c r="J13" s="289" t="s">
        <v>393</v>
      </c>
    </row>
    <row r="14" spans="1:10" ht="15.75" thickBot="1" x14ac:dyDescent="0.3">
      <c r="D14" s="319"/>
    </row>
    <row r="15" spans="1:10" ht="24" thickBot="1" x14ac:dyDescent="0.4">
      <c r="A15" s="267" t="s">
        <v>391</v>
      </c>
      <c r="B15" s="268"/>
      <c r="C15" s="268"/>
      <c r="D15" s="268"/>
      <c r="E15" s="268"/>
      <c r="F15" s="269"/>
      <c r="H15" s="270"/>
    </row>
    <row r="16" spans="1:10" outlineLevel="1" x14ac:dyDescent="0.25">
      <c r="A16" s="446" t="s">
        <v>392</v>
      </c>
      <c r="B16" s="272"/>
      <c r="C16" s="272"/>
      <c r="D16" s="272"/>
      <c r="E16" s="272"/>
      <c r="F16" s="273"/>
      <c r="H16" s="274"/>
    </row>
    <row r="17" spans="1:10" ht="15.75" outlineLevel="1" thickBot="1" x14ac:dyDescent="0.3">
      <c r="A17" s="447"/>
      <c r="B17" s="275"/>
      <c r="C17" s="275"/>
      <c r="D17" s="275"/>
      <c r="E17" s="275"/>
      <c r="F17" s="276"/>
      <c r="H17" s="277" t="s">
        <v>0</v>
      </c>
    </row>
    <row r="18" spans="1:10" outlineLevel="2" x14ac:dyDescent="0.25">
      <c r="A18" s="278" t="s">
        <v>1</v>
      </c>
      <c r="B18" s="279">
        <f>'Riepilogo Contratto'!E29</f>
        <v>229483</v>
      </c>
      <c r="C18" s="279">
        <v>0</v>
      </c>
      <c r="D18" s="279">
        <v>0</v>
      </c>
      <c r="E18" s="279">
        <v>0</v>
      </c>
      <c r="F18" s="279">
        <v>0</v>
      </c>
      <c r="H18" s="281">
        <v>0</v>
      </c>
    </row>
    <row r="19" spans="1:10" outlineLevel="2" x14ac:dyDescent="0.25">
      <c r="A19" s="278" t="s">
        <v>385</v>
      </c>
      <c r="B19" s="279">
        <v>0</v>
      </c>
      <c r="C19" s="279">
        <v>0</v>
      </c>
      <c r="D19" s="279">
        <v>0</v>
      </c>
      <c r="E19" s="279">
        <v>0</v>
      </c>
      <c r="F19" s="279">
        <v>0</v>
      </c>
      <c r="H19" s="281">
        <v>0</v>
      </c>
    </row>
    <row r="20" spans="1:10" outlineLevel="2" x14ac:dyDescent="0.25">
      <c r="A20" s="278" t="s">
        <v>386</v>
      </c>
      <c r="B20" s="279">
        <f>Gantt!J42</f>
        <v>10729.5</v>
      </c>
      <c r="C20" s="279">
        <v>0</v>
      </c>
      <c r="D20" s="279">
        <v>0</v>
      </c>
      <c r="E20" s="279">
        <v>0</v>
      </c>
      <c r="F20" s="279">
        <v>0</v>
      </c>
      <c r="H20" s="281">
        <v>0</v>
      </c>
    </row>
    <row r="21" spans="1:10" outlineLevel="2" x14ac:dyDescent="0.25">
      <c r="A21" s="278" t="s">
        <v>387</v>
      </c>
      <c r="B21" s="279">
        <f>Gantt!J50</f>
        <v>8750</v>
      </c>
      <c r="C21" s="279">
        <v>0</v>
      </c>
      <c r="D21" s="279">
        <v>0</v>
      </c>
      <c r="E21" s="279">
        <v>0</v>
      </c>
      <c r="F21" s="279">
        <v>0</v>
      </c>
      <c r="H21" s="281">
        <v>0</v>
      </c>
    </row>
    <row r="22" spans="1:10" ht="15.75" outlineLevel="2" thickBot="1" x14ac:dyDescent="0.3">
      <c r="A22" s="283"/>
      <c r="F22" s="284"/>
      <c r="H22" s="290"/>
    </row>
    <row r="23" spans="1:10" ht="21.75" outlineLevel="1" thickBot="1" x14ac:dyDescent="0.4">
      <c r="A23" s="285" t="s">
        <v>388</v>
      </c>
      <c r="B23" s="286">
        <f>SUM(B18:B21)</f>
        <v>248962.5</v>
      </c>
      <c r="C23" s="286">
        <f t="shared" ref="C23:D23" si="3">SUM(C18:C21)</f>
        <v>0</v>
      </c>
      <c r="D23" s="286">
        <f t="shared" si="3"/>
        <v>0</v>
      </c>
      <c r="E23" s="286">
        <v>0</v>
      </c>
      <c r="F23" s="287">
        <v>0</v>
      </c>
      <c r="H23" s="288">
        <f>SUM(B23:F23)</f>
        <v>248962.5</v>
      </c>
      <c r="J23" s="289" t="s">
        <v>393</v>
      </c>
    </row>
    <row r="24" spans="1:10" outlineLevel="1" x14ac:dyDescent="0.25">
      <c r="A24" s="448" t="s">
        <v>394</v>
      </c>
      <c r="F24" s="284"/>
      <c r="H24" s="290"/>
    </row>
    <row r="25" spans="1:10" ht="15.75" outlineLevel="1" thickBot="1" x14ac:dyDescent="0.3">
      <c r="A25" s="449"/>
      <c r="B25" s="291"/>
      <c r="C25" s="291"/>
      <c r="D25" s="291"/>
      <c r="E25" s="291"/>
      <c r="F25" s="292"/>
      <c r="H25" s="293" t="s">
        <v>0</v>
      </c>
    </row>
    <row r="26" spans="1:10" outlineLevel="2" x14ac:dyDescent="0.25">
      <c r="A26" s="294" t="s">
        <v>1</v>
      </c>
      <c r="B26" s="279">
        <f>'Riepilogo Contratto'!F29</f>
        <v>21074</v>
      </c>
      <c r="C26" s="279">
        <v>0</v>
      </c>
      <c r="D26" s="279"/>
      <c r="E26" s="279">
        <v>0</v>
      </c>
      <c r="F26" s="280">
        <v>0</v>
      </c>
      <c r="H26" s="281">
        <v>0</v>
      </c>
    </row>
    <row r="27" spans="1:10" outlineLevel="2" x14ac:dyDescent="0.25">
      <c r="A27" s="294" t="s">
        <v>385</v>
      </c>
      <c r="B27" s="279">
        <v>0</v>
      </c>
      <c r="C27" s="279">
        <v>0</v>
      </c>
      <c r="D27" s="279"/>
      <c r="E27" s="279">
        <v>0</v>
      </c>
      <c r="F27" s="280">
        <v>0</v>
      </c>
      <c r="H27" s="281">
        <v>0</v>
      </c>
    </row>
    <row r="28" spans="1:10" outlineLevel="2" x14ac:dyDescent="0.25">
      <c r="A28" s="294" t="s">
        <v>386</v>
      </c>
      <c r="B28" s="279">
        <f>'Riepilogo Contratto'!F33</f>
        <v>10729.5</v>
      </c>
      <c r="C28" s="279">
        <v>0</v>
      </c>
      <c r="D28" s="279"/>
      <c r="E28" s="279">
        <v>0</v>
      </c>
      <c r="F28" s="280">
        <v>0</v>
      </c>
      <c r="H28" s="281">
        <v>0</v>
      </c>
    </row>
    <row r="29" spans="1:10" outlineLevel="2" x14ac:dyDescent="0.25">
      <c r="A29" s="294" t="s">
        <v>387</v>
      </c>
      <c r="B29" s="279">
        <f>'Riepilogo Contratto'!F34</f>
        <v>8750</v>
      </c>
      <c r="C29" s="279">
        <v>0</v>
      </c>
      <c r="D29" s="279">
        <v>0</v>
      </c>
      <c r="E29" s="279">
        <v>0</v>
      </c>
      <c r="F29" s="280">
        <v>0</v>
      </c>
      <c r="H29" s="281">
        <v>0</v>
      </c>
    </row>
    <row r="30" spans="1:10" ht="15.75" outlineLevel="2" thickBot="1" x14ac:dyDescent="0.3">
      <c r="A30" s="283"/>
      <c r="F30" s="284"/>
      <c r="H30" s="290"/>
    </row>
    <row r="31" spans="1:10" ht="21.75" outlineLevel="1" thickBot="1" x14ac:dyDescent="0.4">
      <c r="A31" s="295" t="s">
        <v>388</v>
      </c>
      <c r="B31" s="320">
        <f>SUM(B26:B29)</f>
        <v>40553.5</v>
      </c>
      <c r="C31" s="320">
        <f t="shared" ref="C31:F31" si="4">SUM(C26:C29)</f>
        <v>0</v>
      </c>
      <c r="D31" s="320">
        <f t="shared" si="4"/>
        <v>0</v>
      </c>
      <c r="E31" s="320">
        <f t="shared" si="4"/>
        <v>0</v>
      </c>
      <c r="F31" s="320">
        <f t="shared" si="4"/>
        <v>0</v>
      </c>
      <c r="H31" s="296">
        <f>SUM(B31:F31)</f>
        <v>40553.5</v>
      </c>
      <c r="J31" s="289" t="s">
        <v>393</v>
      </c>
    </row>
    <row r="32" spans="1:10" outlineLevel="1" x14ac:dyDescent="0.25">
      <c r="A32" s="444" t="s">
        <v>395</v>
      </c>
      <c r="F32" s="284"/>
      <c r="H32" s="290"/>
    </row>
    <row r="33" spans="1:10" ht="15.75" outlineLevel="1" thickBot="1" x14ac:dyDescent="0.3">
      <c r="A33" s="445"/>
      <c r="B33" s="297"/>
      <c r="C33" s="297"/>
      <c r="D33" s="297"/>
      <c r="E33" s="297"/>
      <c r="F33" s="298"/>
      <c r="H33" s="299" t="s">
        <v>0</v>
      </c>
    </row>
    <row r="34" spans="1:10" outlineLevel="2" x14ac:dyDescent="0.25">
      <c r="A34" s="300" t="s">
        <v>1</v>
      </c>
      <c r="B34" s="279">
        <f>'Riepilogo Contratto'!G29</f>
        <v>0</v>
      </c>
      <c r="C34" s="279">
        <v>0</v>
      </c>
      <c r="D34" s="279">
        <v>0</v>
      </c>
      <c r="E34" s="279">
        <v>0</v>
      </c>
      <c r="F34" s="280">
        <v>0</v>
      </c>
      <c r="H34" s="281">
        <v>78296.75</v>
      </c>
    </row>
    <row r="35" spans="1:10" outlineLevel="2" x14ac:dyDescent="0.25">
      <c r="A35" s="300" t="s">
        <v>385</v>
      </c>
      <c r="B35" s="279">
        <v>0</v>
      </c>
      <c r="C35" s="279">
        <v>0</v>
      </c>
      <c r="D35" s="279">
        <v>0</v>
      </c>
      <c r="E35" s="279">
        <v>0</v>
      </c>
      <c r="F35" s="280">
        <v>0</v>
      </c>
      <c r="H35" s="281">
        <v>6406.2</v>
      </c>
    </row>
    <row r="36" spans="1:10" outlineLevel="2" x14ac:dyDescent="0.25">
      <c r="A36" s="300" t="s">
        <v>386</v>
      </c>
      <c r="B36" s="279">
        <f>'Riepilogo Contratto'!G33</f>
        <v>10729.5</v>
      </c>
      <c r="C36" s="279">
        <v>0</v>
      </c>
      <c r="D36" s="279">
        <v>0</v>
      </c>
      <c r="E36" s="279">
        <v>0</v>
      </c>
      <c r="F36" s="280">
        <v>0</v>
      </c>
      <c r="H36" s="281">
        <v>23550.75</v>
      </c>
    </row>
    <row r="37" spans="1:10" outlineLevel="2" x14ac:dyDescent="0.25">
      <c r="A37" s="300" t="s">
        <v>387</v>
      </c>
      <c r="B37" s="279">
        <f>'Riepilogo Contratto'!G34</f>
        <v>8750</v>
      </c>
      <c r="C37" s="279">
        <v>0</v>
      </c>
      <c r="D37" s="279">
        <v>0</v>
      </c>
      <c r="E37" s="279">
        <v>0</v>
      </c>
      <c r="F37" s="280">
        <v>0</v>
      </c>
      <c r="H37" s="281">
        <v>0</v>
      </c>
    </row>
    <row r="38" spans="1:10" ht="15.75" outlineLevel="2" thickBot="1" x14ac:dyDescent="0.3">
      <c r="A38" s="283"/>
      <c r="F38" s="284"/>
      <c r="H38" s="290"/>
    </row>
    <row r="39" spans="1:10" ht="21.75" outlineLevel="1" thickBot="1" x14ac:dyDescent="0.4">
      <c r="A39" s="301" t="s">
        <v>388</v>
      </c>
      <c r="B39" s="321">
        <f>SUM(B34:B37)</f>
        <v>19479.5</v>
      </c>
      <c r="C39" s="321">
        <f t="shared" ref="C39:F39" si="5">SUM(C34:C37)</f>
        <v>0</v>
      </c>
      <c r="D39" s="321">
        <f t="shared" si="5"/>
        <v>0</v>
      </c>
      <c r="E39" s="321">
        <f t="shared" si="5"/>
        <v>0</v>
      </c>
      <c r="F39" s="321">
        <f t="shared" si="5"/>
        <v>0</v>
      </c>
      <c r="H39" s="302">
        <f>SUM(B39:F39)</f>
        <v>19479.5</v>
      </c>
      <c r="J39" s="289"/>
    </row>
    <row r="40" spans="1:10" ht="15.75" customHeight="1" outlineLevel="1" x14ac:dyDescent="0.25">
      <c r="A40" s="446" t="s">
        <v>396</v>
      </c>
      <c r="F40" s="284"/>
      <c r="H40" s="290"/>
    </row>
    <row r="41" spans="1:10" ht="19.5" customHeight="1" outlineLevel="1" thickBot="1" x14ac:dyDescent="0.3">
      <c r="A41" s="447"/>
      <c r="B41" s="303" t="s">
        <v>379</v>
      </c>
      <c r="C41" s="303" t="s">
        <v>380</v>
      </c>
      <c r="D41" s="303" t="s">
        <v>381</v>
      </c>
      <c r="E41" s="303" t="s">
        <v>382</v>
      </c>
      <c r="F41" s="304" t="s">
        <v>383</v>
      </c>
      <c r="H41" s="305" t="s">
        <v>0</v>
      </c>
    </row>
    <row r="42" spans="1:10" outlineLevel="2" x14ac:dyDescent="0.25">
      <c r="A42" s="306" t="s">
        <v>1</v>
      </c>
      <c r="B42" s="279">
        <v>0</v>
      </c>
      <c r="C42" s="279">
        <v>0</v>
      </c>
      <c r="D42" s="282">
        <v>0</v>
      </c>
      <c r="E42" s="279">
        <v>0</v>
      </c>
      <c r="F42" s="280">
        <v>0</v>
      </c>
      <c r="H42" s="281">
        <f>SUM(B42:F42)</f>
        <v>0</v>
      </c>
    </row>
    <row r="43" spans="1:10" outlineLevel="2" x14ac:dyDescent="0.25">
      <c r="A43" s="306" t="s">
        <v>385</v>
      </c>
      <c r="B43" s="279">
        <v>0</v>
      </c>
      <c r="C43" s="279">
        <v>0</v>
      </c>
      <c r="D43" s="282"/>
      <c r="E43" s="279">
        <v>0</v>
      </c>
      <c r="F43" s="280">
        <v>0</v>
      </c>
      <c r="H43" s="281">
        <f t="shared" ref="H43:H44" si="6">SUM(B43:F43)</f>
        <v>0</v>
      </c>
    </row>
    <row r="44" spans="1:10" outlineLevel="2" x14ac:dyDescent="0.25">
      <c r="A44" s="306" t="s">
        <v>386</v>
      </c>
      <c r="B44" s="279">
        <v>0</v>
      </c>
      <c r="C44" s="279">
        <v>0</v>
      </c>
      <c r="D44" s="282">
        <v>0</v>
      </c>
      <c r="E44" s="279">
        <v>0</v>
      </c>
      <c r="F44" s="280">
        <v>0</v>
      </c>
      <c r="H44" s="281">
        <f t="shared" si="6"/>
        <v>0</v>
      </c>
    </row>
    <row r="45" spans="1:10" outlineLevel="2" x14ac:dyDescent="0.25">
      <c r="A45" s="306" t="s">
        <v>387</v>
      </c>
      <c r="B45" s="279">
        <v>0</v>
      </c>
      <c r="C45" s="279">
        <v>0</v>
      </c>
      <c r="D45" s="279">
        <v>0</v>
      </c>
      <c r="E45" s="279">
        <v>0</v>
      </c>
      <c r="F45" s="280">
        <v>0</v>
      </c>
      <c r="H45" s="281">
        <v>0</v>
      </c>
    </row>
    <row r="46" spans="1:10" ht="15.75" outlineLevel="2" thickBot="1" x14ac:dyDescent="0.3">
      <c r="A46" s="283"/>
      <c r="F46" s="284"/>
      <c r="H46" s="290"/>
    </row>
    <row r="47" spans="1:10" ht="21.75" outlineLevel="1" thickBot="1" x14ac:dyDescent="0.4">
      <c r="A47" s="307" t="s">
        <v>388</v>
      </c>
      <c r="B47" s="322">
        <v>0</v>
      </c>
      <c r="C47" s="322">
        <v>0</v>
      </c>
      <c r="D47" s="322">
        <v>0</v>
      </c>
      <c r="E47" s="322">
        <f t="shared" ref="E47:F47" si="7">SUM(E42:E45)</f>
        <v>0</v>
      </c>
      <c r="F47" s="323">
        <f t="shared" si="7"/>
        <v>0</v>
      </c>
      <c r="H47" s="310">
        <f>SUM(H42:H45)</f>
        <v>0</v>
      </c>
      <c r="J47" s="289"/>
    </row>
    <row r="48" spans="1:10" ht="21.75" outlineLevel="1" thickBot="1" x14ac:dyDescent="0.4">
      <c r="A48" s="311"/>
      <c r="B48" s="312"/>
      <c r="C48" s="312"/>
      <c r="D48" s="312"/>
      <c r="E48" s="312"/>
      <c r="F48" s="313"/>
      <c r="H48" s="314"/>
      <c r="J48" s="180"/>
    </row>
    <row r="49" spans="1:10" ht="21.75" thickBot="1" x14ac:dyDescent="0.4">
      <c r="A49" s="315" t="s">
        <v>397</v>
      </c>
      <c r="B49" s="316">
        <f>SUM(B23,B31,B39,B47)</f>
        <v>308995.5</v>
      </c>
      <c r="C49" s="316">
        <f>SUM(C23,C31,C39,C47)</f>
        <v>0</v>
      </c>
      <c r="D49" s="316">
        <f>SUM(D23,D31,D39,D47)</f>
        <v>0</v>
      </c>
      <c r="E49" s="316">
        <f>SUM(E23,E31,E39,E47)</f>
        <v>0</v>
      </c>
      <c r="F49" s="317">
        <f>SUM(F23,F31,F39,F47)</f>
        <v>0</v>
      </c>
      <c r="G49" s="11"/>
      <c r="H49" s="318">
        <f>SUM(H23,H31,H39,H47)</f>
        <v>308995.5</v>
      </c>
      <c r="J49" s="289"/>
    </row>
  </sheetData>
  <mergeCells count="5">
    <mergeCell ref="A32:A33"/>
    <mergeCell ref="A40:A41"/>
    <mergeCell ref="A4:A5"/>
    <mergeCell ref="A16:A17"/>
    <mergeCell ref="A24:A25"/>
  </mergeCells>
  <dataValidations count="2">
    <dataValidation type="list" allowBlank="1" showInputMessage="1" showErrorMessage="1" sqref="J23 J13 J31 J39 J11" xr:uid="{2AB4F87C-C87C-41F7-AA71-4C3D555F2723}">
      <formula1>"Compilati, Rendicontato, Inviato con SAL, In attesa di autorizzazione a fatturare, Fatturato"</formula1>
    </dataValidation>
    <dataValidation type="list" allowBlank="1" showInputMessage="1" showErrorMessage="1" sqref="J12 J47:J49" xr:uid="{10F0FC79-2C1B-417A-9CEF-0984ECB17C43}">
      <formula1>"Rendicontato, Inviato con SAL, In attesa di autorizzazione a fatturare, Fatturato"</formula1>
    </dataValidation>
  </dataValidations>
  <pageMargins left="0.7" right="0.7" top="0.75" bottom="0.75" header="0.3" footer="0.3"/>
  <pageSetup paperSize="9" orientation="portrait" r:id="rId1"/>
  <headerFooter>
    <oddFooter>&amp;C&amp;1#&amp;"Calibri"&amp;10&amp;K000000Company General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T3252"/>
  <sheetViews>
    <sheetView tabSelected="1" zoomScale="50" zoomScaleNormal="50" workbookViewId="0">
      <pane ySplit="3" topLeftCell="A33" activePane="bottomLeft" state="frozen"/>
      <selection activeCell="A73" sqref="A73:XFD73"/>
      <selection pane="bottomLeft" activeCell="C36" sqref="C36"/>
    </sheetView>
  </sheetViews>
  <sheetFormatPr defaultColWidth="13.28515625" defaultRowHeight="31.5" outlineLevelCol="1" x14ac:dyDescent="0.35"/>
  <cols>
    <col min="1" max="1" width="10.85546875" style="5" customWidth="1"/>
    <col min="2" max="2" width="0" style="5" hidden="1" customWidth="1"/>
    <col min="3" max="3" width="42.140625" style="5" customWidth="1"/>
    <col min="4" max="4" width="91.42578125" style="6" customWidth="1"/>
    <col min="5" max="5" width="85.7109375" style="6" hidden="1" customWidth="1"/>
    <col min="6" max="6" width="85.7109375" style="10" hidden="1" customWidth="1"/>
    <col min="7" max="7" width="85.7109375" style="6" hidden="1" customWidth="1"/>
    <col min="8" max="8" width="85.7109375" style="416" customWidth="1"/>
    <col min="9" max="9" width="24.28515625" style="2" customWidth="1" outlineLevel="1"/>
    <col min="10" max="10" width="23.7109375" style="2" customWidth="1" outlineLevel="1"/>
    <col min="11" max="11" width="21.140625" style="2" customWidth="1" outlineLevel="1"/>
    <col min="12" max="12" width="34" style="2" customWidth="1" outlineLevel="1"/>
    <col min="13" max="13" width="22" style="15" customWidth="1" outlineLevel="1"/>
    <col min="14" max="14" width="45.85546875" style="221" customWidth="1" outlineLevel="1"/>
    <col min="15" max="15" width="27.5703125" style="148" customWidth="1" outlineLevel="1"/>
    <col min="16" max="16" width="22.5703125" style="9" customWidth="1" outlineLevel="1"/>
    <col min="17" max="17" width="27.28515625" style="148" customWidth="1" outlineLevel="1"/>
    <col min="18" max="18" width="33.5703125" style="258" customWidth="1"/>
    <col min="19" max="19" width="21.7109375" style="16" customWidth="1"/>
    <col min="20" max="20" width="20.85546875" style="395" customWidth="1"/>
    <col min="21" max="21" width="30.28515625" customWidth="1"/>
    <col min="22" max="22" width="36.42578125" hidden="1" customWidth="1"/>
    <col min="23" max="23" width="32.5703125" hidden="1" customWidth="1"/>
    <col min="24" max="24" width="28.28515625" customWidth="1"/>
    <col min="25" max="25" width="23.42578125" style="148" hidden="1" customWidth="1"/>
    <col min="26" max="26" width="30.85546875" style="1" hidden="1" customWidth="1"/>
  </cols>
  <sheetData>
    <row r="1" spans="1:98" ht="148.5" customHeight="1" x14ac:dyDescent="0.35">
      <c r="D1" s="457" t="s">
        <v>428</v>
      </c>
      <c r="E1" s="457"/>
      <c r="F1" s="457"/>
      <c r="G1" s="457"/>
      <c r="H1" s="457"/>
      <c r="I1" s="457"/>
      <c r="J1" s="457"/>
      <c r="K1" s="457"/>
      <c r="L1" s="457"/>
      <c r="M1" s="457"/>
      <c r="N1" s="457"/>
      <c r="O1" s="457"/>
      <c r="P1" s="457"/>
      <c r="Q1" s="457"/>
      <c r="R1" s="232"/>
      <c r="S1"/>
      <c r="T1" s="391"/>
    </row>
    <row r="2" spans="1:98" ht="21" x14ac:dyDescent="0.35">
      <c r="A2" s="3"/>
      <c r="B2" s="3"/>
      <c r="C2" s="3"/>
      <c r="D2" s="4"/>
      <c r="E2" s="4"/>
      <c r="F2" s="96"/>
      <c r="G2" s="4"/>
      <c r="I2" s="459" t="s">
        <v>8</v>
      </c>
      <c r="J2" s="460"/>
      <c r="K2" s="460"/>
      <c r="L2" s="461"/>
      <c r="M2" s="462" t="s">
        <v>9</v>
      </c>
      <c r="N2" s="463"/>
      <c r="O2" s="464"/>
      <c r="P2" s="165"/>
      <c r="Q2" s="100"/>
      <c r="R2" s="149"/>
      <c r="S2" s="1"/>
      <c r="T2" s="149"/>
      <c r="U2" s="1"/>
      <c r="V2" s="1"/>
      <c r="W2" s="1"/>
      <c r="X2" s="1"/>
      <c r="Y2" s="149"/>
    </row>
    <row r="3" spans="1:98" s="247" customFormat="1" ht="63" x14ac:dyDescent="0.25">
      <c r="A3" s="18" t="s">
        <v>6</v>
      </c>
      <c r="B3" s="106" t="s">
        <v>401</v>
      </c>
      <c r="C3" s="106"/>
      <c r="D3" s="106" t="s">
        <v>10</v>
      </c>
      <c r="E3" s="106" t="s">
        <v>404</v>
      </c>
      <c r="F3" s="106" t="s">
        <v>403</v>
      </c>
      <c r="G3" s="106" t="s">
        <v>402</v>
      </c>
      <c r="H3" s="417"/>
      <c r="I3" s="98" t="s">
        <v>229</v>
      </c>
      <c r="J3" s="98">
        <v>2024</v>
      </c>
      <c r="K3" s="98" t="s">
        <v>228</v>
      </c>
      <c r="L3" s="98" t="s">
        <v>0</v>
      </c>
      <c r="M3" s="99" t="s">
        <v>11</v>
      </c>
      <c r="N3" s="100" t="s">
        <v>12</v>
      </c>
      <c r="O3" s="101" t="s">
        <v>13</v>
      </c>
      <c r="P3" s="101" t="s">
        <v>243</v>
      </c>
      <c r="Q3" s="101" t="s">
        <v>14</v>
      </c>
      <c r="R3" s="18" t="s">
        <v>7</v>
      </c>
      <c r="S3" s="18" t="s">
        <v>15</v>
      </c>
      <c r="T3" s="97" t="s">
        <v>16</v>
      </c>
      <c r="U3" s="109" t="s">
        <v>309</v>
      </c>
      <c r="V3" s="109" t="s">
        <v>336</v>
      </c>
      <c r="W3" s="109" t="s">
        <v>330</v>
      </c>
      <c r="X3" s="109" t="s">
        <v>405</v>
      </c>
      <c r="Y3" s="109" t="s">
        <v>253</v>
      </c>
      <c r="Z3" s="18" t="s">
        <v>17</v>
      </c>
    </row>
    <row r="4" spans="1:98" s="77" customFormat="1" ht="21" x14ac:dyDescent="0.35">
      <c r="A4" s="324"/>
      <c r="B4" s="333"/>
      <c r="C4" s="333"/>
      <c r="D4" s="72" t="s">
        <v>224</v>
      </c>
      <c r="E4" s="72"/>
      <c r="F4" s="76"/>
      <c r="G4" s="72"/>
      <c r="H4" s="418"/>
      <c r="I4" s="73"/>
      <c r="J4" s="73"/>
      <c r="K4" s="74"/>
      <c r="L4" s="73"/>
      <c r="M4" s="75"/>
      <c r="N4" s="222"/>
      <c r="O4" s="137"/>
      <c r="P4" s="158"/>
      <c r="Q4" s="150"/>
      <c r="R4" s="138" t="s">
        <v>42</v>
      </c>
      <c r="S4" s="125"/>
      <c r="T4" s="387"/>
      <c r="U4" s="212"/>
      <c r="V4" s="212"/>
      <c r="W4" s="212"/>
      <c r="X4" s="126"/>
      <c r="Y4" s="150"/>
      <c r="Z4" s="127"/>
    </row>
    <row r="5" spans="1:98" s="77" customFormat="1" ht="21" x14ac:dyDescent="0.35">
      <c r="A5" s="325"/>
      <c r="B5" s="325"/>
      <c r="C5" s="325"/>
      <c r="D5" s="66" t="s">
        <v>264</v>
      </c>
      <c r="E5" s="66"/>
      <c r="F5" s="76"/>
      <c r="G5" s="66"/>
      <c r="H5" s="419"/>
      <c r="I5" s="78"/>
      <c r="J5" s="78"/>
      <c r="K5" s="79"/>
      <c r="L5" s="78"/>
      <c r="M5" s="80"/>
      <c r="N5" s="223"/>
      <c r="O5" s="137"/>
      <c r="P5" s="158"/>
      <c r="Q5" s="150"/>
      <c r="R5" s="139" t="s">
        <v>23</v>
      </c>
      <c r="S5" s="123" t="s">
        <v>24</v>
      </c>
      <c r="T5" s="386">
        <v>1</v>
      </c>
      <c r="U5" s="213">
        <v>45224</v>
      </c>
      <c r="V5" s="213"/>
      <c r="W5" s="213"/>
      <c r="X5" s="128"/>
      <c r="Y5" s="146"/>
      <c r="Z5" s="129"/>
    </row>
    <row r="6" spans="1:98" s="77" customFormat="1" ht="21" x14ac:dyDescent="0.35">
      <c r="A6" s="325"/>
      <c r="B6" s="334"/>
      <c r="C6" s="334"/>
      <c r="D6" s="72" t="s">
        <v>225</v>
      </c>
      <c r="E6" s="72"/>
      <c r="F6" s="76"/>
      <c r="G6" s="72"/>
      <c r="H6" s="418"/>
      <c r="I6" s="78"/>
      <c r="J6" s="78"/>
      <c r="K6" s="79"/>
      <c r="L6" s="78"/>
      <c r="M6" s="80"/>
      <c r="N6" s="223"/>
      <c r="O6" s="137"/>
      <c r="P6" s="158"/>
      <c r="Q6" s="150"/>
      <c r="R6" s="139" t="s">
        <v>23</v>
      </c>
      <c r="S6" s="123" t="s">
        <v>24</v>
      </c>
      <c r="T6" s="386">
        <v>1</v>
      </c>
      <c r="U6" s="212"/>
      <c r="V6" s="212"/>
      <c r="W6" s="212"/>
      <c r="X6" s="126"/>
      <c r="Y6" s="151"/>
      <c r="Z6" s="127"/>
    </row>
    <row r="7" spans="1:98" s="77" customFormat="1" ht="21" x14ac:dyDescent="0.35">
      <c r="A7" s="325"/>
      <c r="B7" s="325"/>
      <c r="C7" s="325"/>
      <c r="D7" s="66" t="s">
        <v>226</v>
      </c>
      <c r="E7" s="66"/>
      <c r="F7" s="76"/>
      <c r="G7" s="66"/>
      <c r="H7" s="419"/>
      <c r="I7" s="78"/>
      <c r="J7" s="78"/>
      <c r="K7" s="79"/>
      <c r="L7" s="78"/>
      <c r="M7" s="80"/>
      <c r="N7" s="223"/>
      <c r="O7" s="137"/>
      <c r="P7" s="158"/>
      <c r="Q7" s="150"/>
      <c r="R7" s="139" t="s">
        <v>23</v>
      </c>
      <c r="S7" s="123" t="s">
        <v>24</v>
      </c>
      <c r="T7" s="386">
        <v>1</v>
      </c>
      <c r="U7" s="212"/>
      <c r="V7" s="212"/>
      <c r="W7" s="212"/>
      <c r="X7" s="126"/>
      <c r="Y7" s="151"/>
      <c r="Z7" s="127"/>
      <c r="AA7" s="1"/>
      <c r="AB7" s="1"/>
      <c r="AC7" s="1"/>
      <c r="AD7" s="1"/>
      <c r="AE7" s="1"/>
      <c r="AF7" s="1"/>
      <c r="AG7" s="1"/>
      <c r="AH7" s="1"/>
      <c r="AI7" s="1"/>
      <c r="AJ7" s="1"/>
      <c r="AK7" s="1"/>
      <c r="AL7" s="1"/>
      <c r="AM7" s="1"/>
      <c r="AN7" s="1"/>
      <c r="AO7" s="1"/>
      <c r="AP7" s="1"/>
      <c r="AQ7" s="1"/>
      <c r="AR7" s="1"/>
      <c r="AS7" s="1"/>
      <c r="AT7" s="1"/>
      <c r="AU7" s="1"/>
      <c r="AV7" s="1"/>
      <c r="AW7" s="1"/>
      <c r="AX7" s="1"/>
      <c r="AY7" s="1"/>
      <c r="AZ7" s="1"/>
      <c r="BA7" s="1"/>
    </row>
    <row r="8" spans="1:98" s="77" customFormat="1" ht="21" x14ac:dyDescent="0.35">
      <c r="A8" s="325"/>
      <c r="B8" s="325"/>
      <c r="C8" s="325"/>
      <c r="D8" s="66" t="s">
        <v>241</v>
      </c>
      <c r="E8" s="66"/>
      <c r="F8" s="82"/>
      <c r="G8" s="66"/>
      <c r="H8" s="419"/>
      <c r="I8" s="78"/>
      <c r="J8" s="78"/>
      <c r="K8" s="79"/>
      <c r="L8" s="78"/>
      <c r="M8" s="81"/>
      <c r="N8" s="224"/>
      <c r="O8" s="140"/>
      <c r="P8" s="159"/>
      <c r="Q8" s="183"/>
      <c r="R8" s="139" t="s">
        <v>23</v>
      </c>
      <c r="S8" s="123" t="s">
        <v>24</v>
      </c>
      <c r="T8" s="386">
        <v>1</v>
      </c>
      <c r="U8" s="214"/>
      <c r="V8" s="214"/>
      <c r="W8" s="214"/>
      <c r="X8" s="130"/>
      <c r="Y8" s="152"/>
      <c r="Z8" s="127"/>
      <c r="AA8" s="1"/>
      <c r="AB8" s="1"/>
      <c r="AC8" s="1"/>
      <c r="AD8" s="1"/>
      <c r="AE8" s="1"/>
      <c r="AF8" s="1"/>
      <c r="AG8" s="1"/>
      <c r="AH8" s="1"/>
      <c r="AI8" s="1"/>
      <c r="AJ8" s="1"/>
      <c r="AK8" s="1"/>
      <c r="AL8" s="1"/>
      <c r="AM8" s="1"/>
      <c r="AN8" s="1"/>
      <c r="AO8" s="1"/>
      <c r="AP8" s="1"/>
      <c r="AQ8" s="1"/>
      <c r="AR8" s="1"/>
      <c r="AS8" s="1"/>
      <c r="AT8" s="1"/>
      <c r="AU8" s="1"/>
      <c r="AV8" s="1"/>
      <c r="AW8" s="1"/>
      <c r="AX8" s="1"/>
      <c r="AY8" s="1"/>
      <c r="AZ8" s="1"/>
      <c r="BA8" s="1"/>
    </row>
    <row r="9" spans="1:98" s="77" customFormat="1" ht="21" x14ac:dyDescent="0.35">
      <c r="A9" s="325"/>
      <c r="B9" s="325"/>
      <c r="C9" s="325"/>
      <c r="D9" s="66" t="s">
        <v>227</v>
      </c>
      <c r="E9" s="66"/>
      <c r="F9" s="82"/>
      <c r="G9" s="66"/>
      <c r="H9" s="419"/>
      <c r="I9" s="78"/>
      <c r="J9" s="78"/>
      <c r="K9" s="79"/>
      <c r="L9" s="78"/>
      <c r="M9" s="81"/>
      <c r="N9" s="224"/>
      <c r="O9" s="140"/>
      <c r="P9" s="159"/>
      <c r="Q9" s="183"/>
      <c r="R9" s="139" t="s">
        <v>23</v>
      </c>
      <c r="S9" s="123" t="s">
        <v>24</v>
      </c>
      <c r="T9" s="386">
        <v>1</v>
      </c>
      <c r="U9" s="214"/>
      <c r="V9" s="214"/>
      <c r="W9" s="214"/>
      <c r="X9" s="130"/>
      <c r="Y9" s="152"/>
      <c r="Z9" s="127"/>
      <c r="AA9" s="1"/>
      <c r="AB9" s="1"/>
      <c r="AC9" s="1"/>
      <c r="AD9" s="1"/>
      <c r="AE9" s="1"/>
      <c r="AF9" s="1"/>
      <c r="AG9" s="1"/>
      <c r="AH9" s="1"/>
      <c r="AI9" s="1"/>
      <c r="AJ9" s="1"/>
      <c r="AK9" s="1"/>
      <c r="AL9" s="1"/>
      <c r="AM9" s="1"/>
      <c r="AN9" s="1"/>
      <c r="AO9" s="1"/>
      <c r="AP9" s="1"/>
      <c r="AQ9" s="1"/>
      <c r="AR9" s="1"/>
      <c r="AS9" s="1"/>
      <c r="AT9" s="1"/>
      <c r="AU9" s="1"/>
      <c r="AV9" s="1"/>
      <c r="AW9" s="1"/>
      <c r="AX9" s="1"/>
      <c r="AY9" s="1"/>
      <c r="AZ9" s="1"/>
      <c r="BA9" s="1"/>
    </row>
    <row r="10" spans="1:98" s="86" customFormat="1" ht="67.5" customHeight="1" x14ac:dyDescent="0.35">
      <c r="A10" s="326"/>
      <c r="B10" s="335"/>
      <c r="C10" s="335"/>
      <c r="D10" s="84" t="s">
        <v>398</v>
      </c>
      <c r="E10" s="84"/>
      <c r="F10" s="84"/>
      <c r="G10" s="84"/>
      <c r="H10" s="420"/>
      <c r="I10" s="85">
        <f>SUM(I11,I12,I18,I29,I25,I40)</f>
        <v>174540</v>
      </c>
      <c r="J10" s="85">
        <f>SUM(J11,J12,J18,J29,J25)</f>
        <v>873360</v>
      </c>
      <c r="K10" s="85">
        <f>SUM(K11,K12,K18,K29,K25)</f>
        <v>370000</v>
      </c>
      <c r="L10" s="85">
        <f>SUM(I10,J10,K10)</f>
        <v>1417900</v>
      </c>
      <c r="M10" s="85"/>
      <c r="N10" s="225"/>
      <c r="O10" s="83"/>
      <c r="P10" s="160"/>
      <c r="Q10" s="182"/>
      <c r="R10" s="83"/>
      <c r="S10" s="131"/>
      <c r="T10" s="215"/>
      <c r="U10" s="215"/>
      <c r="V10" s="215"/>
      <c r="W10" s="215"/>
      <c r="X10" s="83"/>
      <c r="Y10" s="147"/>
      <c r="Z10" s="13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row>
    <row r="11" spans="1:98" s="105" customFormat="1" ht="409.5" customHeight="1" x14ac:dyDescent="0.25">
      <c r="A11" s="104">
        <v>0</v>
      </c>
      <c r="B11" s="104"/>
      <c r="C11" s="104" t="s">
        <v>434</v>
      </c>
      <c r="D11" s="414" t="s">
        <v>285</v>
      </c>
      <c r="E11" s="178"/>
      <c r="F11" s="179"/>
      <c r="G11" s="103" t="s">
        <v>328</v>
      </c>
      <c r="H11" s="421" t="s">
        <v>430</v>
      </c>
      <c r="I11" s="173">
        <v>99852</v>
      </c>
      <c r="J11" s="173"/>
      <c r="K11" s="173">
        <v>0</v>
      </c>
      <c r="L11" s="173">
        <f>SUM(I11:K11)</f>
        <v>99852</v>
      </c>
      <c r="M11" s="166">
        <f>I11</f>
        <v>99852</v>
      </c>
      <c r="N11" s="260" t="s">
        <v>230</v>
      </c>
      <c r="O11" s="206" t="s">
        <v>271</v>
      </c>
      <c r="P11" s="157" t="s">
        <v>268</v>
      </c>
      <c r="Q11" s="236">
        <f>M11/L11</f>
        <v>1</v>
      </c>
      <c r="R11" s="104" t="s">
        <v>21</v>
      </c>
      <c r="S11" s="168" t="s">
        <v>242</v>
      </c>
      <c r="T11" s="386">
        <f>M11/I11</f>
        <v>1</v>
      </c>
      <c r="U11" s="154">
        <v>45231</v>
      </c>
      <c r="V11" s="154"/>
      <c r="W11" s="154">
        <v>45291</v>
      </c>
      <c r="X11" s="170">
        <v>45313</v>
      </c>
      <c r="Y11" s="154">
        <v>45330</v>
      </c>
      <c r="Z11" s="181"/>
    </row>
    <row r="12" spans="1:98" s="1" customFormat="1" ht="21" x14ac:dyDescent="0.35">
      <c r="A12" s="95">
        <v>1</v>
      </c>
      <c r="B12" s="336"/>
      <c r="C12" s="336"/>
      <c r="D12" s="87" t="s">
        <v>292</v>
      </c>
      <c r="E12" s="87"/>
      <c r="F12" s="91"/>
      <c r="G12" s="253"/>
      <c r="H12" s="422"/>
      <c r="I12" s="88">
        <f>SUM(I13:I17)</f>
        <v>0</v>
      </c>
      <c r="J12" s="88">
        <f>SUM(J13:J17)</f>
        <v>450000</v>
      </c>
      <c r="K12" s="88">
        <f>SUM(K13:K17)</f>
        <v>0</v>
      </c>
      <c r="L12" s="89">
        <f>SUM(I12:K12)</f>
        <v>450000</v>
      </c>
      <c r="M12" s="145">
        <f>SUM(M13:M17)</f>
        <v>70000</v>
      </c>
      <c r="N12" s="226"/>
      <c r="O12" s="90"/>
      <c r="P12" s="161"/>
      <c r="Q12" s="184"/>
      <c r="R12" s="141"/>
      <c r="S12" s="121"/>
      <c r="T12" s="388"/>
      <c r="U12" s="216"/>
      <c r="V12" s="216"/>
      <c r="W12" s="216"/>
      <c r="X12" s="132"/>
      <c r="Y12" s="153"/>
      <c r="Z12" s="132"/>
    </row>
    <row r="13" spans="1:98" s="149" customFormat="1" ht="105" x14ac:dyDescent="0.25">
      <c r="A13" s="104" t="s">
        <v>19</v>
      </c>
      <c r="B13" s="104"/>
      <c r="C13" s="465" t="s">
        <v>435</v>
      </c>
      <c r="D13" s="103" t="s">
        <v>319</v>
      </c>
      <c r="E13" s="249" t="s">
        <v>315</v>
      </c>
      <c r="F13" s="168"/>
      <c r="G13" s="103" t="s">
        <v>329</v>
      </c>
      <c r="H13" s="423" t="s">
        <v>421</v>
      </c>
      <c r="I13" s="167"/>
      <c r="J13" s="167">
        <v>70000</v>
      </c>
      <c r="K13" s="167"/>
      <c r="L13" s="167">
        <f t="shared" ref="L13:L17" si="0">SUM(I13:K13)</f>
        <v>70000</v>
      </c>
      <c r="M13" s="166">
        <v>70000</v>
      </c>
      <c r="N13" s="260" t="s">
        <v>260</v>
      </c>
      <c r="O13" s="190" t="s">
        <v>244</v>
      </c>
      <c r="P13" s="157" t="s">
        <v>265</v>
      </c>
      <c r="Q13" s="236">
        <f t="shared" ref="Q13:Q17" si="1">M13/L13</f>
        <v>1</v>
      </c>
      <c r="R13" s="104" t="s">
        <v>21</v>
      </c>
      <c r="S13" s="168" t="s">
        <v>242</v>
      </c>
      <c r="T13" s="177">
        <f>M13/J13</f>
        <v>1</v>
      </c>
      <c r="U13" s="154">
        <v>45299</v>
      </c>
      <c r="V13" s="250">
        <v>45569</v>
      </c>
      <c r="W13" s="154">
        <v>45366</v>
      </c>
      <c r="X13" s="231">
        <v>45366</v>
      </c>
      <c r="Y13" s="154">
        <v>45382</v>
      </c>
      <c r="Z13" s="104"/>
    </row>
    <row r="14" spans="1:98" s="119" customFormat="1" ht="126" x14ac:dyDescent="0.35">
      <c r="A14" s="104" t="s">
        <v>254</v>
      </c>
      <c r="B14" s="337"/>
      <c r="C14" s="466"/>
      <c r="D14" s="240" t="s">
        <v>323</v>
      </c>
      <c r="E14" s="249" t="s">
        <v>315</v>
      </c>
      <c r="F14" s="103" t="s">
        <v>350</v>
      </c>
      <c r="G14" s="103" t="s">
        <v>350</v>
      </c>
      <c r="H14" s="450" t="s">
        <v>431</v>
      </c>
      <c r="I14" s="241"/>
      <c r="J14" s="242">
        <v>95000</v>
      </c>
      <c r="K14" s="92"/>
      <c r="L14" s="167">
        <f t="shared" si="0"/>
        <v>95000</v>
      </c>
      <c r="M14" s="166"/>
      <c r="N14" s="260" t="s">
        <v>20</v>
      </c>
      <c r="O14" s="206" t="s">
        <v>249</v>
      </c>
      <c r="P14" s="157" t="s">
        <v>265</v>
      </c>
      <c r="Q14" s="236">
        <f t="shared" si="1"/>
        <v>0</v>
      </c>
      <c r="R14" s="256" t="s">
        <v>22</v>
      </c>
      <c r="S14" s="168" t="s">
        <v>242</v>
      </c>
      <c r="T14" s="177">
        <v>0.4</v>
      </c>
      <c r="U14" s="154">
        <v>45536</v>
      </c>
      <c r="V14" s="217"/>
      <c r="W14" s="217"/>
      <c r="X14" s="250">
        <v>45641</v>
      </c>
      <c r="Y14" s="250"/>
      <c r="Z14" s="203"/>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row>
    <row r="15" spans="1:98" s="180" customFormat="1" ht="63" x14ac:dyDescent="0.35">
      <c r="A15" s="104" t="s">
        <v>240</v>
      </c>
      <c r="B15" s="337"/>
      <c r="C15" s="466"/>
      <c r="D15" s="240" t="s">
        <v>345</v>
      </c>
      <c r="E15" s="249" t="s">
        <v>315</v>
      </c>
      <c r="F15" s="168"/>
      <c r="G15" s="103" t="s">
        <v>350</v>
      </c>
      <c r="H15" s="458"/>
      <c r="I15" s="242"/>
      <c r="J15" s="242">
        <v>185000</v>
      </c>
      <c r="K15" s="167"/>
      <c r="L15" s="167">
        <f t="shared" si="0"/>
        <v>185000</v>
      </c>
      <c r="M15" s="205">
        <v>0</v>
      </c>
      <c r="N15" s="260" t="s">
        <v>230</v>
      </c>
      <c r="O15" s="206" t="s">
        <v>249</v>
      </c>
      <c r="P15" s="157" t="s">
        <v>265</v>
      </c>
      <c r="Q15" s="236">
        <f t="shared" si="1"/>
        <v>0</v>
      </c>
      <c r="R15" s="251" t="s">
        <v>22</v>
      </c>
      <c r="S15" s="95" t="s">
        <v>242</v>
      </c>
      <c r="T15" s="177">
        <v>0.4</v>
      </c>
      <c r="U15" s="154">
        <v>45536</v>
      </c>
      <c r="V15" s="204"/>
      <c r="W15" s="204"/>
      <c r="X15" s="250">
        <v>45641</v>
      </c>
      <c r="Y15" s="250"/>
      <c r="Z15" s="104"/>
    </row>
    <row r="16" spans="1:98" s="1" customFormat="1" ht="21" x14ac:dyDescent="0.35">
      <c r="A16" s="104" t="s">
        <v>252</v>
      </c>
      <c r="B16" s="337"/>
      <c r="C16" s="466"/>
      <c r="D16" s="240" t="s">
        <v>346</v>
      </c>
      <c r="E16" s="249" t="s">
        <v>315</v>
      </c>
      <c r="F16" s="103"/>
      <c r="G16" s="103" t="s">
        <v>350</v>
      </c>
      <c r="H16" s="458"/>
      <c r="I16" s="241"/>
      <c r="J16" s="242">
        <v>55000</v>
      </c>
      <c r="K16" s="92"/>
      <c r="L16" s="167">
        <f t="shared" si="0"/>
        <v>55000</v>
      </c>
      <c r="M16" s="205">
        <v>0</v>
      </c>
      <c r="N16" s="260" t="s">
        <v>20</v>
      </c>
      <c r="O16" s="206" t="s">
        <v>249</v>
      </c>
      <c r="P16" s="157" t="s">
        <v>265</v>
      </c>
      <c r="Q16" s="236">
        <f t="shared" si="1"/>
        <v>0</v>
      </c>
      <c r="R16" s="256" t="s">
        <v>22</v>
      </c>
      <c r="S16" s="95" t="s">
        <v>242</v>
      </c>
      <c r="T16" s="177">
        <v>0.9</v>
      </c>
      <c r="U16" s="154">
        <v>45488</v>
      </c>
      <c r="V16" s="250"/>
      <c r="W16" s="217"/>
      <c r="X16" s="250">
        <v>45590</v>
      </c>
      <c r="Y16" s="154"/>
      <c r="Z16" s="203"/>
    </row>
    <row r="17" spans="1:98" s="1" customFormat="1" ht="63" x14ac:dyDescent="0.35">
      <c r="A17" s="104" t="s">
        <v>267</v>
      </c>
      <c r="B17" s="337"/>
      <c r="C17" s="467"/>
      <c r="D17" s="240" t="s">
        <v>320</v>
      </c>
      <c r="E17" s="249" t="s">
        <v>315</v>
      </c>
      <c r="F17" s="103" t="s">
        <v>357</v>
      </c>
      <c r="G17" s="103" t="s">
        <v>342</v>
      </c>
      <c r="H17" s="451"/>
      <c r="I17" s="241"/>
      <c r="J17" s="242">
        <v>45000</v>
      </c>
      <c r="K17" s="242"/>
      <c r="L17" s="167">
        <f t="shared" si="0"/>
        <v>45000</v>
      </c>
      <c r="M17" s="205">
        <v>0</v>
      </c>
      <c r="N17" s="260" t="s">
        <v>20</v>
      </c>
      <c r="O17" s="206" t="s">
        <v>249</v>
      </c>
      <c r="P17" s="157" t="s">
        <v>265</v>
      </c>
      <c r="Q17" s="236">
        <f t="shared" si="1"/>
        <v>0</v>
      </c>
      <c r="R17" s="256" t="s">
        <v>22</v>
      </c>
      <c r="S17" s="95" t="s">
        <v>242</v>
      </c>
      <c r="T17" s="177">
        <v>0.9</v>
      </c>
      <c r="U17" s="154">
        <v>45355</v>
      </c>
      <c r="V17" s="250">
        <v>45574</v>
      </c>
      <c r="W17" s="217"/>
      <c r="X17" s="250">
        <v>45641</v>
      </c>
      <c r="Y17" s="154"/>
      <c r="Z17" s="203"/>
    </row>
    <row r="18" spans="1:98" s="1" customFormat="1" ht="21" x14ac:dyDescent="0.35">
      <c r="A18" s="95">
        <v>2</v>
      </c>
      <c r="B18" s="336"/>
      <c r="C18" s="468" t="s">
        <v>434</v>
      </c>
      <c r="D18" s="87" t="s">
        <v>299</v>
      </c>
      <c r="E18" s="87"/>
      <c r="F18" s="91"/>
      <c r="G18" s="87"/>
      <c r="H18" s="424"/>
      <c r="I18" s="88">
        <f>SUM(I19:I24)</f>
        <v>74688</v>
      </c>
      <c r="J18" s="415">
        <f>SUM(J19:J24)</f>
        <v>90752</v>
      </c>
      <c r="K18" s="88">
        <f>SUM(K19:K24)</f>
        <v>0</v>
      </c>
      <c r="L18" s="89">
        <f>SUM(I18:K18)</f>
        <v>165440</v>
      </c>
      <c r="M18" s="145">
        <v>8750</v>
      </c>
      <c r="N18" s="226"/>
      <c r="O18" s="90"/>
      <c r="P18" s="161"/>
      <c r="Q18" s="184"/>
      <c r="R18" s="141"/>
      <c r="S18" s="121"/>
      <c r="T18" s="388"/>
      <c r="U18" s="216"/>
      <c r="V18" s="216"/>
      <c r="W18" s="216"/>
      <c r="X18" s="132"/>
      <c r="Y18" s="153"/>
      <c r="Z18" s="132"/>
    </row>
    <row r="19" spans="1:98" s="1" customFormat="1" ht="42" x14ac:dyDescent="0.35">
      <c r="A19" s="261" t="s">
        <v>287</v>
      </c>
      <c r="B19" s="338"/>
      <c r="C19" s="469"/>
      <c r="D19" s="240" t="s">
        <v>256</v>
      </c>
      <c r="E19" s="240" t="s">
        <v>316</v>
      </c>
      <c r="F19" s="103" t="s">
        <v>362</v>
      </c>
      <c r="G19" s="249" t="s">
        <v>331</v>
      </c>
      <c r="H19" s="450" t="s">
        <v>423</v>
      </c>
      <c r="I19" s="230">
        <v>74688</v>
      </c>
      <c r="J19" s="242">
        <v>0</v>
      </c>
      <c r="K19" s="102">
        <v>0</v>
      </c>
      <c r="L19" s="167">
        <f t="shared" ref="L19:L24" si="2">SUM(I19:K19)</f>
        <v>74688</v>
      </c>
      <c r="M19" s="205">
        <f>I19</f>
        <v>74688</v>
      </c>
      <c r="N19" s="260" t="s">
        <v>20</v>
      </c>
      <c r="O19" s="206" t="s">
        <v>271</v>
      </c>
      <c r="P19" s="157" t="s">
        <v>268</v>
      </c>
      <c r="Q19" s="236">
        <f t="shared" ref="Q19:Q24" si="3">M19/L19</f>
        <v>1</v>
      </c>
      <c r="R19" s="104" t="s">
        <v>21</v>
      </c>
      <c r="S19" s="95" t="s">
        <v>242</v>
      </c>
      <c r="T19" s="386">
        <v>1</v>
      </c>
      <c r="U19" s="154">
        <v>45246</v>
      </c>
      <c r="V19" s="211">
        <v>45569</v>
      </c>
      <c r="W19" s="154">
        <v>45306</v>
      </c>
      <c r="X19" s="154">
        <v>45278</v>
      </c>
      <c r="Y19" s="154">
        <v>45329</v>
      </c>
      <c r="Z19" s="133"/>
    </row>
    <row r="20" spans="1:98" s="1" customFormat="1" ht="42" x14ac:dyDescent="0.35">
      <c r="A20" s="261" t="s">
        <v>288</v>
      </c>
      <c r="B20" s="338"/>
      <c r="C20" s="469"/>
      <c r="D20" s="240" t="s">
        <v>257</v>
      </c>
      <c r="E20" s="240" t="s">
        <v>316</v>
      </c>
      <c r="F20" s="103" t="s">
        <v>363</v>
      </c>
      <c r="G20" s="249" t="s">
        <v>332</v>
      </c>
      <c r="H20" s="458"/>
      <c r="I20" s="102">
        <v>0</v>
      </c>
      <c r="J20" s="242">
        <v>29483</v>
      </c>
      <c r="K20" s="102"/>
      <c r="L20" s="167">
        <f t="shared" si="2"/>
        <v>29483</v>
      </c>
      <c r="M20" s="205">
        <f>J20</f>
        <v>29483</v>
      </c>
      <c r="N20" s="260" t="s">
        <v>20</v>
      </c>
      <c r="O20" s="168" t="s">
        <v>244</v>
      </c>
      <c r="P20" s="157" t="str">
        <f>IF(Y20="-","-",TEXT(Y20,"aaaa"))</f>
        <v>2024</v>
      </c>
      <c r="Q20" s="236">
        <f t="shared" si="3"/>
        <v>1</v>
      </c>
      <c r="R20" s="104" t="s">
        <v>21</v>
      </c>
      <c r="S20" s="95" t="s">
        <v>242</v>
      </c>
      <c r="T20" s="177">
        <v>1</v>
      </c>
      <c r="U20" s="154">
        <v>45297</v>
      </c>
      <c r="V20" s="211">
        <v>45569</v>
      </c>
      <c r="W20" s="154">
        <v>45345</v>
      </c>
      <c r="X20" s="154">
        <v>45345</v>
      </c>
      <c r="Y20" s="154">
        <v>45359</v>
      </c>
      <c r="Z20" s="133"/>
    </row>
    <row r="21" spans="1:98" s="1" customFormat="1" ht="42" x14ac:dyDescent="0.35">
      <c r="A21" s="261" t="s">
        <v>295</v>
      </c>
      <c r="B21" s="338"/>
      <c r="C21" s="469"/>
      <c r="D21" s="240" t="s">
        <v>266</v>
      </c>
      <c r="E21" s="240" t="s">
        <v>316</v>
      </c>
      <c r="F21" s="103" t="s">
        <v>364</v>
      </c>
      <c r="G21" s="249" t="s">
        <v>333</v>
      </c>
      <c r="H21" s="458"/>
      <c r="I21" s="102">
        <v>0</v>
      </c>
      <c r="J21" s="242">
        <v>10002</v>
      </c>
      <c r="K21" s="102"/>
      <c r="L21" s="167">
        <f t="shared" si="2"/>
        <v>10002</v>
      </c>
      <c r="M21" s="205">
        <f>J21</f>
        <v>10002</v>
      </c>
      <c r="N21" s="260" t="s">
        <v>20</v>
      </c>
      <c r="O21" s="168" t="s">
        <v>247</v>
      </c>
      <c r="P21" s="157" t="s">
        <v>265</v>
      </c>
      <c r="Q21" s="236">
        <f t="shared" si="3"/>
        <v>1</v>
      </c>
      <c r="R21" s="104" t="s">
        <v>21</v>
      </c>
      <c r="S21" s="95" t="s">
        <v>242</v>
      </c>
      <c r="T21" s="177">
        <v>1</v>
      </c>
      <c r="U21" s="154">
        <v>45357</v>
      </c>
      <c r="V21" s="211">
        <v>45569</v>
      </c>
      <c r="W21" s="154">
        <v>45401</v>
      </c>
      <c r="X21" s="154">
        <v>45401</v>
      </c>
      <c r="Y21" s="154">
        <v>45415</v>
      </c>
      <c r="Z21" s="133"/>
    </row>
    <row r="22" spans="1:98" s="1" customFormat="1" ht="42" x14ac:dyDescent="0.35">
      <c r="A22" s="261" t="s">
        <v>296</v>
      </c>
      <c r="B22" s="338"/>
      <c r="C22" s="469"/>
      <c r="D22" s="240" t="s">
        <v>258</v>
      </c>
      <c r="E22" s="240" t="s">
        <v>316</v>
      </c>
      <c r="F22" s="103" t="s">
        <v>365</v>
      </c>
      <c r="G22" s="249" t="s">
        <v>334</v>
      </c>
      <c r="H22" s="458"/>
      <c r="I22" s="102">
        <v>0</v>
      </c>
      <c r="J22" s="242">
        <v>11072</v>
      </c>
      <c r="K22" s="102"/>
      <c r="L22" s="167">
        <f t="shared" si="2"/>
        <v>11072</v>
      </c>
      <c r="M22" s="205">
        <f>J22</f>
        <v>11072</v>
      </c>
      <c r="N22" s="260" t="s">
        <v>20</v>
      </c>
      <c r="O22" s="168" t="s">
        <v>247</v>
      </c>
      <c r="P22" s="157" t="s">
        <v>265</v>
      </c>
      <c r="Q22" s="236">
        <f t="shared" si="3"/>
        <v>1</v>
      </c>
      <c r="R22" s="104" t="s">
        <v>21</v>
      </c>
      <c r="S22" s="95" t="s">
        <v>242</v>
      </c>
      <c r="T22" s="177">
        <v>1</v>
      </c>
      <c r="U22" s="154">
        <v>45388</v>
      </c>
      <c r="V22" s="211">
        <v>45569</v>
      </c>
      <c r="W22" s="154">
        <v>45450</v>
      </c>
      <c r="X22" s="154">
        <v>45450</v>
      </c>
      <c r="Y22" s="154">
        <v>45460</v>
      </c>
      <c r="Z22" s="133"/>
    </row>
    <row r="23" spans="1:98" s="1" customFormat="1" ht="183" customHeight="1" x14ac:dyDescent="0.35">
      <c r="A23" s="261" t="s">
        <v>297</v>
      </c>
      <c r="B23" s="338"/>
      <c r="C23" s="470"/>
      <c r="D23" s="240" t="s">
        <v>259</v>
      </c>
      <c r="E23" s="240" t="s">
        <v>316</v>
      </c>
      <c r="F23" s="103" t="s">
        <v>366</v>
      </c>
      <c r="G23" s="249" t="s">
        <v>335</v>
      </c>
      <c r="H23" s="451"/>
      <c r="I23" s="102">
        <v>0</v>
      </c>
      <c r="J23" s="242">
        <v>5195</v>
      </c>
      <c r="K23" s="102"/>
      <c r="L23" s="167">
        <f t="shared" si="2"/>
        <v>5195</v>
      </c>
      <c r="M23" s="205">
        <v>0</v>
      </c>
      <c r="N23" s="260" t="s">
        <v>20</v>
      </c>
      <c r="O23" s="168" t="s">
        <v>249</v>
      </c>
      <c r="P23" s="157" t="s">
        <v>265</v>
      </c>
      <c r="Q23" s="236">
        <f t="shared" si="3"/>
        <v>0</v>
      </c>
      <c r="R23" s="256" t="s">
        <v>46</v>
      </c>
      <c r="S23" s="95" t="s">
        <v>242</v>
      </c>
      <c r="T23" s="177">
        <v>1</v>
      </c>
      <c r="U23" s="154">
        <v>45449</v>
      </c>
      <c r="V23" s="211">
        <v>45569</v>
      </c>
      <c r="W23" s="154"/>
      <c r="X23" s="154">
        <v>45590</v>
      </c>
      <c r="Y23" s="154">
        <v>45596</v>
      </c>
      <c r="Z23" s="133"/>
    </row>
    <row r="24" spans="1:98" s="1" customFormat="1" ht="63" x14ac:dyDescent="0.35">
      <c r="A24" s="261" t="s">
        <v>298</v>
      </c>
      <c r="B24" s="338"/>
      <c r="C24" s="471" t="s">
        <v>436</v>
      </c>
      <c r="D24" s="240" t="s">
        <v>337</v>
      </c>
      <c r="E24" s="249" t="s">
        <v>322</v>
      </c>
      <c r="F24" s="103"/>
      <c r="G24" s="103" t="s">
        <v>350</v>
      </c>
      <c r="H24" s="423"/>
      <c r="I24" s="102"/>
      <c r="J24" s="242">
        <v>35000</v>
      </c>
      <c r="K24" s="102"/>
      <c r="L24" s="167">
        <f t="shared" si="2"/>
        <v>35000</v>
      </c>
      <c r="M24" s="205">
        <v>0</v>
      </c>
      <c r="N24" s="260" t="s">
        <v>260</v>
      </c>
      <c r="O24" s="168" t="s">
        <v>249</v>
      </c>
      <c r="P24" s="157" t="s">
        <v>265</v>
      </c>
      <c r="Q24" s="236">
        <f t="shared" si="3"/>
        <v>0</v>
      </c>
      <c r="R24" s="251" t="s">
        <v>22</v>
      </c>
      <c r="S24" s="95" t="s">
        <v>242</v>
      </c>
      <c r="T24" s="177">
        <v>0.5</v>
      </c>
      <c r="U24" s="211">
        <v>45566</v>
      </c>
      <c r="V24" s="211"/>
      <c r="W24" s="154"/>
      <c r="X24" s="154">
        <v>45641</v>
      </c>
      <c r="Y24" s="154">
        <v>45657</v>
      </c>
      <c r="Z24" s="133"/>
    </row>
    <row r="25" spans="1:98" s="1" customFormat="1" ht="21" x14ac:dyDescent="0.35">
      <c r="A25" s="95">
        <v>3</v>
      </c>
      <c r="B25" s="336"/>
      <c r="C25" s="336"/>
      <c r="D25" s="87" t="s">
        <v>293</v>
      </c>
      <c r="E25" s="87"/>
      <c r="F25" s="91"/>
      <c r="G25" s="87"/>
      <c r="H25" s="424"/>
      <c r="I25" s="88">
        <f>SUM(I26:I28)</f>
        <v>0</v>
      </c>
      <c r="J25" s="415">
        <f t="shared" ref="J25:K25" si="4">SUM(J26:J28)</f>
        <v>30000</v>
      </c>
      <c r="K25" s="415">
        <f t="shared" si="4"/>
        <v>200000</v>
      </c>
      <c r="L25" s="89">
        <f>SUM(I25:K25)</f>
        <v>230000</v>
      </c>
      <c r="M25" s="145">
        <f>SUM(M26:M28)</f>
        <v>30000</v>
      </c>
      <c r="N25" s="226"/>
      <c r="O25" s="90"/>
      <c r="P25" s="161"/>
      <c r="Q25" s="184"/>
      <c r="R25" s="141"/>
      <c r="S25" s="121"/>
      <c r="T25" s="388"/>
      <c r="U25" s="216"/>
      <c r="V25" s="216"/>
      <c r="W25" s="216"/>
      <c r="X25" s="132"/>
      <c r="Y25" s="153"/>
      <c r="Z25" s="132"/>
    </row>
    <row r="26" spans="1:98" s="180" customFormat="1" ht="63.75" thickBot="1" x14ac:dyDescent="0.4">
      <c r="A26" s="104" t="s">
        <v>239</v>
      </c>
      <c r="B26" s="104"/>
      <c r="C26" s="465" t="s">
        <v>437</v>
      </c>
      <c r="D26" s="103" t="s">
        <v>339</v>
      </c>
      <c r="E26" s="249" t="s">
        <v>315</v>
      </c>
      <c r="F26" s="168"/>
      <c r="G26" s="411" t="s">
        <v>341</v>
      </c>
      <c r="H26" s="452" t="s">
        <v>433</v>
      </c>
      <c r="I26" s="167"/>
      <c r="J26" s="242">
        <v>30000</v>
      </c>
      <c r="K26" s="167"/>
      <c r="L26" s="167">
        <f>SUM(I26:K26)</f>
        <v>30000</v>
      </c>
      <c r="M26" s="166">
        <f>J26</f>
        <v>30000</v>
      </c>
      <c r="N26" s="260" t="s">
        <v>260</v>
      </c>
      <c r="O26" s="190" t="s">
        <v>244</v>
      </c>
      <c r="P26" s="157" t="s">
        <v>265</v>
      </c>
      <c r="Q26" s="185">
        <f>M26/L26</f>
        <v>1</v>
      </c>
      <c r="R26" s="433" t="s">
        <v>21</v>
      </c>
      <c r="S26" s="168" t="s">
        <v>242</v>
      </c>
      <c r="T26" s="386">
        <f>M26/J26</f>
        <v>1</v>
      </c>
      <c r="U26" s="154">
        <v>45352</v>
      </c>
      <c r="V26" s="211">
        <v>45569</v>
      </c>
      <c r="W26" s="217"/>
      <c r="X26" s="231">
        <v>45366</v>
      </c>
      <c r="Y26" s="154">
        <v>45382</v>
      </c>
      <c r="Z26" s="169"/>
    </row>
    <row r="27" spans="1:98" s="119" customFormat="1" ht="42" x14ac:dyDescent="0.35">
      <c r="A27" s="104" t="s">
        <v>235</v>
      </c>
      <c r="B27" s="337"/>
      <c r="C27" s="466"/>
      <c r="D27" s="240" t="s">
        <v>347</v>
      </c>
      <c r="E27" s="240" t="s">
        <v>317</v>
      </c>
      <c r="F27" s="168" t="s">
        <v>360</v>
      </c>
      <c r="G27" s="412" t="s">
        <v>338</v>
      </c>
      <c r="H27" s="453"/>
      <c r="I27" s="241"/>
      <c r="J27" s="242"/>
      <c r="K27" s="242">
        <v>175000</v>
      </c>
      <c r="L27" s="167">
        <f t="shared" ref="L27:L28" si="5">SUM(I27:K27)</f>
        <v>175000</v>
      </c>
      <c r="M27" s="166">
        <v>0</v>
      </c>
      <c r="N27" s="260" t="s">
        <v>20</v>
      </c>
      <c r="O27" s="190" t="s">
        <v>245</v>
      </c>
      <c r="P27" s="157" t="s">
        <v>272</v>
      </c>
      <c r="Q27" s="185">
        <f t="shared" ref="Q27:Q28" si="6">M27/L27</f>
        <v>0</v>
      </c>
      <c r="R27" s="256" t="s">
        <v>22</v>
      </c>
      <c r="S27" s="95" t="s">
        <v>242</v>
      </c>
      <c r="T27" s="177">
        <v>0.3</v>
      </c>
      <c r="U27" s="154">
        <v>45454</v>
      </c>
      <c r="V27" s="250">
        <v>45574</v>
      </c>
      <c r="W27" s="217"/>
      <c r="X27" s="231">
        <v>45672</v>
      </c>
      <c r="Y27" s="204"/>
      <c r="Z27" s="203"/>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row>
    <row r="28" spans="1:98" s="180" customFormat="1" ht="42.75" thickBot="1" x14ac:dyDescent="0.4">
      <c r="A28" s="104" t="s">
        <v>255</v>
      </c>
      <c r="B28" s="337"/>
      <c r="C28" s="467"/>
      <c r="D28" s="240" t="s">
        <v>348</v>
      </c>
      <c r="E28" s="240" t="s">
        <v>317</v>
      </c>
      <c r="F28" s="168" t="s">
        <v>360</v>
      </c>
      <c r="G28" s="413" t="s">
        <v>338</v>
      </c>
      <c r="H28" s="453"/>
      <c r="I28" s="242"/>
      <c r="J28" s="242"/>
      <c r="K28" s="242">
        <v>25000</v>
      </c>
      <c r="L28" s="167">
        <f t="shared" si="5"/>
        <v>25000</v>
      </c>
      <c r="M28" s="166">
        <v>0</v>
      </c>
      <c r="N28" s="260" t="s">
        <v>230</v>
      </c>
      <c r="O28" s="190" t="s">
        <v>245</v>
      </c>
      <c r="P28" s="235" t="s">
        <v>272</v>
      </c>
      <c r="Q28" s="185">
        <f t="shared" si="6"/>
        <v>0</v>
      </c>
      <c r="R28" s="251" t="s">
        <v>22</v>
      </c>
      <c r="S28" s="95" t="s">
        <v>242</v>
      </c>
      <c r="T28" s="177">
        <v>0.3</v>
      </c>
      <c r="U28" s="154">
        <v>45454</v>
      </c>
      <c r="V28" s="250">
        <v>45574</v>
      </c>
      <c r="W28" s="204"/>
      <c r="X28" s="231">
        <v>45688</v>
      </c>
      <c r="Y28" s="204"/>
      <c r="Z28" s="169"/>
    </row>
    <row r="29" spans="1:98" s="1" customFormat="1" ht="21" x14ac:dyDescent="0.35">
      <c r="A29" s="95">
        <v>4</v>
      </c>
      <c r="B29" s="336"/>
      <c r="C29" s="336"/>
      <c r="D29" s="87" t="s">
        <v>291</v>
      </c>
      <c r="E29" s="87"/>
      <c r="F29" s="91"/>
      <c r="G29" s="254"/>
      <c r="H29" s="426"/>
      <c r="I29" s="88">
        <f>SUM(I30:I38)</f>
        <v>0</v>
      </c>
      <c r="J29" s="415">
        <f>SUM(J30:J38)</f>
        <v>302608</v>
      </c>
      <c r="K29" s="415">
        <f>SUM(K30:K38)</f>
        <v>170000</v>
      </c>
      <c r="L29" s="89">
        <f t="shared" ref="L29:L38" si="7">SUM(I29:K29)</f>
        <v>472608</v>
      </c>
      <c r="M29" s="145">
        <f>SUM(M30:M38)</f>
        <v>100000</v>
      </c>
      <c r="N29" s="226"/>
      <c r="O29" s="90"/>
      <c r="P29" s="161"/>
      <c r="Q29" s="184"/>
      <c r="R29" s="141"/>
      <c r="S29" s="121"/>
      <c r="T29" s="388"/>
      <c r="U29" s="216"/>
      <c r="V29" s="216"/>
      <c r="W29" s="216"/>
      <c r="X29" s="132"/>
      <c r="Y29" s="153"/>
      <c r="Z29" s="132"/>
    </row>
    <row r="30" spans="1:98" s="180" customFormat="1" ht="105" x14ac:dyDescent="0.35">
      <c r="A30" s="104" t="s">
        <v>289</v>
      </c>
      <c r="B30" s="104"/>
      <c r="C30" s="465" t="s">
        <v>438</v>
      </c>
      <c r="D30" s="103" t="s">
        <v>340</v>
      </c>
      <c r="E30" s="249" t="s">
        <v>315</v>
      </c>
      <c r="F30" s="410"/>
      <c r="G30" s="103" t="s">
        <v>344</v>
      </c>
      <c r="H30" s="425" t="s">
        <v>432</v>
      </c>
      <c r="I30" s="167"/>
      <c r="J30" s="242">
        <v>100000</v>
      </c>
      <c r="K30" s="167"/>
      <c r="L30" s="167">
        <f t="shared" si="7"/>
        <v>100000</v>
      </c>
      <c r="M30" s="166">
        <v>100000</v>
      </c>
      <c r="N30" s="260" t="s">
        <v>260</v>
      </c>
      <c r="O30" s="190" t="s">
        <v>244</v>
      </c>
      <c r="P30" s="157" t="s">
        <v>265</v>
      </c>
      <c r="Q30" s="185">
        <f>M30/L30</f>
        <v>1</v>
      </c>
      <c r="R30" s="433" t="s">
        <v>21</v>
      </c>
      <c r="S30" s="168" t="s">
        <v>242</v>
      </c>
      <c r="T30" s="177">
        <f>M30/J30</f>
        <v>1</v>
      </c>
      <c r="U30" s="154">
        <v>45352</v>
      </c>
      <c r="V30" s="211">
        <v>45569</v>
      </c>
      <c r="W30" s="154"/>
      <c r="X30" s="231">
        <v>45366</v>
      </c>
      <c r="Y30" s="154">
        <v>45382</v>
      </c>
      <c r="Z30" s="169"/>
    </row>
    <row r="31" spans="1:98" s="111" customFormat="1" ht="93" customHeight="1" x14ac:dyDescent="0.35">
      <c r="A31" s="104" t="s">
        <v>290</v>
      </c>
      <c r="B31" s="337"/>
      <c r="C31" s="466"/>
      <c r="D31" s="240" t="s">
        <v>321</v>
      </c>
      <c r="E31" s="248" t="s">
        <v>327</v>
      </c>
      <c r="F31" s="103" t="s">
        <v>357</v>
      </c>
      <c r="G31" s="252" t="s">
        <v>342</v>
      </c>
      <c r="H31" s="450" t="s">
        <v>426</v>
      </c>
      <c r="I31" s="238"/>
      <c r="J31" s="242">
        <v>142608</v>
      </c>
      <c r="K31" s="92"/>
      <c r="L31" s="167">
        <f t="shared" si="7"/>
        <v>142608</v>
      </c>
      <c r="M31" s="166">
        <v>0</v>
      </c>
      <c r="N31" s="260" t="s">
        <v>20</v>
      </c>
      <c r="O31" s="190" t="s">
        <v>249</v>
      </c>
      <c r="P31" s="157" t="s">
        <v>265</v>
      </c>
      <c r="Q31" s="185">
        <f t="shared" ref="Q31:Q38" si="8">M31/L31</f>
        <v>0</v>
      </c>
      <c r="R31" s="256" t="s">
        <v>22</v>
      </c>
      <c r="S31" s="95" t="s">
        <v>242</v>
      </c>
      <c r="T31" s="177">
        <v>0.4</v>
      </c>
      <c r="U31" s="154">
        <v>45355</v>
      </c>
      <c r="V31" s="250">
        <v>45574</v>
      </c>
      <c r="W31" s="170"/>
      <c r="X31" s="231">
        <v>45641</v>
      </c>
      <c r="Y31" s="204"/>
      <c r="Z31" s="246"/>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row>
    <row r="32" spans="1:98" s="119" customFormat="1" ht="210" customHeight="1" x14ac:dyDescent="0.35">
      <c r="A32" s="104" t="s">
        <v>300</v>
      </c>
      <c r="B32" s="337"/>
      <c r="C32" s="467"/>
      <c r="D32" s="240" t="s">
        <v>312</v>
      </c>
      <c r="E32" s="248" t="s">
        <v>327</v>
      </c>
      <c r="F32" s="410" t="s">
        <v>358</v>
      </c>
      <c r="G32" s="332" t="s">
        <v>420</v>
      </c>
      <c r="H32" s="451"/>
      <c r="I32" s="328"/>
      <c r="J32" s="242">
        <v>22500</v>
      </c>
      <c r="K32" s="92"/>
      <c r="L32" s="167">
        <f t="shared" si="7"/>
        <v>22500</v>
      </c>
      <c r="M32" s="166">
        <v>0</v>
      </c>
      <c r="N32" s="260" t="s">
        <v>20</v>
      </c>
      <c r="O32" s="190" t="s">
        <v>249</v>
      </c>
      <c r="P32" s="157" t="s">
        <v>265</v>
      </c>
      <c r="Q32" s="185">
        <f t="shared" si="8"/>
        <v>0</v>
      </c>
      <c r="R32" s="256" t="s">
        <v>22</v>
      </c>
      <c r="S32" s="95" t="s">
        <v>242</v>
      </c>
      <c r="T32" s="177">
        <v>0.4</v>
      </c>
      <c r="U32" s="154">
        <v>45355</v>
      </c>
      <c r="V32" s="170"/>
      <c r="W32" s="170"/>
      <c r="X32" s="231">
        <v>45641</v>
      </c>
      <c r="Y32" s="204"/>
      <c r="Z32" s="203"/>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row>
    <row r="33" spans="1:98" s="180" customFormat="1" ht="63" x14ac:dyDescent="0.35">
      <c r="A33" s="104" t="s">
        <v>301</v>
      </c>
      <c r="B33" s="337"/>
      <c r="C33" s="465" t="s">
        <v>439</v>
      </c>
      <c r="D33" s="240" t="s">
        <v>286</v>
      </c>
      <c r="E33" s="248" t="s">
        <v>327</v>
      </c>
      <c r="F33" s="410" t="s">
        <v>358</v>
      </c>
      <c r="G33" s="332" t="s">
        <v>420</v>
      </c>
      <c r="H33" s="450" t="s">
        <v>424</v>
      </c>
      <c r="I33" s="329"/>
      <c r="J33" s="242"/>
      <c r="K33" s="167">
        <v>60000</v>
      </c>
      <c r="L33" s="167">
        <f t="shared" si="7"/>
        <v>60000</v>
      </c>
      <c r="M33" s="166">
        <f>J33</f>
        <v>0</v>
      </c>
      <c r="N33" s="260" t="s">
        <v>230</v>
      </c>
      <c r="O33" s="168" t="s">
        <v>245</v>
      </c>
      <c r="P33" s="157" t="s">
        <v>272</v>
      </c>
      <c r="Q33" s="185">
        <f t="shared" si="8"/>
        <v>0</v>
      </c>
      <c r="R33" s="251" t="s">
        <v>22</v>
      </c>
      <c r="S33" s="168" t="s">
        <v>242</v>
      </c>
      <c r="T33" s="177">
        <v>0.25</v>
      </c>
      <c r="U33" s="154">
        <v>45355</v>
      </c>
      <c r="V33" s="204"/>
      <c r="W33" s="204"/>
      <c r="X33" s="250">
        <v>45688</v>
      </c>
      <c r="Y33" s="204"/>
      <c r="Z33" s="169"/>
    </row>
    <row r="34" spans="1:98" s="105" customFormat="1" ht="42" x14ac:dyDescent="0.25">
      <c r="A34" s="104" t="s">
        <v>302</v>
      </c>
      <c r="B34" s="104"/>
      <c r="C34" s="466"/>
      <c r="D34" s="172" t="s">
        <v>325</v>
      </c>
      <c r="E34" s="240" t="s">
        <v>327</v>
      </c>
      <c r="F34" s="410"/>
      <c r="G34" s="332" t="s">
        <v>349</v>
      </c>
      <c r="H34" s="458"/>
      <c r="I34" s="330"/>
      <c r="J34" s="242">
        <v>0</v>
      </c>
      <c r="K34" s="244">
        <v>15000</v>
      </c>
      <c r="L34" s="167">
        <f t="shared" si="7"/>
        <v>15000</v>
      </c>
      <c r="M34" s="166">
        <v>0</v>
      </c>
      <c r="N34" s="260" t="s">
        <v>260</v>
      </c>
      <c r="O34" s="168" t="s">
        <v>245</v>
      </c>
      <c r="P34" s="157" t="s">
        <v>272</v>
      </c>
      <c r="Q34" s="185">
        <f t="shared" si="8"/>
        <v>0</v>
      </c>
      <c r="R34" s="251" t="s">
        <v>18</v>
      </c>
      <c r="S34" s="168" t="s">
        <v>242</v>
      </c>
      <c r="T34" s="386">
        <v>0</v>
      </c>
      <c r="U34" s="154">
        <v>45474</v>
      </c>
      <c r="V34" s="154"/>
      <c r="W34" s="154"/>
      <c r="X34" s="250">
        <v>45747</v>
      </c>
      <c r="Y34" s="204"/>
      <c r="Z34" s="171"/>
    </row>
    <row r="35" spans="1:98" s="105" customFormat="1" ht="189" customHeight="1" x14ac:dyDescent="0.25">
      <c r="A35" s="104" t="s">
        <v>303</v>
      </c>
      <c r="B35" s="104"/>
      <c r="C35" s="467"/>
      <c r="D35" s="172" t="s">
        <v>324</v>
      </c>
      <c r="E35" s="240" t="s">
        <v>327</v>
      </c>
      <c r="F35" s="410"/>
      <c r="G35" s="332" t="s">
        <v>349</v>
      </c>
      <c r="H35" s="451"/>
      <c r="I35" s="330"/>
      <c r="J35" s="242">
        <v>0</v>
      </c>
      <c r="K35" s="244">
        <v>15000</v>
      </c>
      <c r="L35" s="167">
        <f t="shared" si="7"/>
        <v>15000</v>
      </c>
      <c r="M35" s="166">
        <v>0</v>
      </c>
      <c r="N35" s="260" t="s">
        <v>260</v>
      </c>
      <c r="O35" s="168" t="s">
        <v>246</v>
      </c>
      <c r="P35" s="157" t="s">
        <v>272</v>
      </c>
      <c r="Q35" s="185">
        <f t="shared" si="8"/>
        <v>0</v>
      </c>
      <c r="R35" s="251" t="s">
        <v>18</v>
      </c>
      <c r="S35" s="168" t="s">
        <v>242</v>
      </c>
      <c r="T35" s="386">
        <v>0</v>
      </c>
      <c r="U35" s="154">
        <v>45566</v>
      </c>
      <c r="V35" s="154"/>
      <c r="W35" s="154"/>
      <c r="X35" s="250">
        <v>45838</v>
      </c>
      <c r="Y35" s="204"/>
      <c r="Z35" s="171"/>
    </row>
    <row r="36" spans="1:98" s="119" customFormat="1" ht="42" x14ac:dyDescent="0.35">
      <c r="A36" s="104" t="s">
        <v>304</v>
      </c>
      <c r="B36" s="337"/>
      <c r="C36" s="337"/>
      <c r="D36" s="240" t="s">
        <v>294</v>
      </c>
      <c r="E36" s="240" t="s">
        <v>318</v>
      </c>
      <c r="F36" s="410" t="s">
        <v>361</v>
      </c>
      <c r="G36" s="332" t="s">
        <v>343</v>
      </c>
      <c r="H36" s="427" t="s">
        <v>422</v>
      </c>
      <c r="I36" s="328"/>
      <c r="J36" s="242">
        <v>17500</v>
      </c>
      <c r="K36" s="92"/>
      <c r="L36" s="167">
        <f t="shared" si="7"/>
        <v>17500</v>
      </c>
      <c r="M36" s="166">
        <v>0</v>
      </c>
      <c r="N36" s="260" t="s">
        <v>230</v>
      </c>
      <c r="O36" s="190" t="s">
        <v>249</v>
      </c>
      <c r="P36" s="157" t="s">
        <v>265</v>
      </c>
      <c r="Q36" s="185">
        <f t="shared" si="8"/>
        <v>0</v>
      </c>
      <c r="R36" s="251" t="s">
        <v>22</v>
      </c>
      <c r="S36" s="95" t="s">
        <v>242</v>
      </c>
      <c r="T36" s="177">
        <v>0.4</v>
      </c>
      <c r="U36" s="154">
        <v>45499</v>
      </c>
      <c r="V36" s="250">
        <v>45574</v>
      </c>
      <c r="W36" s="217"/>
      <c r="X36" s="250">
        <v>45657</v>
      </c>
      <c r="Y36" s="204"/>
      <c r="Z36" s="203"/>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row>
    <row r="37" spans="1:98" s="180" customFormat="1" ht="42" x14ac:dyDescent="0.35">
      <c r="A37" s="104" t="s">
        <v>305</v>
      </c>
      <c r="B37" s="337"/>
      <c r="C37" s="465" t="s">
        <v>440</v>
      </c>
      <c r="D37" s="240" t="s">
        <v>326</v>
      </c>
      <c r="E37" s="249" t="s">
        <v>322</v>
      </c>
      <c r="F37" s="410"/>
      <c r="G37" s="331" t="s">
        <v>350</v>
      </c>
      <c r="H37" s="450" t="s">
        <v>425</v>
      </c>
      <c r="I37" s="167"/>
      <c r="J37" s="409"/>
      <c r="K37" s="243">
        <v>80000</v>
      </c>
      <c r="L37" s="167">
        <f t="shared" si="7"/>
        <v>80000</v>
      </c>
      <c r="M37" s="166">
        <v>0</v>
      </c>
      <c r="N37" s="260" t="s">
        <v>230</v>
      </c>
      <c r="O37" s="168" t="s">
        <v>245</v>
      </c>
      <c r="P37" s="235" t="s">
        <v>272</v>
      </c>
      <c r="Q37" s="185">
        <f t="shared" si="8"/>
        <v>0</v>
      </c>
      <c r="R37" s="251" t="s">
        <v>22</v>
      </c>
      <c r="S37" s="95" t="s">
        <v>242</v>
      </c>
      <c r="T37" s="177">
        <v>0.15</v>
      </c>
      <c r="U37" s="154"/>
      <c r="V37" s="204"/>
      <c r="W37" s="204"/>
      <c r="X37" s="250">
        <v>45703</v>
      </c>
      <c r="Y37" s="204"/>
      <c r="Z37" s="169"/>
    </row>
    <row r="38" spans="1:98" s="180" customFormat="1" ht="42" x14ac:dyDescent="0.35">
      <c r="A38" s="104" t="s">
        <v>314</v>
      </c>
      <c r="B38" s="337"/>
      <c r="C38" s="467"/>
      <c r="D38" s="240" t="s">
        <v>313</v>
      </c>
      <c r="E38" s="248" t="s">
        <v>327</v>
      </c>
      <c r="F38" s="103" t="s">
        <v>359</v>
      </c>
      <c r="G38" s="103" t="s">
        <v>342</v>
      </c>
      <c r="H38" s="451"/>
      <c r="I38" s="167"/>
      <c r="J38" s="242">
        <v>20000</v>
      </c>
      <c r="K38" s="243">
        <v>0</v>
      </c>
      <c r="L38" s="167">
        <f t="shared" si="7"/>
        <v>20000</v>
      </c>
      <c r="M38" s="205">
        <f>K38</f>
        <v>0</v>
      </c>
      <c r="N38" s="260" t="s">
        <v>230</v>
      </c>
      <c r="O38" s="168" t="s">
        <v>249</v>
      </c>
      <c r="P38" s="235" t="s">
        <v>265</v>
      </c>
      <c r="Q38" s="185">
        <f t="shared" si="8"/>
        <v>0</v>
      </c>
      <c r="R38" s="251" t="s">
        <v>22</v>
      </c>
      <c r="S38" s="95" t="s">
        <v>242</v>
      </c>
      <c r="T38" s="177">
        <v>0.8</v>
      </c>
      <c r="U38" s="154">
        <v>45355</v>
      </c>
      <c r="V38" s="250">
        <v>45574</v>
      </c>
      <c r="W38" s="204"/>
      <c r="X38" s="250">
        <v>45641</v>
      </c>
      <c r="Y38" s="204"/>
      <c r="Z38" s="169"/>
    </row>
    <row r="39" spans="1:98" s="86" customFormat="1" ht="265.5" customHeight="1" x14ac:dyDescent="0.35">
      <c r="A39" s="326"/>
      <c r="B39" s="335"/>
      <c r="C39" s="465" t="s">
        <v>441</v>
      </c>
      <c r="D39" s="84" t="s">
        <v>399</v>
      </c>
      <c r="E39" s="84"/>
      <c r="F39" s="84"/>
      <c r="G39" s="84"/>
      <c r="H39" s="434" t="s">
        <v>429</v>
      </c>
      <c r="I39" s="85">
        <f>SUM(I40,I49)</f>
        <v>0</v>
      </c>
      <c r="J39" s="85">
        <f t="shared" ref="J39:L39" si="9">SUM(J40,J49)</f>
        <v>77918</v>
      </c>
      <c r="K39" s="85">
        <f t="shared" si="9"/>
        <v>83176</v>
      </c>
      <c r="L39" s="85">
        <f t="shared" si="9"/>
        <v>161094</v>
      </c>
      <c r="M39" s="85">
        <f>SUM(M40,M49)</f>
        <v>69168</v>
      </c>
      <c r="N39" s="225"/>
      <c r="O39" s="83"/>
      <c r="P39" s="160"/>
      <c r="Q39" s="182"/>
      <c r="R39" s="83"/>
      <c r="S39" s="131"/>
      <c r="T39" s="215"/>
      <c r="U39" s="215"/>
      <c r="V39" s="215"/>
      <c r="W39" s="215"/>
      <c r="X39" s="83"/>
      <c r="Y39" s="147"/>
      <c r="Z39" s="13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row>
    <row r="40" spans="1:98" s="111" customFormat="1" ht="21" x14ac:dyDescent="0.35">
      <c r="A40" s="324">
        <v>5</v>
      </c>
      <c r="B40" s="324"/>
      <c r="C40" s="466"/>
      <c r="D40" s="116" t="s">
        <v>29</v>
      </c>
      <c r="E40" s="116"/>
      <c r="F40" s="118"/>
      <c r="G40" s="116"/>
      <c r="H40" s="428"/>
      <c r="I40" s="117">
        <f>SUM(I41,I46)</f>
        <v>0</v>
      </c>
      <c r="J40" s="117">
        <f>SUM(J41,J46)</f>
        <v>42918</v>
      </c>
      <c r="K40" s="117">
        <f>SUM(K41,K46)</f>
        <v>48176</v>
      </c>
      <c r="L40" s="117">
        <f>SUM(I40:K40)</f>
        <v>91094</v>
      </c>
      <c r="M40" s="117">
        <f>SUM(M41,M46)</f>
        <v>42918</v>
      </c>
      <c r="N40" s="228"/>
      <c r="O40" s="208"/>
      <c r="P40" s="188"/>
      <c r="Q40" s="186"/>
      <c r="R40" s="142"/>
      <c r="S40" s="122"/>
      <c r="T40" s="389"/>
      <c r="U40" s="218"/>
      <c r="V40" s="218"/>
      <c r="W40" s="218"/>
      <c r="X40" s="134"/>
      <c r="Y40" s="155"/>
      <c r="Z40" s="135"/>
      <c r="AA40" s="120"/>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row>
    <row r="41" spans="1:98" s="105" customFormat="1" ht="21" x14ac:dyDescent="0.25">
      <c r="A41" s="256" t="s">
        <v>367</v>
      </c>
      <c r="B41" s="256"/>
      <c r="C41" s="466"/>
      <c r="D41" s="192" t="s">
        <v>273</v>
      </c>
      <c r="E41" s="192"/>
      <c r="F41" s="199"/>
      <c r="G41" s="192"/>
      <c r="H41" s="429"/>
      <c r="I41" s="193">
        <f>SUM(I42:I45)</f>
        <v>0</v>
      </c>
      <c r="J41" s="174">
        <f>SUM(J42:J45)</f>
        <v>42918</v>
      </c>
      <c r="K41" s="193">
        <f>SUM(K42:K45)</f>
        <v>0</v>
      </c>
      <c r="L41" s="174">
        <f>SUM(I41:K41)</f>
        <v>42918</v>
      </c>
      <c r="M41" s="175">
        <f>J41</f>
        <v>42918</v>
      </c>
      <c r="N41" s="227"/>
      <c r="O41" s="210"/>
      <c r="P41" s="197"/>
      <c r="Q41" s="198"/>
      <c r="R41" s="200"/>
      <c r="S41" s="196"/>
      <c r="T41" s="392"/>
      <c r="U41" s="220"/>
      <c r="V41" s="220"/>
      <c r="W41" s="220"/>
      <c r="X41" s="201"/>
      <c r="Y41" s="201"/>
      <c r="Z41" s="202"/>
    </row>
    <row r="42" spans="1:98" s="105" customFormat="1" ht="21" x14ac:dyDescent="0.25">
      <c r="A42" s="327" t="s">
        <v>368</v>
      </c>
      <c r="B42" s="327"/>
      <c r="C42" s="466"/>
      <c r="D42" s="172" t="s">
        <v>274</v>
      </c>
      <c r="E42" s="172"/>
      <c r="F42" s="176"/>
      <c r="G42" s="172"/>
      <c r="H42" s="454" t="s">
        <v>427</v>
      </c>
      <c r="I42" s="173"/>
      <c r="J42" s="242">
        <v>10729.5</v>
      </c>
      <c r="K42" s="173"/>
      <c r="L42" s="167">
        <f t="shared" ref="L42:L48" si="10">SUM(I42:K42)</f>
        <v>10729.5</v>
      </c>
      <c r="M42" s="175">
        <f>J42</f>
        <v>10729.5</v>
      </c>
      <c r="N42" s="260" t="s">
        <v>25</v>
      </c>
      <c r="O42" s="168" t="s">
        <v>244</v>
      </c>
      <c r="P42" s="157" t="s">
        <v>265</v>
      </c>
      <c r="Q42" s="185">
        <f t="shared" ref="Q42:Q45" si="11">M42/L42</f>
        <v>1</v>
      </c>
      <c r="R42" s="169" t="s">
        <v>23</v>
      </c>
      <c r="S42" s="168" t="s">
        <v>242</v>
      </c>
      <c r="T42" s="386">
        <v>1</v>
      </c>
      <c r="U42" s="154">
        <v>45292</v>
      </c>
      <c r="V42" s="154"/>
      <c r="W42" s="154"/>
      <c r="X42" s="154">
        <f>U43-1</f>
        <v>45382</v>
      </c>
      <c r="Y42" s="154"/>
      <c r="Z42" s="171"/>
    </row>
    <row r="43" spans="1:98" s="105" customFormat="1" ht="21" x14ac:dyDescent="0.25">
      <c r="A43" s="327" t="s">
        <v>369</v>
      </c>
      <c r="B43" s="327"/>
      <c r="C43" s="466"/>
      <c r="D43" s="172" t="s">
        <v>275</v>
      </c>
      <c r="E43" s="172"/>
      <c r="F43" s="176"/>
      <c r="G43" s="172"/>
      <c r="H43" s="455"/>
      <c r="I43" s="173"/>
      <c r="J43" s="242">
        <v>10729.5</v>
      </c>
      <c r="K43" s="173"/>
      <c r="L43" s="167">
        <f t="shared" si="10"/>
        <v>10729.5</v>
      </c>
      <c r="M43" s="175">
        <f>J43</f>
        <v>10729.5</v>
      </c>
      <c r="N43" s="260" t="s">
        <v>25</v>
      </c>
      <c r="O43" s="168" t="s">
        <v>247</v>
      </c>
      <c r="P43" s="157" t="str">
        <f>IF(Y42="-","-",TEXT(Y42,"aaaa"))</f>
        <v>1900</v>
      </c>
      <c r="Q43" s="185">
        <f t="shared" si="11"/>
        <v>1</v>
      </c>
      <c r="R43" s="169" t="s">
        <v>23</v>
      </c>
      <c r="S43" s="168" t="s">
        <v>242</v>
      </c>
      <c r="T43" s="386">
        <f>Q42</f>
        <v>1</v>
      </c>
      <c r="U43" s="154">
        <f>U42+91</f>
        <v>45383</v>
      </c>
      <c r="V43" s="154"/>
      <c r="W43" s="154"/>
      <c r="X43" s="154">
        <f t="shared" ref="X43:X44" si="12">U44-1</f>
        <v>45473</v>
      </c>
      <c r="Y43" s="154"/>
      <c r="Z43" s="171"/>
    </row>
    <row r="44" spans="1:98" s="105" customFormat="1" ht="21" x14ac:dyDescent="0.25">
      <c r="A44" s="327" t="s">
        <v>370</v>
      </c>
      <c r="B44" s="327"/>
      <c r="C44" s="466"/>
      <c r="D44" s="172" t="s">
        <v>310</v>
      </c>
      <c r="E44" s="172"/>
      <c r="F44" s="176"/>
      <c r="G44" s="233"/>
      <c r="H44" s="456"/>
      <c r="I44" s="234"/>
      <c r="J44" s="242">
        <f>10729.5</f>
        <v>10729.5</v>
      </c>
      <c r="K44" s="173"/>
      <c r="L44" s="167">
        <f>SUM(I44:K44)</f>
        <v>10729.5</v>
      </c>
      <c r="M44" s="175">
        <f>J44</f>
        <v>10729.5</v>
      </c>
      <c r="N44" s="260" t="s">
        <v>25</v>
      </c>
      <c r="O44" s="168" t="s">
        <v>248</v>
      </c>
      <c r="P44" s="157" t="str">
        <f>IF(Y43="-","-",TEXT(Y43,"aaaa"))</f>
        <v>1900</v>
      </c>
      <c r="Q44" s="185">
        <f t="shared" si="11"/>
        <v>1</v>
      </c>
      <c r="R44" s="169" t="s">
        <v>23</v>
      </c>
      <c r="S44" s="168" t="s">
        <v>242</v>
      </c>
      <c r="T44" s="386">
        <f>Q43</f>
        <v>1</v>
      </c>
      <c r="U44" s="154">
        <f t="shared" ref="U44" si="13">U43+91</f>
        <v>45474</v>
      </c>
      <c r="V44" s="154"/>
      <c r="W44" s="154"/>
      <c r="X44" s="154">
        <f t="shared" si="12"/>
        <v>45565</v>
      </c>
      <c r="Y44" s="154"/>
      <c r="Z44" s="171"/>
    </row>
    <row r="45" spans="1:98" s="105" customFormat="1" ht="21" x14ac:dyDescent="0.25">
      <c r="A45" s="327" t="s">
        <v>371</v>
      </c>
      <c r="B45" s="327"/>
      <c r="C45" s="466"/>
      <c r="D45" s="172" t="s">
        <v>311</v>
      </c>
      <c r="E45" s="172"/>
      <c r="F45" s="176"/>
      <c r="G45" s="233"/>
      <c r="H45" s="233"/>
      <c r="I45" s="234"/>
      <c r="J45" s="242">
        <f>10729.5</f>
        <v>10729.5</v>
      </c>
      <c r="K45" s="173"/>
      <c r="L45" s="167">
        <f>SUM(I45:K45)</f>
        <v>10729.5</v>
      </c>
      <c r="M45" s="175">
        <v>0</v>
      </c>
      <c r="N45" s="260" t="s">
        <v>25</v>
      </c>
      <c r="O45" s="168" t="s">
        <v>249</v>
      </c>
      <c r="P45" s="157" t="s">
        <v>272</v>
      </c>
      <c r="Q45" s="185">
        <f t="shared" si="11"/>
        <v>0</v>
      </c>
      <c r="R45" s="251" t="s">
        <v>22</v>
      </c>
      <c r="S45" s="168" t="s">
        <v>242</v>
      </c>
      <c r="T45" s="386">
        <v>0.05</v>
      </c>
      <c r="U45" s="154">
        <f>U44+92</f>
        <v>45566</v>
      </c>
      <c r="V45" s="154"/>
      <c r="W45" s="154"/>
      <c r="X45" s="154">
        <f>U45+90</f>
        <v>45656</v>
      </c>
      <c r="Y45" s="154"/>
      <c r="Z45" s="171"/>
    </row>
    <row r="46" spans="1:98" s="105" customFormat="1" ht="21" x14ac:dyDescent="0.25">
      <c r="A46" s="256" t="s">
        <v>372</v>
      </c>
      <c r="B46" s="256"/>
      <c r="C46" s="466"/>
      <c r="D46" s="192" t="s">
        <v>277</v>
      </c>
      <c r="E46" s="192"/>
      <c r="F46" s="199"/>
      <c r="G46" s="192"/>
      <c r="H46" s="429"/>
      <c r="I46" s="194">
        <f t="shared" ref="I46:J46" si="14">SUM(I47:I48)</f>
        <v>0</v>
      </c>
      <c r="J46" s="194">
        <f t="shared" si="14"/>
        <v>0</v>
      </c>
      <c r="K46" s="194">
        <f>SUM(K47:K48)</f>
        <v>48176</v>
      </c>
      <c r="L46" s="174">
        <f>SUM(I46:K46)</f>
        <v>48176</v>
      </c>
      <c r="M46" s="195"/>
      <c r="N46" s="195"/>
      <c r="O46" s="210"/>
      <c r="P46" s="197"/>
      <c r="Q46" s="198"/>
      <c r="R46" s="200"/>
      <c r="S46" s="210"/>
      <c r="T46" s="392"/>
      <c r="U46" s="220"/>
      <c r="V46" s="154"/>
      <c r="W46" s="154"/>
      <c r="X46" s="154"/>
      <c r="Y46" s="154"/>
      <c r="Z46" s="202"/>
    </row>
    <row r="47" spans="1:98" s="105" customFormat="1" ht="21" x14ac:dyDescent="0.25">
      <c r="A47" s="327" t="s">
        <v>373</v>
      </c>
      <c r="B47" s="327"/>
      <c r="C47" s="466"/>
      <c r="D47" s="172" t="s">
        <v>276</v>
      </c>
      <c r="E47" s="172"/>
      <c r="F47" s="176"/>
      <c r="G47" s="172"/>
      <c r="H47" s="430"/>
      <c r="I47" s="173"/>
      <c r="J47" s="242"/>
      <c r="K47" s="173">
        <v>24088</v>
      </c>
      <c r="L47" s="167">
        <f t="shared" si="10"/>
        <v>24088</v>
      </c>
      <c r="M47" s="175">
        <v>0</v>
      </c>
      <c r="N47" s="260" t="s">
        <v>25</v>
      </c>
      <c r="O47" s="168" t="s">
        <v>245</v>
      </c>
      <c r="P47" s="157" t="s">
        <v>272</v>
      </c>
      <c r="Q47" s="185">
        <f t="shared" ref="Q47:Q48" si="15">M47/L47</f>
        <v>0</v>
      </c>
      <c r="R47" s="169" t="s">
        <v>35</v>
      </c>
      <c r="S47" s="168" t="s">
        <v>242</v>
      </c>
      <c r="T47" s="386">
        <f>Q46</f>
        <v>0</v>
      </c>
      <c r="U47" s="154">
        <v>45658</v>
      </c>
      <c r="V47" s="154"/>
      <c r="W47" s="154"/>
      <c r="X47" s="154">
        <v>45747</v>
      </c>
      <c r="Y47" s="154"/>
      <c r="Z47" s="171"/>
    </row>
    <row r="48" spans="1:98" s="105" customFormat="1" ht="21" x14ac:dyDescent="0.25">
      <c r="A48" s="327" t="s">
        <v>374</v>
      </c>
      <c r="B48" s="327"/>
      <c r="C48" s="466"/>
      <c r="D48" s="172" t="s">
        <v>278</v>
      </c>
      <c r="E48" s="172"/>
      <c r="F48" s="176"/>
      <c r="G48" s="172"/>
      <c r="H48" s="430"/>
      <c r="I48" s="173"/>
      <c r="J48" s="242"/>
      <c r="K48" s="173">
        <v>24088</v>
      </c>
      <c r="L48" s="167">
        <f t="shared" si="10"/>
        <v>24088</v>
      </c>
      <c r="M48" s="175">
        <v>0</v>
      </c>
      <c r="N48" s="260" t="s">
        <v>25</v>
      </c>
      <c r="O48" s="168" t="s">
        <v>246</v>
      </c>
      <c r="P48" s="157" t="s">
        <v>272</v>
      </c>
      <c r="Q48" s="185">
        <f t="shared" si="15"/>
        <v>0</v>
      </c>
      <c r="R48" s="169" t="s">
        <v>35</v>
      </c>
      <c r="S48" s="168" t="s">
        <v>242</v>
      </c>
      <c r="T48" s="386">
        <v>0</v>
      </c>
      <c r="U48" s="154">
        <v>45748</v>
      </c>
      <c r="V48" s="154"/>
      <c r="W48" s="154"/>
      <c r="X48" s="154">
        <v>45838</v>
      </c>
      <c r="Y48" s="154"/>
      <c r="Z48" s="171"/>
    </row>
    <row r="49" spans="1:97" s="115" customFormat="1" ht="21" x14ac:dyDescent="0.35">
      <c r="A49" s="324">
        <v>6</v>
      </c>
      <c r="B49" s="324"/>
      <c r="C49" s="466"/>
      <c r="D49" s="112" t="s">
        <v>27</v>
      </c>
      <c r="E49" s="112"/>
      <c r="F49" s="114"/>
      <c r="G49" s="112"/>
      <c r="H49" s="431"/>
      <c r="I49" s="113">
        <f>SUM(I50:I55)</f>
        <v>0</v>
      </c>
      <c r="J49" s="113">
        <f>SUM(J50:J55)</f>
        <v>35000</v>
      </c>
      <c r="K49" s="113">
        <f>SUM(K50:K55)</f>
        <v>35000</v>
      </c>
      <c r="L49" s="113">
        <f t="shared" ref="L49:L55" si="16">SUM(I49:K49)</f>
        <v>70000</v>
      </c>
      <c r="M49" s="113">
        <f>SUM(M50:M55)</f>
        <v>26250</v>
      </c>
      <c r="N49" s="229"/>
      <c r="O49" s="209"/>
      <c r="P49" s="189"/>
      <c r="Q49" s="187"/>
      <c r="R49" s="143"/>
      <c r="S49" s="124"/>
      <c r="T49" s="390"/>
      <c r="U49" s="219"/>
      <c r="V49" s="219"/>
      <c r="W49" s="219"/>
      <c r="X49" s="156"/>
      <c r="Y49" s="156"/>
      <c r="Z49" s="136"/>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row>
    <row r="50" spans="1:97" s="1" customFormat="1" ht="21" x14ac:dyDescent="0.35">
      <c r="A50" s="95" t="s">
        <v>306</v>
      </c>
      <c r="B50" s="95"/>
      <c r="C50" s="466"/>
      <c r="D50" s="94" t="s">
        <v>351</v>
      </c>
      <c r="E50" s="239"/>
      <c r="F50" s="93"/>
      <c r="G50" s="239"/>
      <c r="H50" s="454" t="s">
        <v>427</v>
      </c>
      <c r="I50" s="92">
        <v>0</v>
      </c>
      <c r="J50" s="242">
        <v>8750</v>
      </c>
      <c r="K50" s="92">
        <v>0</v>
      </c>
      <c r="L50" s="167">
        <f t="shared" si="16"/>
        <v>8750</v>
      </c>
      <c r="M50" s="175">
        <f>J50</f>
        <v>8750</v>
      </c>
      <c r="N50" s="260" t="s">
        <v>28</v>
      </c>
      <c r="O50" s="168" t="s">
        <v>244</v>
      </c>
      <c r="P50" s="157" t="s">
        <v>265</v>
      </c>
      <c r="Q50" s="185">
        <f t="shared" ref="Q50:Q55" si="17">M50/L50</f>
        <v>1</v>
      </c>
      <c r="R50" s="169" t="s">
        <v>23</v>
      </c>
      <c r="S50" s="123" t="s">
        <v>24</v>
      </c>
      <c r="T50" s="386">
        <v>0.75</v>
      </c>
      <c r="U50" s="154">
        <v>45292</v>
      </c>
      <c r="V50" s="154"/>
      <c r="W50" s="154"/>
      <c r="X50" s="154">
        <f>U51-1</f>
        <v>45382</v>
      </c>
      <c r="Y50" s="154"/>
      <c r="Z50" s="133"/>
    </row>
    <row r="51" spans="1:97" s="1" customFormat="1" ht="21" x14ac:dyDescent="0.35">
      <c r="A51" s="95" t="s">
        <v>307</v>
      </c>
      <c r="B51" s="95"/>
      <c r="C51" s="466"/>
      <c r="D51" s="94" t="s">
        <v>352</v>
      </c>
      <c r="E51" s="239"/>
      <c r="F51" s="93"/>
      <c r="G51" s="239"/>
      <c r="H51" s="455"/>
      <c r="I51" s="92">
        <v>0</v>
      </c>
      <c r="J51" s="242">
        <v>8750</v>
      </c>
      <c r="K51" s="92">
        <v>0</v>
      </c>
      <c r="L51" s="167">
        <f t="shared" si="16"/>
        <v>8750</v>
      </c>
      <c r="M51" s="175">
        <f>J51</f>
        <v>8750</v>
      </c>
      <c r="N51" s="260" t="s">
        <v>28</v>
      </c>
      <c r="O51" s="168" t="s">
        <v>247</v>
      </c>
      <c r="P51" s="157" t="s">
        <v>265</v>
      </c>
      <c r="Q51" s="185">
        <f t="shared" si="17"/>
        <v>1</v>
      </c>
      <c r="R51" s="169" t="s">
        <v>23</v>
      </c>
      <c r="S51" s="123" t="s">
        <v>24</v>
      </c>
      <c r="T51" s="386">
        <v>0.75</v>
      </c>
      <c r="U51" s="154">
        <f>U50+91</f>
        <v>45383</v>
      </c>
      <c r="V51" s="154"/>
      <c r="W51" s="154"/>
      <c r="X51" s="154">
        <f t="shared" ref="X51:X54" si="18">U52-1</f>
        <v>45473</v>
      </c>
      <c r="Y51" s="154"/>
      <c r="Z51" s="133"/>
    </row>
    <row r="52" spans="1:97" s="1" customFormat="1" ht="21" x14ac:dyDescent="0.35">
      <c r="A52" s="95" t="s">
        <v>375</v>
      </c>
      <c r="B52" s="95"/>
      <c r="C52" s="466"/>
      <c r="D52" s="94" t="s">
        <v>353</v>
      </c>
      <c r="E52" s="239"/>
      <c r="F52" s="93"/>
      <c r="G52" s="239"/>
      <c r="H52" s="456"/>
      <c r="I52" s="92">
        <v>0</v>
      </c>
      <c r="J52" s="242">
        <v>8750</v>
      </c>
      <c r="K52" s="92">
        <v>0</v>
      </c>
      <c r="L52" s="167">
        <f t="shared" si="16"/>
        <v>8750</v>
      </c>
      <c r="M52" s="175">
        <f>J52</f>
        <v>8750</v>
      </c>
      <c r="N52" s="260" t="s">
        <v>28</v>
      </c>
      <c r="O52" s="168" t="s">
        <v>248</v>
      </c>
      <c r="P52" s="157" t="s">
        <v>265</v>
      </c>
      <c r="Q52" s="185">
        <f t="shared" si="17"/>
        <v>1</v>
      </c>
      <c r="R52" s="169" t="s">
        <v>23</v>
      </c>
      <c r="S52" s="123" t="s">
        <v>24</v>
      </c>
      <c r="T52" s="386">
        <v>0.75</v>
      </c>
      <c r="U52" s="154">
        <f t="shared" ref="U52" si="19">U51+91</f>
        <v>45474</v>
      </c>
      <c r="V52" s="154"/>
      <c r="W52" s="154"/>
      <c r="X52" s="154">
        <f t="shared" si="18"/>
        <v>45565</v>
      </c>
      <c r="Y52" s="154"/>
      <c r="Z52" s="133"/>
    </row>
    <row r="53" spans="1:97" s="1" customFormat="1" ht="21" x14ac:dyDescent="0.35">
      <c r="A53" s="95" t="s">
        <v>376</v>
      </c>
      <c r="B53" s="95"/>
      <c r="C53" s="466"/>
      <c r="D53" s="94" t="s">
        <v>354</v>
      </c>
      <c r="E53" s="239"/>
      <c r="F53" s="93"/>
      <c r="G53" s="239"/>
      <c r="H53" s="432"/>
      <c r="I53" s="92">
        <v>0</v>
      </c>
      <c r="J53" s="242">
        <v>8750</v>
      </c>
      <c r="K53" s="92">
        <v>0</v>
      </c>
      <c r="L53" s="167">
        <f t="shared" si="16"/>
        <v>8750</v>
      </c>
      <c r="M53" s="175">
        <v>0</v>
      </c>
      <c r="N53" s="260" t="s">
        <v>28</v>
      </c>
      <c r="O53" s="168" t="s">
        <v>249</v>
      </c>
      <c r="P53" s="157" t="s">
        <v>265</v>
      </c>
      <c r="Q53" s="185">
        <f t="shared" si="17"/>
        <v>0</v>
      </c>
      <c r="R53" s="169" t="s">
        <v>35</v>
      </c>
      <c r="S53" s="123" t="s">
        <v>24</v>
      </c>
      <c r="T53" s="386">
        <v>0.75</v>
      </c>
      <c r="U53" s="154">
        <f>U52+92</f>
        <v>45566</v>
      </c>
      <c r="V53" s="154"/>
      <c r="W53" s="154"/>
      <c r="X53" s="154">
        <f t="shared" si="18"/>
        <v>45657</v>
      </c>
      <c r="Y53" s="154"/>
      <c r="Z53" s="133"/>
    </row>
    <row r="54" spans="1:97" s="1" customFormat="1" ht="21" x14ac:dyDescent="0.35">
      <c r="A54" s="95" t="s">
        <v>377</v>
      </c>
      <c r="B54" s="95"/>
      <c r="C54" s="466"/>
      <c r="D54" s="94" t="s">
        <v>355</v>
      </c>
      <c r="E54" s="239"/>
      <c r="F54" s="93"/>
      <c r="G54" s="239"/>
      <c r="H54" s="432"/>
      <c r="I54" s="92">
        <v>0</v>
      </c>
      <c r="J54" s="242">
        <v>0</v>
      </c>
      <c r="K54" s="242">
        <f>35000/2</f>
        <v>17500</v>
      </c>
      <c r="L54" s="167">
        <f t="shared" si="16"/>
        <v>17500</v>
      </c>
      <c r="M54" s="175">
        <v>0</v>
      </c>
      <c r="N54" s="260" t="s">
        <v>28</v>
      </c>
      <c r="O54" s="168" t="s">
        <v>245</v>
      </c>
      <c r="P54" s="157" t="s">
        <v>272</v>
      </c>
      <c r="Q54" s="185">
        <f t="shared" si="17"/>
        <v>0</v>
      </c>
      <c r="R54" s="169" t="s">
        <v>35</v>
      </c>
      <c r="S54" s="123" t="s">
        <v>24</v>
      </c>
      <c r="T54" s="386">
        <v>0.75</v>
      </c>
      <c r="U54" s="154">
        <f>U53+92</f>
        <v>45658</v>
      </c>
      <c r="V54" s="154"/>
      <c r="W54" s="154"/>
      <c r="X54" s="154">
        <f t="shared" si="18"/>
        <v>45747</v>
      </c>
      <c r="Y54" s="154"/>
      <c r="Z54" s="133"/>
    </row>
    <row r="55" spans="1:97" s="1" customFormat="1" ht="21" x14ac:dyDescent="0.35">
      <c r="A55" s="95" t="s">
        <v>378</v>
      </c>
      <c r="B55" s="95"/>
      <c r="C55" s="467"/>
      <c r="D55" s="94" t="s">
        <v>356</v>
      </c>
      <c r="E55" s="239"/>
      <c r="F55" s="93"/>
      <c r="G55" s="239"/>
      <c r="H55" s="432"/>
      <c r="I55" s="92">
        <v>0</v>
      </c>
      <c r="J55" s="242">
        <v>0</v>
      </c>
      <c r="K55" s="242">
        <f t="shared" ref="K55" si="20">35000/2</f>
        <v>17500</v>
      </c>
      <c r="L55" s="167">
        <f t="shared" si="16"/>
        <v>17500</v>
      </c>
      <c r="M55" s="175">
        <v>0</v>
      </c>
      <c r="N55" s="260" t="s">
        <v>28</v>
      </c>
      <c r="O55" s="168" t="s">
        <v>246</v>
      </c>
      <c r="P55" s="157" t="s">
        <v>272</v>
      </c>
      <c r="Q55" s="185">
        <f t="shared" si="17"/>
        <v>0</v>
      </c>
      <c r="R55" s="169" t="s">
        <v>35</v>
      </c>
      <c r="S55" s="123" t="s">
        <v>24</v>
      </c>
      <c r="T55" s="386">
        <v>0.75</v>
      </c>
      <c r="U55" s="154">
        <f>U54+90</f>
        <v>45748</v>
      </c>
      <c r="V55" s="154"/>
      <c r="W55" s="154"/>
      <c r="X55" s="154">
        <f>U55+90</f>
        <v>45838</v>
      </c>
      <c r="Y55" s="154"/>
      <c r="Z55" s="133"/>
    </row>
    <row r="56" spans="1:97" x14ac:dyDescent="0.35">
      <c r="L56" s="19"/>
      <c r="M56" s="14"/>
      <c r="R56" s="232"/>
      <c r="S56"/>
      <c r="T56" s="391"/>
    </row>
    <row r="57" spans="1:97" x14ac:dyDescent="0.35">
      <c r="I57" s="85">
        <f>I10+I40+I49</f>
        <v>174540</v>
      </c>
      <c r="J57" s="85">
        <f>J10+J40+J49</f>
        <v>951278</v>
      </c>
      <c r="K57" s="85">
        <f>K10+K40+K49</f>
        <v>453176</v>
      </c>
      <c r="L57" s="85">
        <f>SUM(I57:K57)</f>
        <v>1578994</v>
      </c>
      <c r="M57" s="164"/>
      <c r="R57" s="232"/>
      <c r="S57"/>
      <c r="T57" s="391"/>
    </row>
    <row r="58" spans="1:97" x14ac:dyDescent="0.35">
      <c r="M58" s="14"/>
      <c r="R58" s="232"/>
      <c r="S58"/>
      <c r="T58" s="393"/>
    </row>
    <row r="59" spans="1:97" x14ac:dyDescent="0.35">
      <c r="J59" s="19"/>
      <c r="M59" s="14"/>
      <c r="R59" s="232"/>
      <c r="S59"/>
      <c r="T59" s="391"/>
    </row>
    <row r="60" spans="1:97" x14ac:dyDescent="0.35">
      <c r="M60" s="14"/>
      <c r="R60" s="232"/>
      <c r="S60"/>
      <c r="T60" s="391"/>
    </row>
    <row r="61" spans="1:97" x14ac:dyDescent="0.35">
      <c r="M61" s="14"/>
      <c r="R61" s="232"/>
      <c r="S61"/>
      <c r="T61" s="391"/>
    </row>
    <row r="62" spans="1:97" x14ac:dyDescent="0.35">
      <c r="M62" s="14"/>
      <c r="R62" s="232"/>
      <c r="S62"/>
      <c r="T62" s="391"/>
    </row>
    <row r="63" spans="1:97" x14ac:dyDescent="0.35">
      <c r="M63" s="14"/>
      <c r="R63" s="232"/>
      <c r="S63"/>
      <c r="T63" s="391"/>
    </row>
    <row r="64" spans="1:97" x14ac:dyDescent="0.35">
      <c r="M64" s="14"/>
      <c r="R64" s="232"/>
      <c r="S64"/>
      <c r="T64" s="391"/>
    </row>
    <row r="65" spans="13:20" x14ac:dyDescent="0.35">
      <c r="M65" s="14"/>
      <c r="R65" s="232"/>
      <c r="S65"/>
      <c r="T65" s="391"/>
    </row>
    <row r="66" spans="13:20" x14ac:dyDescent="0.35">
      <c r="M66" s="14"/>
      <c r="R66" s="232"/>
      <c r="S66"/>
      <c r="T66" s="391"/>
    </row>
    <row r="67" spans="13:20" x14ac:dyDescent="0.35">
      <c r="M67" s="14"/>
      <c r="R67" s="232"/>
      <c r="S67"/>
      <c r="T67" s="391"/>
    </row>
    <row r="68" spans="13:20" x14ac:dyDescent="0.35">
      <c r="M68" s="14"/>
      <c r="R68" s="232"/>
      <c r="S68"/>
      <c r="T68" s="391"/>
    </row>
    <row r="69" spans="13:20" x14ac:dyDescent="0.35">
      <c r="M69" s="14"/>
      <c r="R69" s="232"/>
      <c r="S69"/>
      <c r="T69" s="391"/>
    </row>
    <row r="70" spans="13:20" x14ac:dyDescent="0.35">
      <c r="M70" s="14"/>
      <c r="R70" s="232"/>
      <c r="S70"/>
      <c r="T70" s="391"/>
    </row>
    <row r="71" spans="13:20" x14ac:dyDescent="0.35">
      <c r="M71" s="14"/>
      <c r="R71" s="232"/>
      <c r="S71"/>
      <c r="T71" s="391"/>
    </row>
    <row r="72" spans="13:20" x14ac:dyDescent="0.35">
      <c r="M72" s="14"/>
      <c r="R72" s="232"/>
      <c r="S72"/>
      <c r="T72" s="391"/>
    </row>
    <row r="73" spans="13:20" x14ac:dyDescent="0.35">
      <c r="M73" s="14"/>
      <c r="R73" s="232"/>
      <c r="S73"/>
      <c r="T73" s="391"/>
    </row>
    <row r="74" spans="13:20" x14ac:dyDescent="0.35">
      <c r="M74" s="14"/>
      <c r="R74" s="232"/>
      <c r="S74"/>
      <c r="T74" s="391"/>
    </row>
    <row r="75" spans="13:20" x14ac:dyDescent="0.35">
      <c r="M75" s="14"/>
      <c r="R75" s="232"/>
      <c r="S75"/>
      <c r="T75" s="391"/>
    </row>
    <row r="76" spans="13:20" x14ac:dyDescent="0.35">
      <c r="M76" s="14"/>
      <c r="R76" s="232"/>
      <c r="S76"/>
      <c r="T76" s="391"/>
    </row>
    <row r="77" spans="13:20" x14ac:dyDescent="0.35">
      <c r="M77" s="14"/>
      <c r="R77" s="232"/>
      <c r="S77"/>
      <c r="T77" s="391"/>
    </row>
    <row r="78" spans="13:20" x14ac:dyDescent="0.35">
      <c r="M78" s="14"/>
      <c r="R78" s="232"/>
      <c r="S78"/>
      <c r="T78" s="391"/>
    </row>
    <row r="79" spans="13:20" x14ac:dyDescent="0.35">
      <c r="M79" s="14"/>
      <c r="R79" s="232"/>
      <c r="S79"/>
      <c r="T79" s="391"/>
    </row>
    <row r="80" spans="13:20" x14ac:dyDescent="0.35">
      <c r="M80" s="14"/>
      <c r="R80" s="232"/>
      <c r="S80"/>
      <c r="T80" s="391"/>
    </row>
    <row r="81" spans="13:20" x14ac:dyDescent="0.35">
      <c r="M81" s="14"/>
      <c r="R81" s="232"/>
      <c r="S81"/>
      <c r="T81" s="391"/>
    </row>
    <row r="82" spans="13:20" x14ac:dyDescent="0.35">
      <c r="M82" s="14"/>
      <c r="R82" s="232"/>
      <c r="S82"/>
      <c r="T82" s="391"/>
    </row>
    <row r="83" spans="13:20" x14ac:dyDescent="0.35">
      <c r="M83" s="14"/>
      <c r="R83" s="232"/>
      <c r="S83"/>
      <c r="T83" s="391"/>
    </row>
    <row r="84" spans="13:20" x14ac:dyDescent="0.35">
      <c r="M84" s="14"/>
      <c r="R84" s="232"/>
      <c r="S84"/>
      <c r="T84" s="391"/>
    </row>
    <row r="85" spans="13:20" x14ac:dyDescent="0.35">
      <c r="M85" s="14"/>
      <c r="R85" s="232"/>
      <c r="S85"/>
      <c r="T85" s="391"/>
    </row>
    <row r="86" spans="13:20" x14ac:dyDescent="0.35">
      <c r="M86" s="14"/>
      <c r="R86" s="232"/>
      <c r="S86"/>
      <c r="T86" s="391"/>
    </row>
    <row r="87" spans="13:20" x14ac:dyDescent="0.35">
      <c r="M87" s="14"/>
      <c r="R87" s="232"/>
      <c r="S87"/>
      <c r="T87" s="391"/>
    </row>
    <row r="88" spans="13:20" x14ac:dyDescent="0.35">
      <c r="M88" s="14"/>
      <c r="R88" s="232"/>
      <c r="S88"/>
      <c r="T88" s="391"/>
    </row>
    <row r="89" spans="13:20" x14ac:dyDescent="0.35">
      <c r="M89" s="14"/>
      <c r="R89" s="232"/>
      <c r="S89"/>
      <c r="T89" s="391"/>
    </row>
    <row r="90" spans="13:20" x14ac:dyDescent="0.35">
      <c r="M90" s="14"/>
      <c r="R90" s="232"/>
      <c r="S90"/>
      <c r="T90" s="391"/>
    </row>
    <row r="91" spans="13:20" x14ac:dyDescent="0.35">
      <c r="M91" s="14"/>
      <c r="R91" s="232"/>
      <c r="S91"/>
      <c r="T91" s="391"/>
    </row>
    <row r="92" spans="13:20" x14ac:dyDescent="0.35">
      <c r="M92" s="14"/>
      <c r="R92" s="232"/>
      <c r="S92"/>
      <c r="T92" s="391"/>
    </row>
    <row r="93" spans="13:20" x14ac:dyDescent="0.35">
      <c r="M93" s="14"/>
      <c r="R93" s="232"/>
      <c r="S93"/>
      <c r="T93" s="391"/>
    </row>
    <row r="94" spans="13:20" x14ac:dyDescent="0.35">
      <c r="M94" s="14"/>
      <c r="R94" s="232"/>
      <c r="S94"/>
      <c r="T94" s="391"/>
    </row>
    <row r="95" spans="13:20" x14ac:dyDescent="0.35">
      <c r="M95" s="14"/>
      <c r="R95" s="232"/>
      <c r="S95"/>
      <c r="T95" s="391"/>
    </row>
    <row r="96" spans="13:20" x14ac:dyDescent="0.35">
      <c r="M96" s="14"/>
      <c r="R96" s="232"/>
      <c r="S96"/>
      <c r="T96" s="391"/>
    </row>
    <row r="97" spans="13:20" x14ac:dyDescent="0.35">
      <c r="M97" s="14"/>
      <c r="R97" s="232"/>
      <c r="S97"/>
      <c r="T97" s="391"/>
    </row>
    <row r="98" spans="13:20" x14ac:dyDescent="0.35">
      <c r="M98" s="14"/>
      <c r="R98" s="232"/>
      <c r="S98"/>
      <c r="T98" s="391"/>
    </row>
    <row r="99" spans="13:20" x14ac:dyDescent="0.35">
      <c r="M99" s="14"/>
      <c r="R99" s="232"/>
      <c r="S99"/>
      <c r="T99" s="391"/>
    </row>
    <row r="100" spans="13:20" x14ac:dyDescent="0.35">
      <c r="M100" s="14"/>
      <c r="R100" s="232"/>
      <c r="S100"/>
      <c r="T100" s="391"/>
    </row>
    <row r="101" spans="13:20" x14ac:dyDescent="0.35">
      <c r="M101" s="14"/>
      <c r="R101" s="232"/>
      <c r="S101"/>
      <c r="T101" s="391"/>
    </row>
    <row r="102" spans="13:20" x14ac:dyDescent="0.35">
      <c r="M102" s="14"/>
      <c r="R102" s="232"/>
      <c r="S102"/>
      <c r="T102" s="391"/>
    </row>
    <row r="103" spans="13:20" x14ac:dyDescent="0.35">
      <c r="M103" s="14"/>
      <c r="R103" s="232"/>
      <c r="S103"/>
      <c r="T103" s="391"/>
    </row>
    <row r="104" spans="13:20" x14ac:dyDescent="0.35">
      <c r="M104" s="14"/>
      <c r="R104" s="232"/>
      <c r="S104"/>
      <c r="T104" s="391"/>
    </row>
    <row r="105" spans="13:20" x14ac:dyDescent="0.35">
      <c r="M105" s="14"/>
      <c r="R105" s="232"/>
      <c r="S105"/>
      <c r="T105" s="391"/>
    </row>
    <row r="106" spans="13:20" x14ac:dyDescent="0.35">
      <c r="M106" s="14"/>
      <c r="R106" s="232"/>
      <c r="S106"/>
      <c r="T106" s="391"/>
    </row>
    <row r="107" spans="13:20" x14ac:dyDescent="0.35">
      <c r="M107" s="14"/>
      <c r="R107" s="232"/>
      <c r="S107"/>
      <c r="T107" s="391"/>
    </row>
    <row r="108" spans="13:20" x14ac:dyDescent="0.35">
      <c r="M108" s="14"/>
      <c r="R108" s="232"/>
      <c r="S108"/>
      <c r="T108" s="391"/>
    </row>
    <row r="109" spans="13:20" x14ac:dyDescent="0.35">
      <c r="M109" s="14"/>
      <c r="R109" s="232"/>
      <c r="S109"/>
      <c r="T109" s="391"/>
    </row>
    <row r="110" spans="13:20" x14ac:dyDescent="0.35">
      <c r="M110" s="14"/>
      <c r="R110" s="232"/>
      <c r="S110"/>
      <c r="T110" s="391"/>
    </row>
    <row r="111" spans="13:20" x14ac:dyDescent="0.35">
      <c r="M111" s="14"/>
      <c r="R111" s="232"/>
      <c r="S111"/>
      <c r="T111" s="391"/>
    </row>
    <row r="112" spans="13:20" x14ac:dyDescent="0.35">
      <c r="M112" s="14"/>
      <c r="R112" s="232"/>
      <c r="S112"/>
      <c r="T112" s="391"/>
    </row>
    <row r="113" spans="13:20" x14ac:dyDescent="0.35">
      <c r="M113" s="14"/>
      <c r="R113" s="232"/>
      <c r="S113"/>
      <c r="T113" s="391"/>
    </row>
    <row r="114" spans="13:20" x14ac:dyDescent="0.35">
      <c r="M114" s="14"/>
      <c r="R114" s="232"/>
      <c r="S114"/>
      <c r="T114" s="391"/>
    </row>
    <row r="115" spans="13:20" x14ac:dyDescent="0.35">
      <c r="M115" s="14"/>
      <c r="R115" s="232"/>
      <c r="S115"/>
      <c r="T115" s="391"/>
    </row>
    <row r="116" spans="13:20" x14ac:dyDescent="0.35">
      <c r="M116" s="14"/>
      <c r="R116" s="232"/>
      <c r="S116"/>
      <c r="T116" s="391"/>
    </row>
    <row r="117" spans="13:20" x14ac:dyDescent="0.35">
      <c r="M117" s="14"/>
      <c r="R117" s="232"/>
      <c r="S117"/>
      <c r="T117" s="391"/>
    </row>
    <row r="118" spans="13:20" x14ac:dyDescent="0.35">
      <c r="M118" s="14"/>
      <c r="R118" s="232"/>
      <c r="S118"/>
      <c r="T118" s="391"/>
    </row>
    <row r="119" spans="13:20" x14ac:dyDescent="0.35">
      <c r="M119" s="14"/>
      <c r="R119" s="232"/>
      <c r="S119"/>
      <c r="T119" s="391"/>
    </row>
    <row r="120" spans="13:20" x14ac:dyDescent="0.35">
      <c r="M120" s="14"/>
      <c r="R120" s="232"/>
      <c r="S120"/>
      <c r="T120" s="391"/>
    </row>
    <row r="121" spans="13:20" x14ac:dyDescent="0.35">
      <c r="M121" s="14"/>
      <c r="R121" s="232"/>
      <c r="S121"/>
      <c r="T121" s="391"/>
    </row>
    <row r="122" spans="13:20" x14ac:dyDescent="0.35">
      <c r="M122" s="14"/>
      <c r="R122" s="232"/>
      <c r="S122"/>
      <c r="T122" s="391"/>
    </row>
    <row r="123" spans="13:20" x14ac:dyDescent="0.35">
      <c r="M123" s="14"/>
      <c r="R123" s="232"/>
      <c r="S123"/>
      <c r="T123" s="391"/>
    </row>
    <row r="124" spans="13:20" x14ac:dyDescent="0.35">
      <c r="M124" s="14"/>
      <c r="R124" s="232"/>
      <c r="S124"/>
      <c r="T124" s="391"/>
    </row>
    <row r="125" spans="13:20" x14ac:dyDescent="0.35">
      <c r="M125" s="14"/>
      <c r="R125" s="232"/>
      <c r="S125"/>
      <c r="T125" s="391"/>
    </row>
    <row r="126" spans="13:20" x14ac:dyDescent="0.35">
      <c r="M126" s="14"/>
      <c r="R126" s="232"/>
      <c r="S126"/>
      <c r="T126" s="391"/>
    </row>
    <row r="127" spans="13:20" x14ac:dyDescent="0.35">
      <c r="M127" s="14"/>
      <c r="R127" s="232"/>
      <c r="S127"/>
      <c r="T127" s="391"/>
    </row>
    <row r="128" spans="13:20" x14ac:dyDescent="0.35">
      <c r="M128" s="14"/>
      <c r="R128" s="232"/>
      <c r="S128"/>
      <c r="T128" s="391"/>
    </row>
    <row r="129" spans="13:20" x14ac:dyDescent="0.35">
      <c r="M129" s="14"/>
      <c r="R129" s="232"/>
      <c r="S129"/>
      <c r="T129" s="391"/>
    </row>
    <row r="130" spans="13:20" x14ac:dyDescent="0.35">
      <c r="M130" s="14"/>
      <c r="R130" s="232"/>
      <c r="S130"/>
      <c r="T130" s="391"/>
    </row>
    <row r="131" spans="13:20" x14ac:dyDescent="0.35">
      <c r="M131" s="14"/>
      <c r="R131" s="232"/>
      <c r="S131"/>
      <c r="T131" s="391"/>
    </row>
    <row r="132" spans="13:20" x14ac:dyDescent="0.35">
      <c r="M132" s="14"/>
      <c r="R132" s="232"/>
      <c r="S132"/>
      <c r="T132" s="391"/>
    </row>
    <row r="133" spans="13:20" x14ac:dyDescent="0.35">
      <c r="M133" s="14"/>
      <c r="R133" s="232"/>
      <c r="S133"/>
      <c r="T133" s="391"/>
    </row>
    <row r="134" spans="13:20" x14ac:dyDescent="0.35">
      <c r="M134" s="14"/>
      <c r="R134" s="232"/>
      <c r="S134"/>
      <c r="T134" s="391"/>
    </row>
    <row r="135" spans="13:20" x14ac:dyDescent="0.35">
      <c r="M135" s="14"/>
      <c r="R135" s="232"/>
      <c r="S135"/>
      <c r="T135" s="391"/>
    </row>
    <row r="136" spans="13:20" x14ac:dyDescent="0.35">
      <c r="M136" s="14"/>
      <c r="R136" s="232"/>
      <c r="S136"/>
      <c r="T136" s="391"/>
    </row>
    <row r="137" spans="13:20" x14ac:dyDescent="0.35">
      <c r="M137" s="14"/>
      <c r="R137" s="232"/>
      <c r="S137"/>
      <c r="T137" s="391"/>
    </row>
    <row r="138" spans="13:20" x14ac:dyDescent="0.35">
      <c r="M138" s="14"/>
      <c r="R138" s="232"/>
      <c r="S138"/>
      <c r="T138" s="391"/>
    </row>
    <row r="139" spans="13:20" x14ac:dyDescent="0.35">
      <c r="M139" s="14"/>
      <c r="R139" s="232"/>
      <c r="S139"/>
      <c r="T139" s="391"/>
    </row>
    <row r="140" spans="13:20" x14ac:dyDescent="0.35">
      <c r="M140" s="14"/>
      <c r="R140" s="232"/>
      <c r="S140"/>
      <c r="T140" s="391"/>
    </row>
    <row r="141" spans="13:20" x14ac:dyDescent="0.35">
      <c r="M141" s="14"/>
      <c r="R141" s="232"/>
      <c r="S141"/>
      <c r="T141" s="391"/>
    </row>
    <row r="142" spans="13:20" x14ac:dyDescent="0.35">
      <c r="M142" s="14"/>
      <c r="R142" s="232"/>
      <c r="S142"/>
      <c r="T142" s="391"/>
    </row>
    <row r="143" spans="13:20" x14ac:dyDescent="0.35">
      <c r="M143" s="14"/>
      <c r="R143" s="232"/>
      <c r="S143"/>
      <c r="T143" s="391"/>
    </row>
    <row r="144" spans="13:20" x14ac:dyDescent="0.35">
      <c r="M144" s="14"/>
      <c r="R144" s="232"/>
      <c r="S144"/>
      <c r="T144" s="391"/>
    </row>
    <row r="145" spans="13:20" x14ac:dyDescent="0.35">
      <c r="M145" s="14"/>
      <c r="R145" s="232"/>
      <c r="S145"/>
      <c r="T145" s="391"/>
    </row>
    <row r="146" spans="13:20" x14ac:dyDescent="0.35">
      <c r="M146" s="14"/>
      <c r="R146" s="232"/>
      <c r="S146"/>
      <c r="T146" s="391"/>
    </row>
    <row r="147" spans="13:20" x14ac:dyDescent="0.35">
      <c r="M147" s="14"/>
      <c r="R147" s="232"/>
      <c r="S147"/>
      <c r="T147" s="391"/>
    </row>
    <row r="148" spans="13:20" x14ac:dyDescent="0.35">
      <c r="M148" s="14"/>
      <c r="R148" s="232"/>
      <c r="S148"/>
      <c r="T148" s="391"/>
    </row>
    <row r="149" spans="13:20" x14ac:dyDescent="0.35">
      <c r="M149" s="14"/>
      <c r="R149" s="232"/>
      <c r="S149"/>
      <c r="T149" s="391"/>
    </row>
    <row r="150" spans="13:20" x14ac:dyDescent="0.35">
      <c r="M150" s="14"/>
      <c r="R150" s="232"/>
      <c r="S150"/>
      <c r="T150" s="391"/>
    </row>
    <row r="151" spans="13:20" x14ac:dyDescent="0.35">
      <c r="M151" s="14"/>
      <c r="R151" s="232"/>
      <c r="S151"/>
      <c r="T151" s="391"/>
    </row>
    <row r="152" spans="13:20" x14ac:dyDescent="0.35">
      <c r="M152" s="14"/>
      <c r="R152" s="232"/>
      <c r="S152"/>
      <c r="T152" s="391"/>
    </row>
    <row r="153" spans="13:20" x14ac:dyDescent="0.35">
      <c r="M153" s="14"/>
      <c r="R153" s="232"/>
      <c r="S153"/>
      <c r="T153" s="391"/>
    </row>
    <row r="154" spans="13:20" x14ac:dyDescent="0.35">
      <c r="M154" s="14"/>
      <c r="R154" s="232"/>
      <c r="S154"/>
      <c r="T154" s="391"/>
    </row>
    <row r="155" spans="13:20" x14ac:dyDescent="0.35">
      <c r="M155" s="14"/>
      <c r="R155" s="232"/>
      <c r="S155"/>
      <c r="T155" s="391"/>
    </row>
    <row r="156" spans="13:20" x14ac:dyDescent="0.35">
      <c r="M156" s="14"/>
      <c r="R156" s="232"/>
      <c r="S156"/>
      <c r="T156" s="391"/>
    </row>
    <row r="157" spans="13:20" x14ac:dyDescent="0.35">
      <c r="M157" s="14"/>
      <c r="R157" s="232"/>
      <c r="S157"/>
      <c r="T157" s="391"/>
    </row>
    <row r="158" spans="13:20" x14ac:dyDescent="0.35">
      <c r="M158" s="14"/>
      <c r="R158" s="232"/>
      <c r="S158"/>
      <c r="T158" s="391"/>
    </row>
    <row r="159" spans="13:20" x14ac:dyDescent="0.35">
      <c r="M159" s="14"/>
      <c r="R159" s="232"/>
      <c r="S159"/>
      <c r="T159" s="391"/>
    </row>
    <row r="160" spans="13:20" x14ac:dyDescent="0.35">
      <c r="M160" s="14"/>
      <c r="R160" s="232"/>
      <c r="S160"/>
      <c r="T160" s="391"/>
    </row>
    <row r="161" spans="13:20" x14ac:dyDescent="0.35">
      <c r="M161" s="14"/>
      <c r="R161" s="232"/>
      <c r="S161"/>
      <c r="T161" s="391"/>
    </row>
    <row r="162" spans="13:20" x14ac:dyDescent="0.35">
      <c r="M162" s="14"/>
      <c r="R162" s="232"/>
      <c r="S162"/>
      <c r="T162" s="391"/>
    </row>
    <row r="163" spans="13:20" x14ac:dyDescent="0.35">
      <c r="M163" s="14"/>
      <c r="R163" s="232"/>
      <c r="S163"/>
      <c r="T163" s="391"/>
    </row>
    <row r="164" spans="13:20" x14ac:dyDescent="0.35">
      <c r="M164" s="14"/>
      <c r="R164" s="232"/>
      <c r="S164"/>
      <c r="T164" s="391"/>
    </row>
    <row r="165" spans="13:20" x14ac:dyDescent="0.35">
      <c r="M165" s="14"/>
      <c r="R165" s="232"/>
      <c r="S165"/>
      <c r="T165" s="391"/>
    </row>
    <row r="166" spans="13:20" x14ac:dyDescent="0.35">
      <c r="M166" s="14"/>
      <c r="R166" s="232"/>
      <c r="S166"/>
      <c r="T166" s="391"/>
    </row>
    <row r="167" spans="13:20" x14ac:dyDescent="0.35">
      <c r="M167" s="14"/>
      <c r="R167" s="232"/>
      <c r="S167"/>
      <c r="T167" s="391"/>
    </row>
    <row r="168" spans="13:20" x14ac:dyDescent="0.35">
      <c r="M168" s="14"/>
      <c r="R168" s="232"/>
      <c r="S168"/>
      <c r="T168" s="391"/>
    </row>
    <row r="169" spans="13:20" x14ac:dyDescent="0.35">
      <c r="M169" s="14"/>
      <c r="R169" s="232"/>
      <c r="S169"/>
      <c r="T169" s="391"/>
    </row>
    <row r="170" spans="13:20" x14ac:dyDescent="0.35">
      <c r="M170" s="14"/>
      <c r="R170" s="232"/>
      <c r="S170"/>
      <c r="T170" s="391"/>
    </row>
    <row r="171" spans="13:20" x14ac:dyDescent="0.35">
      <c r="M171" s="14"/>
      <c r="R171" s="232"/>
      <c r="S171"/>
      <c r="T171" s="391"/>
    </row>
    <row r="172" spans="13:20" x14ac:dyDescent="0.35">
      <c r="M172" s="14"/>
      <c r="R172" s="232"/>
      <c r="S172"/>
      <c r="T172" s="391"/>
    </row>
    <row r="173" spans="13:20" x14ac:dyDescent="0.35">
      <c r="M173" s="14"/>
      <c r="R173" s="232"/>
      <c r="S173"/>
      <c r="T173" s="391"/>
    </row>
    <row r="174" spans="13:20" x14ac:dyDescent="0.35">
      <c r="M174" s="14"/>
      <c r="R174" s="232"/>
      <c r="S174"/>
      <c r="T174" s="391"/>
    </row>
    <row r="175" spans="13:20" x14ac:dyDescent="0.35">
      <c r="M175" s="14"/>
      <c r="R175" s="232"/>
      <c r="S175"/>
      <c r="T175" s="391"/>
    </row>
    <row r="176" spans="13:20" x14ac:dyDescent="0.35">
      <c r="M176" s="14"/>
      <c r="R176" s="232"/>
      <c r="S176"/>
      <c r="T176" s="391"/>
    </row>
    <row r="177" spans="13:20" x14ac:dyDescent="0.35">
      <c r="M177" s="14"/>
      <c r="R177" s="232"/>
      <c r="S177"/>
      <c r="T177" s="391"/>
    </row>
    <row r="178" spans="13:20" x14ac:dyDescent="0.35">
      <c r="M178" s="14"/>
      <c r="R178" s="232"/>
      <c r="S178"/>
      <c r="T178" s="391"/>
    </row>
    <row r="179" spans="13:20" x14ac:dyDescent="0.35">
      <c r="M179" s="14"/>
      <c r="R179" s="232"/>
      <c r="S179"/>
      <c r="T179" s="391"/>
    </row>
    <row r="180" spans="13:20" x14ac:dyDescent="0.35">
      <c r="M180" s="14"/>
      <c r="R180" s="232"/>
      <c r="S180"/>
      <c r="T180" s="391"/>
    </row>
    <row r="181" spans="13:20" x14ac:dyDescent="0.35">
      <c r="M181" s="14"/>
      <c r="R181" s="232"/>
      <c r="S181"/>
      <c r="T181" s="391"/>
    </row>
    <row r="182" spans="13:20" x14ac:dyDescent="0.35">
      <c r="M182" s="14"/>
      <c r="R182" s="232"/>
      <c r="S182"/>
      <c r="T182" s="391"/>
    </row>
    <row r="183" spans="13:20" x14ac:dyDescent="0.35">
      <c r="M183" s="14"/>
      <c r="R183" s="232"/>
      <c r="S183"/>
      <c r="T183" s="391"/>
    </row>
    <row r="184" spans="13:20" x14ac:dyDescent="0.35">
      <c r="M184" s="14"/>
      <c r="R184" s="232"/>
      <c r="S184"/>
      <c r="T184" s="391"/>
    </row>
    <row r="185" spans="13:20" x14ac:dyDescent="0.35">
      <c r="M185" s="14"/>
      <c r="R185" s="232"/>
      <c r="S185"/>
      <c r="T185" s="391"/>
    </row>
    <row r="186" spans="13:20" x14ac:dyDescent="0.35">
      <c r="M186" s="14"/>
      <c r="R186" s="232"/>
      <c r="S186"/>
      <c r="T186" s="391"/>
    </row>
    <row r="187" spans="13:20" x14ac:dyDescent="0.35">
      <c r="M187" s="14"/>
      <c r="R187" s="232"/>
      <c r="S187"/>
      <c r="T187" s="391"/>
    </row>
    <row r="188" spans="13:20" x14ac:dyDescent="0.35">
      <c r="M188" s="14"/>
      <c r="R188" s="232"/>
      <c r="S188"/>
      <c r="T188" s="391"/>
    </row>
    <row r="189" spans="13:20" x14ac:dyDescent="0.35">
      <c r="M189" s="14"/>
      <c r="R189" s="232"/>
      <c r="S189"/>
      <c r="T189" s="391"/>
    </row>
    <row r="190" spans="13:20" x14ac:dyDescent="0.35">
      <c r="M190" s="14"/>
      <c r="R190" s="232"/>
      <c r="S190"/>
      <c r="T190" s="391"/>
    </row>
    <row r="191" spans="13:20" x14ac:dyDescent="0.35">
      <c r="M191" s="14"/>
      <c r="R191" s="232"/>
      <c r="S191"/>
      <c r="T191" s="391"/>
    </row>
    <row r="192" spans="13:20" x14ac:dyDescent="0.35">
      <c r="M192" s="14"/>
      <c r="R192" s="232"/>
      <c r="S192"/>
      <c r="T192" s="391"/>
    </row>
    <row r="193" spans="13:20" x14ac:dyDescent="0.35">
      <c r="M193" s="14"/>
      <c r="R193" s="232"/>
      <c r="S193"/>
      <c r="T193" s="391"/>
    </row>
    <row r="194" spans="13:20" x14ac:dyDescent="0.35">
      <c r="M194" s="14"/>
      <c r="R194" s="232"/>
      <c r="S194"/>
      <c r="T194" s="391"/>
    </row>
    <row r="195" spans="13:20" x14ac:dyDescent="0.35">
      <c r="M195" s="14"/>
      <c r="R195" s="232"/>
      <c r="S195"/>
      <c r="T195" s="391"/>
    </row>
    <row r="196" spans="13:20" x14ac:dyDescent="0.35">
      <c r="M196" s="14"/>
      <c r="R196" s="232"/>
      <c r="S196"/>
      <c r="T196" s="391"/>
    </row>
    <row r="197" spans="13:20" x14ac:dyDescent="0.35">
      <c r="M197" s="14"/>
      <c r="R197" s="232"/>
      <c r="S197"/>
      <c r="T197" s="391"/>
    </row>
    <row r="198" spans="13:20" x14ac:dyDescent="0.35">
      <c r="M198" s="14"/>
      <c r="R198" s="232"/>
      <c r="S198"/>
      <c r="T198" s="391"/>
    </row>
    <row r="199" spans="13:20" x14ac:dyDescent="0.35">
      <c r="M199" s="14"/>
      <c r="R199" s="232"/>
      <c r="S199"/>
      <c r="T199" s="391"/>
    </row>
    <row r="200" spans="13:20" x14ac:dyDescent="0.35">
      <c r="M200" s="14"/>
      <c r="R200" s="232"/>
      <c r="S200"/>
      <c r="T200" s="391"/>
    </row>
    <row r="201" spans="13:20" x14ac:dyDescent="0.35">
      <c r="M201" s="14"/>
      <c r="R201" s="232"/>
      <c r="S201"/>
      <c r="T201" s="391"/>
    </row>
    <row r="202" spans="13:20" x14ac:dyDescent="0.35">
      <c r="M202" s="14"/>
      <c r="R202" s="232"/>
      <c r="S202"/>
      <c r="T202" s="391"/>
    </row>
    <row r="203" spans="13:20" x14ac:dyDescent="0.35">
      <c r="M203" s="14"/>
      <c r="R203" s="232"/>
      <c r="S203"/>
      <c r="T203" s="391"/>
    </row>
    <row r="204" spans="13:20" x14ac:dyDescent="0.35">
      <c r="M204" s="14"/>
      <c r="R204" s="232"/>
      <c r="S204"/>
      <c r="T204" s="391"/>
    </row>
    <row r="205" spans="13:20" x14ac:dyDescent="0.35">
      <c r="M205" s="14"/>
      <c r="R205" s="232"/>
      <c r="S205"/>
      <c r="T205" s="391"/>
    </row>
    <row r="206" spans="13:20" x14ac:dyDescent="0.35">
      <c r="M206" s="14"/>
      <c r="R206" s="232"/>
      <c r="S206"/>
      <c r="T206" s="391"/>
    </row>
    <row r="207" spans="13:20" x14ac:dyDescent="0.35">
      <c r="M207" s="14"/>
      <c r="R207" s="232"/>
      <c r="S207"/>
      <c r="T207" s="391"/>
    </row>
    <row r="208" spans="13:20" x14ac:dyDescent="0.35">
      <c r="M208" s="14"/>
      <c r="R208" s="232"/>
      <c r="S208"/>
      <c r="T208" s="391"/>
    </row>
    <row r="209" spans="13:20" x14ac:dyDescent="0.35">
      <c r="M209" s="14"/>
      <c r="R209" s="232"/>
      <c r="S209"/>
      <c r="T209" s="391"/>
    </row>
    <row r="210" spans="13:20" x14ac:dyDescent="0.35">
      <c r="M210" s="14"/>
      <c r="R210" s="232"/>
      <c r="S210"/>
      <c r="T210" s="391"/>
    </row>
    <row r="211" spans="13:20" x14ac:dyDescent="0.35">
      <c r="M211" s="14"/>
      <c r="R211" s="232"/>
      <c r="S211"/>
      <c r="T211" s="391"/>
    </row>
    <row r="212" spans="13:20" x14ac:dyDescent="0.35">
      <c r="M212" s="14"/>
      <c r="R212" s="232"/>
      <c r="S212"/>
      <c r="T212" s="391"/>
    </row>
    <row r="213" spans="13:20" x14ac:dyDescent="0.35">
      <c r="M213" s="14"/>
      <c r="R213" s="232"/>
      <c r="S213"/>
      <c r="T213" s="391"/>
    </row>
    <row r="214" spans="13:20" x14ac:dyDescent="0.35">
      <c r="M214" s="14"/>
      <c r="R214" s="232"/>
      <c r="S214"/>
      <c r="T214" s="391"/>
    </row>
    <row r="215" spans="13:20" x14ac:dyDescent="0.35">
      <c r="M215" s="14"/>
      <c r="R215" s="232"/>
      <c r="S215"/>
      <c r="T215" s="391"/>
    </row>
    <row r="216" spans="13:20" x14ac:dyDescent="0.35">
      <c r="M216" s="14"/>
      <c r="R216" s="232"/>
      <c r="S216"/>
      <c r="T216" s="391"/>
    </row>
    <row r="217" spans="13:20" x14ac:dyDescent="0.35">
      <c r="M217" s="14"/>
      <c r="R217" s="232"/>
      <c r="S217"/>
      <c r="T217" s="391"/>
    </row>
    <row r="218" spans="13:20" x14ac:dyDescent="0.35">
      <c r="M218" s="14"/>
      <c r="R218" s="232"/>
      <c r="S218"/>
      <c r="T218" s="391"/>
    </row>
    <row r="219" spans="13:20" x14ac:dyDescent="0.35">
      <c r="M219" s="14"/>
      <c r="R219" s="232"/>
      <c r="S219"/>
      <c r="T219" s="391"/>
    </row>
    <row r="220" spans="13:20" x14ac:dyDescent="0.35">
      <c r="M220" s="14"/>
      <c r="R220" s="232"/>
      <c r="S220"/>
      <c r="T220" s="391"/>
    </row>
    <row r="221" spans="13:20" x14ac:dyDescent="0.35">
      <c r="M221" s="14"/>
      <c r="R221" s="232"/>
      <c r="S221"/>
      <c r="T221" s="391"/>
    </row>
    <row r="222" spans="13:20" x14ac:dyDescent="0.35">
      <c r="M222" s="14"/>
      <c r="R222" s="232"/>
      <c r="S222"/>
      <c r="T222" s="391"/>
    </row>
    <row r="223" spans="13:20" x14ac:dyDescent="0.35">
      <c r="M223" s="14"/>
      <c r="R223" s="232"/>
      <c r="S223"/>
      <c r="T223" s="391"/>
    </row>
    <row r="224" spans="13:20" x14ac:dyDescent="0.35">
      <c r="M224" s="14"/>
      <c r="R224" s="232"/>
      <c r="S224"/>
      <c r="T224" s="391"/>
    </row>
    <row r="225" spans="13:20" x14ac:dyDescent="0.35">
      <c r="M225" s="14"/>
      <c r="R225" s="232"/>
      <c r="S225"/>
      <c r="T225" s="391"/>
    </row>
    <row r="226" spans="13:20" x14ac:dyDescent="0.35">
      <c r="M226" s="14"/>
      <c r="R226" s="232"/>
      <c r="S226"/>
      <c r="T226" s="391"/>
    </row>
    <row r="227" spans="13:20" x14ac:dyDescent="0.35">
      <c r="M227" s="14"/>
      <c r="R227" s="232"/>
      <c r="S227"/>
      <c r="T227" s="391"/>
    </row>
    <row r="228" spans="13:20" x14ac:dyDescent="0.35">
      <c r="M228" s="14"/>
      <c r="R228" s="232"/>
      <c r="S228"/>
      <c r="T228" s="391"/>
    </row>
    <row r="229" spans="13:20" x14ac:dyDescent="0.35">
      <c r="M229" s="14"/>
      <c r="R229" s="232"/>
      <c r="S229"/>
      <c r="T229" s="391"/>
    </row>
    <row r="230" spans="13:20" x14ac:dyDescent="0.35">
      <c r="M230" s="14"/>
      <c r="R230" s="232"/>
      <c r="S230"/>
      <c r="T230" s="391"/>
    </row>
    <row r="231" spans="13:20" x14ac:dyDescent="0.35">
      <c r="M231" s="14"/>
      <c r="R231" s="232"/>
      <c r="S231"/>
      <c r="T231" s="391"/>
    </row>
    <row r="232" spans="13:20" x14ac:dyDescent="0.35">
      <c r="M232" s="14"/>
      <c r="R232" s="232"/>
      <c r="S232"/>
      <c r="T232" s="391"/>
    </row>
    <row r="233" spans="13:20" x14ac:dyDescent="0.35">
      <c r="M233" s="14"/>
      <c r="R233" s="232"/>
      <c r="S233"/>
      <c r="T233" s="391"/>
    </row>
    <row r="234" spans="13:20" x14ac:dyDescent="0.35">
      <c r="M234" s="14"/>
      <c r="R234" s="232"/>
      <c r="S234"/>
      <c r="T234" s="391"/>
    </row>
    <row r="235" spans="13:20" x14ac:dyDescent="0.35">
      <c r="M235" s="14"/>
      <c r="R235" s="232"/>
      <c r="S235"/>
      <c r="T235" s="391"/>
    </row>
    <row r="236" spans="13:20" x14ac:dyDescent="0.35">
      <c r="M236" s="14"/>
      <c r="R236" s="232"/>
      <c r="S236"/>
      <c r="T236" s="391"/>
    </row>
    <row r="237" spans="13:20" x14ac:dyDescent="0.35">
      <c r="M237" s="14"/>
      <c r="R237" s="232"/>
      <c r="S237"/>
      <c r="T237" s="391"/>
    </row>
    <row r="238" spans="13:20" x14ac:dyDescent="0.35">
      <c r="M238" s="14"/>
      <c r="R238" s="232"/>
      <c r="S238"/>
      <c r="T238" s="391"/>
    </row>
    <row r="239" spans="13:20" x14ac:dyDescent="0.35">
      <c r="M239" s="14"/>
      <c r="R239" s="232"/>
      <c r="S239"/>
      <c r="T239" s="391"/>
    </row>
    <row r="240" spans="13:20" x14ac:dyDescent="0.35">
      <c r="M240" s="14"/>
      <c r="R240" s="232"/>
      <c r="S240"/>
      <c r="T240" s="391"/>
    </row>
    <row r="241" spans="13:20" x14ac:dyDescent="0.35">
      <c r="M241" s="14"/>
      <c r="R241" s="232"/>
      <c r="S241"/>
      <c r="T241" s="391"/>
    </row>
    <row r="242" spans="13:20" x14ac:dyDescent="0.35">
      <c r="M242" s="14"/>
      <c r="R242" s="232"/>
      <c r="S242"/>
      <c r="T242" s="391"/>
    </row>
    <row r="243" spans="13:20" x14ac:dyDescent="0.35">
      <c r="M243" s="14"/>
      <c r="R243" s="232"/>
      <c r="S243"/>
      <c r="T243" s="391"/>
    </row>
    <row r="244" spans="13:20" x14ac:dyDescent="0.35">
      <c r="M244" s="14"/>
      <c r="R244" s="232"/>
      <c r="S244"/>
      <c r="T244" s="391"/>
    </row>
    <row r="245" spans="13:20" x14ac:dyDescent="0.35">
      <c r="M245" s="14"/>
      <c r="R245" s="232"/>
      <c r="S245"/>
      <c r="T245" s="391"/>
    </row>
    <row r="246" spans="13:20" x14ac:dyDescent="0.35">
      <c r="M246" s="14"/>
      <c r="R246" s="232"/>
      <c r="S246"/>
      <c r="T246" s="391"/>
    </row>
    <row r="247" spans="13:20" x14ac:dyDescent="0.35">
      <c r="M247" s="14"/>
      <c r="R247" s="232"/>
      <c r="S247"/>
      <c r="T247" s="391"/>
    </row>
    <row r="248" spans="13:20" x14ac:dyDescent="0.35">
      <c r="M248" s="14"/>
      <c r="R248" s="232"/>
      <c r="S248"/>
      <c r="T248" s="391"/>
    </row>
    <row r="249" spans="13:20" x14ac:dyDescent="0.35">
      <c r="M249" s="14"/>
      <c r="R249" s="232"/>
      <c r="S249"/>
      <c r="T249" s="391"/>
    </row>
    <row r="250" spans="13:20" x14ac:dyDescent="0.35">
      <c r="M250" s="14"/>
      <c r="R250" s="232"/>
      <c r="S250"/>
      <c r="T250" s="391"/>
    </row>
    <row r="251" spans="13:20" x14ac:dyDescent="0.35">
      <c r="M251" s="14"/>
      <c r="R251" s="232"/>
      <c r="S251"/>
      <c r="T251" s="391"/>
    </row>
    <row r="252" spans="13:20" x14ac:dyDescent="0.35">
      <c r="M252" s="14"/>
      <c r="R252" s="232"/>
      <c r="S252"/>
      <c r="T252" s="391"/>
    </row>
    <row r="253" spans="13:20" x14ac:dyDescent="0.35">
      <c r="M253" s="14"/>
      <c r="R253" s="232"/>
      <c r="S253"/>
      <c r="T253" s="391"/>
    </row>
    <row r="254" spans="13:20" x14ac:dyDescent="0.35">
      <c r="M254" s="14"/>
      <c r="R254" s="232"/>
      <c r="S254"/>
      <c r="T254" s="391"/>
    </row>
    <row r="255" spans="13:20" x14ac:dyDescent="0.35">
      <c r="M255" s="14"/>
      <c r="R255" s="232"/>
      <c r="S255"/>
      <c r="T255" s="391"/>
    </row>
    <row r="256" spans="13:20" x14ac:dyDescent="0.35">
      <c r="M256" s="14"/>
      <c r="R256" s="232"/>
      <c r="S256"/>
      <c r="T256" s="391"/>
    </row>
    <row r="257" spans="13:20" x14ac:dyDescent="0.35">
      <c r="M257" s="14"/>
      <c r="R257" s="232"/>
      <c r="S257"/>
      <c r="T257" s="391"/>
    </row>
    <row r="258" spans="13:20" x14ac:dyDescent="0.35">
      <c r="M258" s="14"/>
      <c r="R258" s="232"/>
      <c r="S258"/>
      <c r="T258" s="391"/>
    </row>
    <row r="259" spans="13:20" x14ac:dyDescent="0.35">
      <c r="M259" s="14"/>
      <c r="R259" s="232"/>
      <c r="S259"/>
      <c r="T259" s="391"/>
    </row>
    <row r="260" spans="13:20" x14ac:dyDescent="0.35">
      <c r="M260" s="14"/>
      <c r="R260" s="232"/>
      <c r="S260"/>
      <c r="T260" s="391"/>
    </row>
    <row r="261" spans="13:20" x14ac:dyDescent="0.35">
      <c r="M261" s="14"/>
      <c r="R261" s="232"/>
      <c r="S261"/>
      <c r="T261" s="391"/>
    </row>
    <row r="262" spans="13:20" x14ac:dyDescent="0.35">
      <c r="M262" s="14"/>
      <c r="R262" s="232"/>
      <c r="S262"/>
      <c r="T262" s="391"/>
    </row>
    <row r="263" spans="13:20" x14ac:dyDescent="0.35">
      <c r="M263" s="14"/>
      <c r="R263" s="232"/>
      <c r="S263"/>
      <c r="T263" s="391"/>
    </row>
    <row r="264" spans="13:20" x14ac:dyDescent="0.35">
      <c r="M264" s="14"/>
      <c r="R264" s="232"/>
      <c r="S264"/>
      <c r="T264" s="391"/>
    </row>
    <row r="265" spans="13:20" x14ac:dyDescent="0.35">
      <c r="M265" s="14"/>
      <c r="R265" s="232"/>
      <c r="S265"/>
      <c r="T265" s="391"/>
    </row>
    <row r="266" spans="13:20" x14ac:dyDescent="0.35">
      <c r="M266" s="14"/>
      <c r="R266" s="232"/>
      <c r="S266"/>
      <c r="T266" s="391"/>
    </row>
    <row r="267" spans="13:20" x14ac:dyDescent="0.35">
      <c r="M267" s="14"/>
      <c r="R267" s="232"/>
      <c r="S267"/>
      <c r="T267" s="391"/>
    </row>
    <row r="268" spans="13:20" x14ac:dyDescent="0.35">
      <c r="M268" s="14"/>
      <c r="R268" s="232"/>
      <c r="S268"/>
      <c r="T268" s="391"/>
    </row>
    <row r="269" spans="13:20" x14ac:dyDescent="0.35">
      <c r="M269" s="14"/>
      <c r="R269" s="232"/>
      <c r="S269"/>
      <c r="T269" s="391"/>
    </row>
    <row r="270" spans="13:20" x14ac:dyDescent="0.35">
      <c r="M270" s="14"/>
      <c r="R270" s="232"/>
      <c r="S270"/>
      <c r="T270" s="391"/>
    </row>
    <row r="271" spans="13:20" x14ac:dyDescent="0.35">
      <c r="M271" s="14"/>
      <c r="R271" s="232"/>
      <c r="S271"/>
      <c r="T271" s="391"/>
    </row>
    <row r="272" spans="13:20" x14ac:dyDescent="0.35">
      <c r="M272" s="14"/>
      <c r="R272" s="232"/>
      <c r="S272"/>
      <c r="T272" s="391"/>
    </row>
    <row r="273" spans="13:20" x14ac:dyDescent="0.35">
      <c r="M273" s="14"/>
      <c r="R273" s="232"/>
      <c r="S273"/>
      <c r="T273" s="391"/>
    </row>
    <row r="274" spans="13:20" x14ac:dyDescent="0.35">
      <c r="M274" s="14"/>
      <c r="R274" s="232"/>
      <c r="S274"/>
      <c r="T274" s="391"/>
    </row>
    <row r="275" spans="13:20" x14ac:dyDescent="0.35">
      <c r="M275" s="14"/>
      <c r="R275" s="232"/>
      <c r="S275"/>
      <c r="T275" s="391"/>
    </row>
    <row r="276" spans="13:20" x14ac:dyDescent="0.35">
      <c r="M276" s="14"/>
      <c r="R276" s="232"/>
      <c r="S276"/>
      <c r="T276" s="391"/>
    </row>
    <row r="277" spans="13:20" x14ac:dyDescent="0.35">
      <c r="M277" s="14"/>
      <c r="R277" s="232"/>
      <c r="S277"/>
      <c r="T277" s="391"/>
    </row>
    <row r="278" spans="13:20" x14ac:dyDescent="0.35">
      <c r="M278" s="14"/>
      <c r="R278" s="232"/>
      <c r="S278"/>
      <c r="T278" s="391"/>
    </row>
    <row r="279" spans="13:20" x14ac:dyDescent="0.35">
      <c r="M279" s="14"/>
      <c r="R279" s="232"/>
      <c r="S279"/>
      <c r="T279" s="391"/>
    </row>
    <row r="280" spans="13:20" x14ac:dyDescent="0.35">
      <c r="M280" s="14"/>
      <c r="R280" s="232"/>
      <c r="S280"/>
      <c r="T280" s="391"/>
    </row>
    <row r="281" spans="13:20" x14ac:dyDescent="0.35">
      <c r="M281" s="14"/>
      <c r="R281" s="232"/>
      <c r="S281"/>
      <c r="T281" s="391"/>
    </row>
    <row r="282" spans="13:20" x14ac:dyDescent="0.35">
      <c r="M282" s="14"/>
      <c r="R282" s="232"/>
      <c r="S282"/>
      <c r="T282" s="391"/>
    </row>
    <row r="283" spans="13:20" x14ac:dyDescent="0.35">
      <c r="M283" s="14"/>
      <c r="R283" s="232"/>
      <c r="S283"/>
      <c r="T283" s="391"/>
    </row>
    <row r="284" spans="13:20" x14ac:dyDescent="0.35">
      <c r="M284" s="14"/>
      <c r="R284" s="232"/>
      <c r="S284"/>
      <c r="T284" s="391"/>
    </row>
    <row r="285" spans="13:20" x14ac:dyDescent="0.35">
      <c r="M285" s="14"/>
      <c r="R285" s="232"/>
      <c r="S285"/>
      <c r="T285" s="391"/>
    </row>
    <row r="286" spans="13:20" x14ac:dyDescent="0.35">
      <c r="M286" s="14"/>
      <c r="R286" s="232"/>
      <c r="S286"/>
      <c r="T286" s="391"/>
    </row>
    <row r="287" spans="13:20" x14ac:dyDescent="0.35">
      <c r="M287" s="14"/>
      <c r="R287" s="232"/>
      <c r="S287"/>
      <c r="T287" s="391"/>
    </row>
    <row r="288" spans="13:20" x14ac:dyDescent="0.35">
      <c r="M288" s="14"/>
      <c r="R288" s="232"/>
      <c r="S288"/>
      <c r="T288" s="391"/>
    </row>
    <row r="289" spans="13:20" x14ac:dyDescent="0.35">
      <c r="M289" s="14"/>
      <c r="R289" s="232"/>
      <c r="S289"/>
      <c r="T289" s="391"/>
    </row>
    <row r="290" spans="13:20" x14ac:dyDescent="0.35">
      <c r="M290" s="14"/>
      <c r="R290" s="232"/>
      <c r="S290"/>
      <c r="T290" s="391"/>
    </row>
    <row r="291" spans="13:20" x14ac:dyDescent="0.35">
      <c r="M291" s="14"/>
      <c r="R291" s="232"/>
      <c r="S291"/>
      <c r="T291" s="391"/>
    </row>
    <row r="292" spans="13:20" x14ac:dyDescent="0.35">
      <c r="M292" s="14"/>
      <c r="R292" s="232"/>
      <c r="S292"/>
      <c r="T292" s="391"/>
    </row>
    <row r="293" spans="13:20" x14ac:dyDescent="0.35">
      <c r="M293" s="14"/>
      <c r="R293" s="232"/>
      <c r="S293"/>
      <c r="T293" s="391"/>
    </row>
    <row r="294" spans="13:20" x14ac:dyDescent="0.35">
      <c r="M294" s="14"/>
      <c r="R294" s="232"/>
      <c r="S294"/>
      <c r="T294" s="391"/>
    </row>
    <row r="295" spans="13:20" x14ac:dyDescent="0.35">
      <c r="M295" s="14"/>
      <c r="R295" s="232"/>
      <c r="S295"/>
      <c r="T295" s="391"/>
    </row>
    <row r="296" spans="13:20" x14ac:dyDescent="0.35">
      <c r="M296" s="14"/>
      <c r="R296" s="232"/>
      <c r="S296"/>
      <c r="T296" s="391"/>
    </row>
    <row r="297" spans="13:20" x14ac:dyDescent="0.35">
      <c r="M297" s="14"/>
      <c r="R297" s="232"/>
      <c r="S297"/>
      <c r="T297" s="391"/>
    </row>
    <row r="298" spans="13:20" x14ac:dyDescent="0.35">
      <c r="M298" s="14"/>
      <c r="R298" s="232"/>
      <c r="S298"/>
      <c r="T298" s="391"/>
    </row>
    <row r="299" spans="13:20" x14ac:dyDescent="0.35">
      <c r="M299" s="14"/>
      <c r="R299" s="232"/>
      <c r="S299"/>
      <c r="T299" s="391"/>
    </row>
    <row r="300" spans="13:20" x14ac:dyDescent="0.35">
      <c r="M300" s="14"/>
      <c r="R300" s="232"/>
      <c r="S300"/>
      <c r="T300" s="391"/>
    </row>
    <row r="301" spans="13:20" x14ac:dyDescent="0.35">
      <c r="M301" s="14"/>
      <c r="R301" s="232"/>
      <c r="S301"/>
      <c r="T301" s="391"/>
    </row>
    <row r="302" spans="13:20" x14ac:dyDescent="0.35">
      <c r="M302" s="14"/>
      <c r="R302" s="232"/>
      <c r="S302"/>
      <c r="T302" s="391"/>
    </row>
    <row r="303" spans="13:20" x14ac:dyDescent="0.35">
      <c r="M303" s="14"/>
      <c r="R303" s="232"/>
      <c r="S303"/>
      <c r="T303" s="391"/>
    </row>
    <row r="304" spans="13:20" x14ac:dyDescent="0.35">
      <c r="M304" s="14"/>
      <c r="R304" s="232"/>
      <c r="S304"/>
      <c r="T304" s="391"/>
    </row>
    <row r="305" spans="13:20" x14ac:dyDescent="0.35">
      <c r="M305" s="14"/>
      <c r="R305" s="232"/>
      <c r="S305"/>
      <c r="T305" s="391"/>
    </row>
    <row r="306" spans="13:20" x14ac:dyDescent="0.35">
      <c r="M306" s="14"/>
      <c r="R306" s="232"/>
      <c r="S306"/>
      <c r="T306" s="391"/>
    </row>
    <row r="307" spans="13:20" x14ac:dyDescent="0.35">
      <c r="M307" s="14"/>
      <c r="R307" s="232"/>
      <c r="S307"/>
      <c r="T307" s="391"/>
    </row>
    <row r="308" spans="13:20" x14ac:dyDescent="0.35">
      <c r="M308" s="14"/>
      <c r="R308" s="232"/>
      <c r="S308"/>
      <c r="T308" s="391"/>
    </row>
    <row r="309" spans="13:20" x14ac:dyDescent="0.35">
      <c r="M309" s="14"/>
      <c r="R309" s="232"/>
      <c r="S309"/>
      <c r="T309" s="391"/>
    </row>
    <row r="310" spans="13:20" x14ac:dyDescent="0.35">
      <c r="M310" s="14"/>
      <c r="R310" s="232"/>
      <c r="S310"/>
      <c r="T310" s="391"/>
    </row>
    <row r="311" spans="13:20" x14ac:dyDescent="0.35">
      <c r="M311" s="14"/>
      <c r="R311" s="232"/>
      <c r="S311"/>
      <c r="T311" s="391"/>
    </row>
    <row r="312" spans="13:20" x14ac:dyDescent="0.35">
      <c r="M312" s="14"/>
      <c r="R312" s="232"/>
      <c r="S312"/>
      <c r="T312" s="391"/>
    </row>
    <row r="313" spans="13:20" x14ac:dyDescent="0.35">
      <c r="M313" s="14"/>
      <c r="R313" s="232"/>
      <c r="S313"/>
      <c r="T313" s="391"/>
    </row>
    <row r="314" spans="13:20" x14ac:dyDescent="0.35">
      <c r="M314" s="14"/>
      <c r="R314" s="232"/>
      <c r="S314"/>
      <c r="T314" s="391"/>
    </row>
    <row r="315" spans="13:20" x14ac:dyDescent="0.35">
      <c r="M315" s="14"/>
      <c r="R315" s="232"/>
      <c r="S315"/>
      <c r="T315" s="391"/>
    </row>
    <row r="316" spans="13:20" x14ac:dyDescent="0.35">
      <c r="M316" s="14"/>
      <c r="R316" s="232"/>
      <c r="S316"/>
      <c r="T316" s="391"/>
    </row>
    <row r="317" spans="13:20" x14ac:dyDescent="0.35">
      <c r="M317" s="14"/>
      <c r="R317" s="232"/>
      <c r="S317"/>
      <c r="T317" s="391"/>
    </row>
    <row r="318" spans="13:20" x14ac:dyDescent="0.35">
      <c r="M318" s="14"/>
      <c r="R318" s="232"/>
      <c r="S318"/>
      <c r="T318" s="391"/>
    </row>
    <row r="319" spans="13:20" x14ac:dyDescent="0.35">
      <c r="M319" s="14"/>
      <c r="R319" s="232"/>
      <c r="S319"/>
      <c r="T319" s="391"/>
    </row>
    <row r="320" spans="13:20" x14ac:dyDescent="0.35">
      <c r="M320" s="14"/>
      <c r="R320" s="232"/>
      <c r="S320"/>
      <c r="T320" s="391"/>
    </row>
    <row r="321" spans="13:20" x14ac:dyDescent="0.35">
      <c r="M321" s="14"/>
      <c r="R321" s="232"/>
      <c r="S321"/>
      <c r="T321" s="391"/>
    </row>
    <row r="322" spans="13:20" x14ac:dyDescent="0.35">
      <c r="M322" s="14"/>
      <c r="R322" s="232"/>
      <c r="S322"/>
      <c r="T322" s="391"/>
    </row>
    <row r="323" spans="13:20" x14ac:dyDescent="0.35">
      <c r="M323" s="14"/>
      <c r="R323" s="232"/>
      <c r="S323"/>
      <c r="T323" s="391"/>
    </row>
    <row r="324" spans="13:20" x14ac:dyDescent="0.35">
      <c r="M324" s="14"/>
      <c r="R324" s="232"/>
      <c r="S324"/>
      <c r="T324" s="391"/>
    </row>
    <row r="325" spans="13:20" x14ac:dyDescent="0.35">
      <c r="M325" s="14"/>
      <c r="R325" s="232"/>
      <c r="S325"/>
      <c r="T325" s="391"/>
    </row>
    <row r="326" spans="13:20" x14ac:dyDescent="0.35">
      <c r="M326" s="14"/>
      <c r="R326" s="232"/>
      <c r="S326"/>
      <c r="T326" s="391"/>
    </row>
    <row r="327" spans="13:20" x14ac:dyDescent="0.35">
      <c r="M327" s="14"/>
      <c r="R327" s="232"/>
      <c r="S327"/>
      <c r="T327" s="391"/>
    </row>
    <row r="328" spans="13:20" x14ac:dyDescent="0.35">
      <c r="M328" s="14"/>
      <c r="R328" s="232"/>
      <c r="S328"/>
      <c r="T328" s="391"/>
    </row>
    <row r="329" spans="13:20" x14ac:dyDescent="0.35">
      <c r="M329" s="14"/>
      <c r="R329" s="232"/>
      <c r="S329"/>
      <c r="T329" s="391"/>
    </row>
    <row r="330" spans="13:20" x14ac:dyDescent="0.35">
      <c r="M330" s="14"/>
      <c r="R330" s="232"/>
      <c r="S330"/>
      <c r="T330" s="391"/>
    </row>
    <row r="331" spans="13:20" x14ac:dyDescent="0.35">
      <c r="M331" s="14"/>
      <c r="R331" s="232"/>
      <c r="S331"/>
      <c r="T331" s="391"/>
    </row>
    <row r="332" spans="13:20" x14ac:dyDescent="0.35">
      <c r="M332" s="14"/>
      <c r="R332" s="232"/>
      <c r="S332"/>
      <c r="T332" s="391"/>
    </row>
    <row r="333" spans="13:20" x14ac:dyDescent="0.35">
      <c r="M333" s="14"/>
      <c r="R333" s="232"/>
      <c r="S333"/>
      <c r="T333" s="391"/>
    </row>
    <row r="334" spans="13:20" x14ac:dyDescent="0.35">
      <c r="M334" s="14"/>
      <c r="R334" s="232"/>
      <c r="S334"/>
      <c r="T334" s="391"/>
    </row>
    <row r="335" spans="13:20" x14ac:dyDescent="0.35">
      <c r="M335" s="14"/>
      <c r="R335" s="232"/>
      <c r="S335"/>
      <c r="T335" s="391"/>
    </row>
    <row r="336" spans="13:20" x14ac:dyDescent="0.35">
      <c r="M336" s="14"/>
      <c r="R336" s="232"/>
      <c r="S336"/>
      <c r="T336" s="391"/>
    </row>
    <row r="337" spans="13:20" x14ac:dyDescent="0.35">
      <c r="M337" s="14"/>
      <c r="R337" s="232"/>
      <c r="S337"/>
      <c r="T337" s="391"/>
    </row>
    <row r="338" spans="13:20" x14ac:dyDescent="0.35">
      <c r="M338" s="14"/>
      <c r="R338" s="232"/>
      <c r="S338"/>
      <c r="T338" s="391"/>
    </row>
    <row r="339" spans="13:20" x14ac:dyDescent="0.35">
      <c r="M339" s="14"/>
      <c r="R339" s="232"/>
      <c r="S339"/>
      <c r="T339" s="391"/>
    </row>
    <row r="340" spans="13:20" x14ac:dyDescent="0.35">
      <c r="M340" s="14"/>
      <c r="R340" s="232"/>
      <c r="S340"/>
      <c r="T340" s="391"/>
    </row>
    <row r="341" spans="13:20" x14ac:dyDescent="0.35">
      <c r="M341" s="14"/>
      <c r="R341" s="232"/>
      <c r="S341"/>
      <c r="T341" s="391"/>
    </row>
    <row r="342" spans="13:20" x14ac:dyDescent="0.35">
      <c r="M342" s="14"/>
      <c r="R342" s="232"/>
      <c r="S342"/>
      <c r="T342" s="391"/>
    </row>
    <row r="343" spans="13:20" x14ac:dyDescent="0.35">
      <c r="M343" s="14"/>
      <c r="R343" s="232"/>
      <c r="S343"/>
      <c r="T343" s="391"/>
    </row>
    <row r="344" spans="13:20" x14ac:dyDescent="0.35">
      <c r="M344" s="14"/>
      <c r="R344" s="232"/>
      <c r="S344"/>
      <c r="T344" s="391"/>
    </row>
    <row r="345" spans="13:20" x14ac:dyDescent="0.35">
      <c r="M345" s="14"/>
      <c r="R345" s="232"/>
      <c r="S345"/>
      <c r="T345" s="391"/>
    </row>
    <row r="346" spans="13:20" x14ac:dyDescent="0.35">
      <c r="M346" s="14"/>
      <c r="R346" s="232"/>
      <c r="S346"/>
      <c r="T346" s="391"/>
    </row>
    <row r="347" spans="13:20" x14ac:dyDescent="0.35">
      <c r="M347" s="14"/>
      <c r="R347" s="232"/>
      <c r="S347"/>
      <c r="T347" s="391"/>
    </row>
    <row r="348" spans="13:20" x14ac:dyDescent="0.35">
      <c r="M348" s="14"/>
      <c r="R348" s="232"/>
      <c r="S348"/>
      <c r="T348" s="391"/>
    </row>
    <row r="349" spans="13:20" x14ac:dyDescent="0.35">
      <c r="M349" s="14"/>
      <c r="R349" s="232"/>
      <c r="S349"/>
      <c r="T349" s="391"/>
    </row>
    <row r="350" spans="13:20" x14ac:dyDescent="0.35">
      <c r="M350" s="14"/>
      <c r="R350" s="232"/>
      <c r="S350"/>
      <c r="T350" s="391"/>
    </row>
    <row r="351" spans="13:20" x14ac:dyDescent="0.35">
      <c r="M351" s="14"/>
      <c r="R351" s="232"/>
      <c r="S351"/>
      <c r="T351" s="391"/>
    </row>
    <row r="352" spans="13:20" x14ac:dyDescent="0.35">
      <c r="M352" s="14"/>
      <c r="R352" s="232"/>
      <c r="S352"/>
      <c r="T352" s="391"/>
    </row>
    <row r="353" spans="13:20" x14ac:dyDescent="0.35">
      <c r="M353" s="14"/>
      <c r="R353" s="232"/>
      <c r="S353"/>
      <c r="T353" s="391"/>
    </row>
    <row r="354" spans="13:20" x14ac:dyDescent="0.35">
      <c r="M354" s="14"/>
      <c r="R354" s="232"/>
      <c r="S354"/>
      <c r="T354" s="391"/>
    </row>
    <row r="355" spans="13:20" x14ac:dyDescent="0.35">
      <c r="M355" s="14"/>
      <c r="R355" s="232"/>
      <c r="S355"/>
      <c r="T355" s="391"/>
    </row>
    <row r="356" spans="13:20" x14ac:dyDescent="0.35">
      <c r="M356" s="14"/>
      <c r="R356" s="232"/>
      <c r="S356"/>
      <c r="T356" s="391"/>
    </row>
    <row r="357" spans="13:20" x14ac:dyDescent="0.35">
      <c r="M357" s="14"/>
      <c r="R357" s="232"/>
      <c r="S357"/>
      <c r="T357" s="391"/>
    </row>
    <row r="358" spans="13:20" x14ac:dyDescent="0.35">
      <c r="M358" s="14"/>
      <c r="R358" s="232"/>
      <c r="S358"/>
      <c r="T358" s="391"/>
    </row>
    <row r="359" spans="13:20" x14ac:dyDescent="0.35">
      <c r="M359" s="14"/>
      <c r="R359" s="232"/>
      <c r="S359"/>
      <c r="T359" s="391"/>
    </row>
    <row r="360" spans="13:20" x14ac:dyDescent="0.35">
      <c r="M360" s="14"/>
      <c r="R360" s="232"/>
      <c r="S360"/>
      <c r="T360" s="391"/>
    </row>
    <row r="361" spans="13:20" x14ac:dyDescent="0.35">
      <c r="M361" s="14"/>
      <c r="R361" s="232"/>
      <c r="S361"/>
      <c r="T361" s="391"/>
    </row>
    <row r="362" spans="13:20" x14ac:dyDescent="0.35">
      <c r="M362" s="14"/>
      <c r="R362" s="232"/>
      <c r="S362"/>
      <c r="T362" s="391"/>
    </row>
    <row r="363" spans="13:20" x14ac:dyDescent="0.35">
      <c r="M363" s="14"/>
      <c r="R363" s="232"/>
      <c r="S363"/>
      <c r="T363" s="391"/>
    </row>
    <row r="364" spans="13:20" x14ac:dyDescent="0.35">
      <c r="M364" s="14"/>
      <c r="R364" s="232"/>
      <c r="S364"/>
      <c r="T364" s="391"/>
    </row>
    <row r="365" spans="13:20" x14ac:dyDescent="0.35">
      <c r="M365" s="14"/>
      <c r="R365" s="232"/>
      <c r="S365"/>
      <c r="T365" s="391"/>
    </row>
    <row r="366" spans="13:20" x14ac:dyDescent="0.35">
      <c r="M366" s="14"/>
      <c r="R366" s="232"/>
      <c r="S366"/>
      <c r="T366" s="391"/>
    </row>
    <row r="367" spans="13:20" x14ac:dyDescent="0.35">
      <c r="M367" s="14"/>
      <c r="R367" s="232"/>
      <c r="S367"/>
      <c r="T367" s="391"/>
    </row>
    <row r="368" spans="13:20" x14ac:dyDescent="0.35">
      <c r="M368" s="14"/>
      <c r="R368" s="232"/>
      <c r="S368"/>
      <c r="T368" s="391"/>
    </row>
    <row r="369" spans="13:20" x14ac:dyDescent="0.35">
      <c r="M369" s="14"/>
      <c r="R369" s="232"/>
      <c r="S369"/>
      <c r="T369" s="391"/>
    </row>
    <row r="370" spans="13:20" x14ac:dyDescent="0.35">
      <c r="M370" s="14"/>
      <c r="R370" s="232"/>
      <c r="S370"/>
      <c r="T370" s="391"/>
    </row>
    <row r="371" spans="13:20" x14ac:dyDescent="0.35">
      <c r="M371" s="14"/>
      <c r="R371" s="232"/>
      <c r="S371"/>
      <c r="T371" s="391"/>
    </row>
    <row r="372" spans="13:20" x14ac:dyDescent="0.35">
      <c r="M372" s="14"/>
      <c r="R372" s="232"/>
      <c r="S372"/>
      <c r="T372" s="391"/>
    </row>
    <row r="373" spans="13:20" x14ac:dyDescent="0.35">
      <c r="M373" s="14"/>
      <c r="R373" s="232"/>
      <c r="S373"/>
      <c r="T373" s="391"/>
    </row>
    <row r="374" spans="13:20" x14ac:dyDescent="0.35">
      <c r="M374" s="14"/>
      <c r="R374" s="232"/>
      <c r="S374"/>
      <c r="T374" s="391"/>
    </row>
    <row r="375" spans="13:20" x14ac:dyDescent="0.35">
      <c r="M375" s="14"/>
      <c r="R375" s="232"/>
      <c r="S375"/>
      <c r="T375" s="391"/>
    </row>
    <row r="376" spans="13:20" x14ac:dyDescent="0.35">
      <c r="M376" s="14"/>
      <c r="R376" s="232"/>
      <c r="S376"/>
      <c r="T376" s="391"/>
    </row>
    <row r="377" spans="13:20" x14ac:dyDescent="0.35">
      <c r="M377" s="14"/>
      <c r="R377" s="232"/>
      <c r="S377"/>
      <c r="T377" s="391"/>
    </row>
    <row r="378" spans="13:20" x14ac:dyDescent="0.35">
      <c r="M378" s="14"/>
      <c r="R378" s="232"/>
      <c r="S378"/>
      <c r="T378" s="391"/>
    </row>
    <row r="379" spans="13:20" x14ac:dyDescent="0.35">
      <c r="M379" s="14"/>
      <c r="R379" s="232"/>
      <c r="S379"/>
      <c r="T379" s="391"/>
    </row>
    <row r="380" spans="13:20" x14ac:dyDescent="0.35">
      <c r="M380" s="14"/>
      <c r="R380" s="232"/>
      <c r="S380"/>
      <c r="T380" s="391"/>
    </row>
    <row r="381" spans="13:20" x14ac:dyDescent="0.35">
      <c r="M381" s="14"/>
      <c r="R381" s="232"/>
      <c r="S381"/>
      <c r="T381" s="391"/>
    </row>
    <row r="382" spans="13:20" x14ac:dyDescent="0.35">
      <c r="M382" s="14"/>
      <c r="R382" s="232"/>
      <c r="S382"/>
      <c r="T382" s="391"/>
    </row>
    <row r="383" spans="13:20" x14ac:dyDescent="0.35">
      <c r="M383" s="14"/>
      <c r="R383" s="232"/>
      <c r="S383"/>
      <c r="T383" s="391"/>
    </row>
    <row r="384" spans="13:20" x14ac:dyDescent="0.35">
      <c r="M384" s="14"/>
      <c r="R384" s="232"/>
      <c r="S384"/>
      <c r="T384" s="391"/>
    </row>
    <row r="385" spans="13:20" x14ac:dyDescent="0.35">
      <c r="M385" s="14"/>
      <c r="R385" s="232"/>
      <c r="S385"/>
      <c r="T385" s="391"/>
    </row>
    <row r="386" spans="13:20" x14ac:dyDescent="0.35">
      <c r="M386" s="14"/>
      <c r="R386" s="232"/>
      <c r="S386"/>
      <c r="T386" s="391"/>
    </row>
    <row r="387" spans="13:20" x14ac:dyDescent="0.35">
      <c r="M387" s="14"/>
      <c r="R387" s="232"/>
      <c r="S387"/>
      <c r="T387" s="391"/>
    </row>
    <row r="388" spans="13:20" x14ac:dyDescent="0.35">
      <c r="M388" s="14"/>
      <c r="R388" s="232"/>
      <c r="S388"/>
      <c r="T388" s="391"/>
    </row>
    <row r="389" spans="13:20" x14ac:dyDescent="0.35">
      <c r="M389" s="14"/>
      <c r="R389" s="232"/>
      <c r="S389"/>
      <c r="T389" s="391"/>
    </row>
    <row r="390" spans="13:20" x14ac:dyDescent="0.35">
      <c r="M390" s="14"/>
      <c r="R390" s="232"/>
      <c r="S390"/>
      <c r="T390" s="391"/>
    </row>
    <row r="391" spans="13:20" x14ac:dyDescent="0.35">
      <c r="M391" s="14"/>
      <c r="R391" s="232"/>
      <c r="S391"/>
      <c r="T391" s="391"/>
    </row>
    <row r="392" spans="13:20" x14ac:dyDescent="0.35">
      <c r="M392" s="14"/>
      <c r="R392" s="232"/>
      <c r="S392"/>
      <c r="T392" s="391"/>
    </row>
    <row r="393" spans="13:20" x14ac:dyDescent="0.35">
      <c r="M393" s="14"/>
      <c r="R393" s="232"/>
      <c r="S393"/>
      <c r="T393" s="391"/>
    </row>
    <row r="394" spans="13:20" x14ac:dyDescent="0.35">
      <c r="M394" s="14"/>
      <c r="R394" s="232"/>
      <c r="S394"/>
      <c r="T394" s="391"/>
    </row>
    <row r="395" spans="13:20" x14ac:dyDescent="0.35">
      <c r="M395" s="14"/>
      <c r="R395" s="232"/>
      <c r="S395"/>
      <c r="T395" s="391"/>
    </row>
    <row r="396" spans="13:20" x14ac:dyDescent="0.35">
      <c r="M396" s="14"/>
      <c r="R396" s="232"/>
      <c r="S396"/>
      <c r="T396" s="391"/>
    </row>
    <row r="397" spans="13:20" x14ac:dyDescent="0.35">
      <c r="M397" s="14"/>
      <c r="R397" s="232"/>
      <c r="S397"/>
      <c r="T397" s="391"/>
    </row>
    <row r="398" spans="13:20" x14ac:dyDescent="0.35">
      <c r="M398" s="14"/>
      <c r="R398" s="232"/>
      <c r="S398"/>
      <c r="T398" s="391"/>
    </row>
    <row r="399" spans="13:20" x14ac:dyDescent="0.35">
      <c r="M399" s="14"/>
      <c r="R399" s="232"/>
      <c r="S399"/>
      <c r="T399" s="391"/>
    </row>
    <row r="400" spans="13:20" x14ac:dyDescent="0.35">
      <c r="M400" s="14"/>
      <c r="R400" s="232"/>
      <c r="S400"/>
      <c r="T400" s="391"/>
    </row>
    <row r="401" spans="13:20" x14ac:dyDescent="0.35">
      <c r="M401" s="14"/>
      <c r="R401" s="232"/>
      <c r="S401"/>
      <c r="T401" s="391"/>
    </row>
    <row r="402" spans="13:20" x14ac:dyDescent="0.35">
      <c r="M402" s="14"/>
      <c r="R402" s="232"/>
      <c r="S402"/>
      <c r="T402" s="391"/>
    </row>
    <row r="403" spans="13:20" x14ac:dyDescent="0.35">
      <c r="M403" s="14"/>
      <c r="R403" s="232"/>
      <c r="S403"/>
      <c r="T403" s="391"/>
    </row>
    <row r="404" spans="13:20" x14ac:dyDescent="0.35">
      <c r="M404" s="14"/>
      <c r="R404" s="232"/>
      <c r="S404"/>
      <c r="T404" s="391"/>
    </row>
    <row r="405" spans="13:20" x14ac:dyDescent="0.35">
      <c r="M405" s="14"/>
      <c r="R405" s="232"/>
      <c r="S405"/>
      <c r="T405" s="391"/>
    </row>
    <row r="406" spans="13:20" x14ac:dyDescent="0.35">
      <c r="M406" s="14"/>
      <c r="R406" s="232"/>
      <c r="S406"/>
      <c r="T406" s="391"/>
    </row>
    <row r="407" spans="13:20" x14ac:dyDescent="0.35">
      <c r="M407" s="14"/>
      <c r="R407" s="232"/>
      <c r="S407"/>
      <c r="T407" s="391"/>
    </row>
    <row r="408" spans="13:20" x14ac:dyDescent="0.35">
      <c r="M408" s="14"/>
      <c r="R408" s="232"/>
      <c r="S408"/>
      <c r="T408" s="391"/>
    </row>
    <row r="409" spans="13:20" x14ac:dyDescent="0.35">
      <c r="M409" s="14"/>
      <c r="R409" s="232"/>
      <c r="S409"/>
      <c r="T409" s="391"/>
    </row>
    <row r="410" spans="13:20" x14ac:dyDescent="0.35">
      <c r="M410" s="14"/>
      <c r="R410" s="232"/>
      <c r="S410"/>
      <c r="T410" s="391"/>
    </row>
    <row r="411" spans="13:20" x14ac:dyDescent="0.35">
      <c r="M411" s="14"/>
      <c r="R411" s="232"/>
      <c r="S411"/>
      <c r="T411" s="391"/>
    </row>
    <row r="412" spans="13:20" x14ac:dyDescent="0.35">
      <c r="M412" s="14"/>
      <c r="R412" s="232"/>
      <c r="S412"/>
      <c r="T412" s="391"/>
    </row>
    <row r="413" spans="13:20" x14ac:dyDescent="0.35">
      <c r="M413" s="14"/>
      <c r="R413" s="232"/>
      <c r="S413"/>
      <c r="T413" s="391"/>
    </row>
    <row r="414" spans="13:20" x14ac:dyDescent="0.35">
      <c r="M414" s="14"/>
      <c r="R414" s="232"/>
      <c r="S414"/>
      <c r="T414" s="391"/>
    </row>
    <row r="415" spans="13:20" x14ac:dyDescent="0.35">
      <c r="M415" s="14"/>
      <c r="R415" s="232"/>
      <c r="S415"/>
      <c r="T415" s="391"/>
    </row>
    <row r="416" spans="13:20" x14ac:dyDescent="0.35">
      <c r="M416" s="14"/>
      <c r="R416" s="232"/>
      <c r="S416"/>
      <c r="T416" s="391"/>
    </row>
    <row r="417" spans="13:20" x14ac:dyDescent="0.35">
      <c r="M417" s="14"/>
      <c r="R417" s="232"/>
      <c r="S417"/>
      <c r="T417" s="391"/>
    </row>
    <row r="418" spans="13:20" x14ac:dyDescent="0.35">
      <c r="M418" s="14"/>
      <c r="R418" s="232"/>
      <c r="S418"/>
      <c r="T418" s="391"/>
    </row>
    <row r="419" spans="13:20" x14ac:dyDescent="0.35">
      <c r="M419" s="14"/>
      <c r="R419" s="232"/>
      <c r="S419"/>
      <c r="T419" s="391"/>
    </row>
    <row r="420" spans="13:20" x14ac:dyDescent="0.35">
      <c r="M420" s="14"/>
      <c r="R420" s="232"/>
      <c r="S420"/>
      <c r="T420" s="391"/>
    </row>
    <row r="421" spans="13:20" x14ac:dyDescent="0.35">
      <c r="M421" s="14"/>
      <c r="R421" s="232"/>
      <c r="S421"/>
      <c r="T421" s="391"/>
    </row>
    <row r="422" spans="13:20" x14ac:dyDescent="0.35">
      <c r="M422" s="14"/>
      <c r="R422" s="232"/>
      <c r="S422"/>
      <c r="T422" s="391"/>
    </row>
    <row r="423" spans="13:20" x14ac:dyDescent="0.35">
      <c r="M423" s="14"/>
      <c r="R423" s="232"/>
      <c r="S423"/>
      <c r="T423" s="391"/>
    </row>
    <row r="424" spans="13:20" x14ac:dyDescent="0.35">
      <c r="M424" s="14"/>
      <c r="R424" s="232"/>
      <c r="S424"/>
      <c r="T424" s="391"/>
    </row>
    <row r="425" spans="13:20" x14ac:dyDescent="0.35">
      <c r="M425" s="14"/>
      <c r="R425" s="232"/>
      <c r="S425"/>
      <c r="T425" s="391"/>
    </row>
    <row r="426" spans="13:20" x14ac:dyDescent="0.35">
      <c r="M426" s="14"/>
      <c r="R426" s="232"/>
      <c r="S426"/>
      <c r="T426" s="391"/>
    </row>
    <row r="427" spans="13:20" x14ac:dyDescent="0.35">
      <c r="M427" s="14"/>
      <c r="R427" s="232"/>
      <c r="S427"/>
      <c r="T427" s="391"/>
    </row>
    <row r="428" spans="13:20" x14ac:dyDescent="0.35">
      <c r="M428" s="14"/>
      <c r="R428" s="232"/>
      <c r="S428"/>
      <c r="T428" s="391"/>
    </row>
    <row r="429" spans="13:20" x14ac:dyDescent="0.35">
      <c r="M429" s="14"/>
      <c r="R429" s="232"/>
      <c r="S429"/>
      <c r="T429" s="391"/>
    </row>
    <row r="430" spans="13:20" x14ac:dyDescent="0.35">
      <c r="M430" s="14"/>
      <c r="R430" s="232"/>
      <c r="S430"/>
      <c r="T430" s="391"/>
    </row>
    <row r="431" spans="13:20" x14ac:dyDescent="0.35">
      <c r="M431" s="14"/>
      <c r="R431" s="232"/>
      <c r="S431"/>
      <c r="T431" s="391"/>
    </row>
    <row r="432" spans="13:20" x14ac:dyDescent="0.35">
      <c r="M432" s="14"/>
      <c r="R432" s="232"/>
      <c r="S432"/>
      <c r="T432" s="391"/>
    </row>
    <row r="433" spans="13:20" x14ac:dyDescent="0.35">
      <c r="M433" s="14"/>
      <c r="R433" s="232"/>
      <c r="S433"/>
      <c r="T433" s="391"/>
    </row>
    <row r="434" spans="13:20" x14ac:dyDescent="0.35">
      <c r="M434" s="14"/>
      <c r="R434" s="232"/>
      <c r="S434"/>
      <c r="T434" s="391"/>
    </row>
    <row r="435" spans="13:20" x14ac:dyDescent="0.35">
      <c r="M435" s="14"/>
      <c r="R435" s="232"/>
      <c r="S435"/>
      <c r="T435" s="391"/>
    </row>
    <row r="436" spans="13:20" x14ac:dyDescent="0.35">
      <c r="M436" s="14"/>
      <c r="R436" s="232"/>
      <c r="S436"/>
      <c r="T436" s="391"/>
    </row>
    <row r="437" spans="13:20" x14ac:dyDescent="0.35">
      <c r="M437" s="14"/>
      <c r="R437" s="232"/>
      <c r="S437"/>
      <c r="T437" s="391"/>
    </row>
    <row r="438" spans="13:20" x14ac:dyDescent="0.35">
      <c r="M438" s="14"/>
      <c r="R438" s="232"/>
      <c r="S438"/>
      <c r="T438" s="391"/>
    </row>
    <row r="439" spans="13:20" x14ac:dyDescent="0.35">
      <c r="M439" s="14"/>
      <c r="R439" s="232"/>
      <c r="S439"/>
      <c r="T439" s="391"/>
    </row>
    <row r="440" spans="13:20" x14ac:dyDescent="0.35">
      <c r="M440" s="14"/>
      <c r="R440" s="232"/>
      <c r="S440"/>
      <c r="T440" s="391"/>
    </row>
    <row r="441" spans="13:20" x14ac:dyDescent="0.35">
      <c r="M441" s="14"/>
      <c r="R441" s="232"/>
      <c r="S441"/>
      <c r="T441" s="391"/>
    </row>
    <row r="442" spans="13:20" x14ac:dyDescent="0.35">
      <c r="M442" s="14"/>
      <c r="R442" s="232"/>
      <c r="S442"/>
      <c r="T442" s="391"/>
    </row>
    <row r="443" spans="13:20" x14ac:dyDescent="0.35">
      <c r="M443" s="14"/>
      <c r="R443" s="232"/>
      <c r="S443"/>
      <c r="T443" s="391"/>
    </row>
    <row r="444" spans="13:20" x14ac:dyDescent="0.35">
      <c r="M444" s="14"/>
      <c r="R444" s="232"/>
      <c r="S444"/>
      <c r="T444" s="391"/>
    </row>
    <row r="445" spans="13:20" x14ac:dyDescent="0.35">
      <c r="M445" s="14"/>
      <c r="R445" s="232"/>
      <c r="S445"/>
      <c r="T445" s="391"/>
    </row>
    <row r="446" spans="13:20" x14ac:dyDescent="0.35">
      <c r="M446" s="14"/>
      <c r="R446" s="232"/>
      <c r="S446"/>
      <c r="T446" s="391"/>
    </row>
    <row r="447" spans="13:20" x14ac:dyDescent="0.35">
      <c r="M447" s="14"/>
      <c r="R447" s="232"/>
      <c r="S447"/>
      <c r="T447" s="391"/>
    </row>
    <row r="448" spans="13:20" x14ac:dyDescent="0.35">
      <c r="M448" s="14"/>
      <c r="R448" s="232"/>
      <c r="S448"/>
      <c r="T448" s="391"/>
    </row>
    <row r="449" spans="13:20" x14ac:dyDescent="0.35">
      <c r="M449" s="14"/>
      <c r="R449" s="232"/>
      <c r="S449"/>
      <c r="T449" s="391"/>
    </row>
    <row r="450" spans="13:20" x14ac:dyDescent="0.35">
      <c r="M450" s="14"/>
      <c r="R450" s="232"/>
      <c r="S450"/>
      <c r="T450" s="391"/>
    </row>
    <row r="451" spans="13:20" x14ac:dyDescent="0.35">
      <c r="M451" s="14"/>
      <c r="R451" s="232"/>
      <c r="S451"/>
      <c r="T451" s="391"/>
    </row>
    <row r="452" spans="13:20" x14ac:dyDescent="0.35">
      <c r="M452" s="14"/>
      <c r="R452" s="232"/>
      <c r="S452"/>
      <c r="T452" s="391"/>
    </row>
    <row r="453" spans="13:20" x14ac:dyDescent="0.35">
      <c r="M453" s="14"/>
      <c r="R453" s="232"/>
      <c r="S453"/>
      <c r="T453" s="391"/>
    </row>
    <row r="454" spans="13:20" x14ac:dyDescent="0.35">
      <c r="M454" s="14"/>
      <c r="R454" s="232"/>
      <c r="S454"/>
      <c r="T454" s="391"/>
    </row>
    <row r="455" spans="13:20" x14ac:dyDescent="0.35">
      <c r="M455" s="14"/>
      <c r="R455" s="232"/>
      <c r="S455"/>
      <c r="T455" s="391"/>
    </row>
    <row r="456" spans="13:20" x14ac:dyDescent="0.35">
      <c r="M456" s="14"/>
      <c r="R456" s="232"/>
      <c r="S456"/>
      <c r="T456" s="391"/>
    </row>
    <row r="457" spans="13:20" x14ac:dyDescent="0.35">
      <c r="M457" s="14"/>
      <c r="R457" s="232"/>
      <c r="S457"/>
      <c r="T457" s="391"/>
    </row>
    <row r="458" spans="13:20" x14ac:dyDescent="0.35">
      <c r="M458" s="14"/>
      <c r="R458" s="232"/>
      <c r="S458"/>
      <c r="T458" s="391"/>
    </row>
    <row r="459" spans="13:20" x14ac:dyDescent="0.35">
      <c r="M459" s="14"/>
      <c r="R459" s="232"/>
      <c r="S459"/>
      <c r="T459" s="391"/>
    </row>
    <row r="460" spans="13:20" x14ac:dyDescent="0.35">
      <c r="M460" s="14"/>
      <c r="R460" s="232"/>
      <c r="S460"/>
      <c r="T460" s="391"/>
    </row>
    <row r="461" spans="13:20" x14ac:dyDescent="0.35">
      <c r="M461" s="14"/>
      <c r="R461" s="232"/>
      <c r="S461"/>
      <c r="T461" s="391"/>
    </row>
    <row r="462" spans="13:20" x14ac:dyDescent="0.35">
      <c r="M462" s="14"/>
      <c r="R462" s="232"/>
      <c r="S462"/>
      <c r="T462" s="391"/>
    </row>
    <row r="463" spans="13:20" x14ac:dyDescent="0.35">
      <c r="M463" s="14"/>
      <c r="R463" s="232"/>
      <c r="S463"/>
      <c r="T463" s="391"/>
    </row>
    <row r="464" spans="13:20" x14ac:dyDescent="0.35">
      <c r="M464" s="14"/>
      <c r="R464" s="232"/>
      <c r="S464"/>
      <c r="T464" s="391"/>
    </row>
    <row r="465" spans="13:20" x14ac:dyDescent="0.35">
      <c r="M465" s="14"/>
      <c r="R465" s="232"/>
      <c r="S465"/>
      <c r="T465" s="391"/>
    </row>
    <row r="466" spans="13:20" x14ac:dyDescent="0.35">
      <c r="M466" s="14"/>
      <c r="R466" s="232"/>
      <c r="S466"/>
      <c r="T466" s="391"/>
    </row>
    <row r="467" spans="13:20" x14ac:dyDescent="0.35">
      <c r="M467" s="14"/>
      <c r="R467" s="232"/>
      <c r="S467"/>
      <c r="T467" s="391"/>
    </row>
    <row r="468" spans="13:20" x14ac:dyDescent="0.35">
      <c r="M468" s="14"/>
      <c r="R468" s="232"/>
      <c r="S468"/>
      <c r="T468" s="391"/>
    </row>
    <row r="469" spans="13:20" x14ac:dyDescent="0.35">
      <c r="M469" s="14"/>
      <c r="R469" s="232"/>
      <c r="S469"/>
      <c r="T469" s="391"/>
    </row>
    <row r="470" spans="13:20" x14ac:dyDescent="0.35">
      <c r="M470" s="14"/>
      <c r="R470" s="232"/>
      <c r="S470"/>
      <c r="T470" s="391"/>
    </row>
    <row r="471" spans="13:20" x14ac:dyDescent="0.35">
      <c r="M471" s="14"/>
      <c r="R471" s="232"/>
      <c r="S471"/>
      <c r="T471" s="391"/>
    </row>
    <row r="472" spans="13:20" x14ac:dyDescent="0.35">
      <c r="M472" s="14"/>
      <c r="R472" s="232"/>
      <c r="S472"/>
      <c r="T472" s="391"/>
    </row>
    <row r="473" spans="13:20" x14ac:dyDescent="0.35">
      <c r="M473" s="14"/>
      <c r="R473" s="232"/>
      <c r="S473"/>
      <c r="T473" s="391"/>
    </row>
    <row r="474" spans="13:20" x14ac:dyDescent="0.35">
      <c r="M474" s="14"/>
      <c r="R474" s="232"/>
      <c r="S474"/>
      <c r="T474" s="391"/>
    </row>
    <row r="475" spans="13:20" x14ac:dyDescent="0.35">
      <c r="M475" s="14"/>
      <c r="R475" s="232"/>
      <c r="S475"/>
      <c r="T475" s="391"/>
    </row>
    <row r="476" spans="13:20" x14ac:dyDescent="0.35">
      <c r="M476" s="14"/>
      <c r="R476" s="232"/>
      <c r="S476"/>
      <c r="T476" s="391"/>
    </row>
    <row r="477" spans="13:20" x14ac:dyDescent="0.35">
      <c r="M477" s="14"/>
      <c r="R477" s="232"/>
      <c r="S477"/>
      <c r="T477" s="391"/>
    </row>
    <row r="478" spans="13:20" x14ac:dyDescent="0.35">
      <c r="M478" s="14"/>
      <c r="R478" s="232"/>
      <c r="S478"/>
      <c r="T478" s="391"/>
    </row>
    <row r="479" spans="13:20" x14ac:dyDescent="0.35">
      <c r="M479" s="14"/>
      <c r="R479" s="232"/>
      <c r="S479"/>
      <c r="T479" s="391"/>
    </row>
    <row r="480" spans="13:20" x14ac:dyDescent="0.35">
      <c r="M480" s="14"/>
      <c r="R480" s="232"/>
      <c r="S480"/>
      <c r="T480" s="391"/>
    </row>
    <row r="481" spans="13:20" x14ac:dyDescent="0.35">
      <c r="M481" s="14"/>
      <c r="R481" s="232"/>
      <c r="S481"/>
      <c r="T481" s="391"/>
    </row>
    <row r="482" spans="13:20" x14ac:dyDescent="0.35">
      <c r="M482" s="14"/>
      <c r="R482" s="232"/>
      <c r="S482"/>
      <c r="T482" s="391"/>
    </row>
    <row r="483" spans="13:20" x14ac:dyDescent="0.35">
      <c r="M483" s="14"/>
      <c r="R483" s="232"/>
      <c r="S483"/>
      <c r="T483" s="391"/>
    </row>
    <row r="484" spans="13:20" x14ac:dyDescent="0.35">
      <c r="M484" s="14"/>
      <c r="R484" s="232"/>
      <c r="S484"/>
      <c r="T484" s="391"/>
    </row>
    <row r="485" spans="13:20" x14ac:dyDescent="0.35">
      <c r="M485" s="14"/>
      <c r="R485" s="232"/>
      <c r="S485"/>
      <c r="T485" s="391"/>
    </row>
    <row r="486" spans="13:20" x14ac:dyDescent="0.35">
      <c r="M486" s="14"/>
      <c r="R486" s="232"/>
      <c r="S486"/>
      <c r="T486" s="391"/>
    </row>
    <row r="487" spans="13:20" x14ac:dyDescent="0.35">
      <c r="M487" s="14"/>
      <c r="R487" s="232"/>
      <c r="S487"/>
      <c r="T487" s="391"/>
    </row>
    <row r="488" spans="13:20" x14ac:dyDescent="0.35">
      <c r="M488" s="14"/>
      <c r="R488" s="232"/>
      <c r="S488"/>
      <c r="T488" s="391"/>
    </row>
    <row r="489" spans="13:20" x14ac:dyDescent="0.35">
      <c r="M489" s="14"/>
      <c r="R489" s="232"/>
      <c r="S489"/>
      <c r="T489" s="391"/>
    </row>
    <row r="490" spans="13:20" x14ac:dyDescent="0.35">
      <c r="M490" s="14"/>
      <c r="R490" s="232"/>
      <c r="S490"/>
      <c r="T490" s="391"/>
    </row>
    <row r="491" spans="13:20" x14ac:dyDescent="0.35">
      <c r="M491" s="14"/>
      <c r="R491" s="232"/>
      <c r="S491"/>
      <c r="T491" s="391"/>
    </row>
    <row r="492" spans="13:20" x14ac:dyDescent="0.35">
      <c r="M492" s="14"/>
      <c r="R492" s="232"/>
      <c r="S492"/>
      <c r="T492" s="391"/>
    </row>
    <row r="493" spans="13:20" x14ac:dyDescent="0.35">
      <c r="M493" s="14"/>
      <c r="R493" s="232"/>
      <c r="S493"/>
      <c r="T493" s="391"/>
    </row>
    <row r="494" spans="13:20" x14ac:dyDescent="0.35">
      <c r="M494" s="14"/>
      <c r="R494" s="232"/>
      <c r="S494"/>
      <c r="T494" s="391"/>
    </row>
    <row r="495" spans="13:20" x14ac:dyDescent="0.35">
      <c r="M495" s="14"/>
      <c r="R495" s="232"/>
      <c r="S495"/>
      <c r="T495" s="391"/>
    </row>
    <row r="496" spans="13:20" x14ac:dyDescent="0.35">
      <c r="M496" s="14"/>
      <c r="R496" s="232"/>
      <c r="S496"/>
      <c r="T496" s="391"/>
    </row>
    <row r="497" spans="13:20" x14ac:dyDescent="0.35">
      <c r="M497" s="14"/>
      <c r="R497" s="232"/>
      <c r="S497"/>
      <c r="T497" s="391"/>
    </row>
    <row r="498" spans="13:20" x14ac:dyDescent="0.35">
      <c r="M498" s="14"/>
      <c r="R498" s="232"/>
      <c r="S498"/>
      <c r="T498" s="391"/>
    </row>
    <row r="499" spans="13:20" x14ac:dyDescent="0.35">
      <c r="M499" s="14"/>
      <c r="R499" s="232"/>
      <c r="S499"/>
      <c r="T499" s="391"/>
    </row>
    <row r="500" spans="13:20" x14ac:dyDescent="0.35">
      <c r="M500" s="14"/>
      <c r="R500" s="232"/>
      <c r="S500"/>
      <c r="T500" s="391"/>
    </row>
    <row r="501" spans="13:20" x14ac:dyDescent="0.35">
      <c r="M501" s="14"/>
      <c r="R501" s="232"/>
      <c r="S501"/>
      <c r="T501" s="391"/>
    </row>
    <row r="502" spans="13:20" x14ac:dyDescent="0.35">
      <c r="M502" s="14"/>
      <c r="R502" s="232"/>
      <c r="S502"/>
      <c r="T502" s="391"/>
    </row>
    <row r="503" spans="13:20" x14ac:dyDescent="0.35">
      <c r="M503" s="14"/>
      <c r="R503" s="232"/>
      <c r="S503"/>
      <c r="T503" s="391"/>
    </row>
    <row r="504" spans="13:20" x14ac:dyDescent="0.35">
      <c r="M504" s="14"/>
      <c r="R504" s="232"/>
      <c r="S504"/>
      <c r="T504" s="391"/>
    </row>
    <row r="505" spans="13:20" x14ac:dyDescent="0.35">
      <c r="M505" s="14"/>
      <c r="R505" s="232"/>
      <c r="S505"/>
      <c r="T505" s="391"/>
    </row>
    <row r="506" spans="13:20" x14ac:dyDescent="0.35">
      <c r="M506" s="14"/>
      <c r="R506" s="232"/>
      <c r="S506"/>
      <c r="T506" s="391"/>
    </row>
    <row r="507" spans="13:20" x14ac:dyDescent="0.35">
      <c r="M507" s="14"/>
      <c r="R507" s="232"/>
      <c r="S507"/>
      <c r="T507" s="391"/>
    </row>
    <row r="508" spans="13:20" x14ac:dyDescent="0.35">
      <c r="M508" s="14"/>
      <c r="R508" s="232"/>
      <c r="S508"/>
      <c r="T508" s="391"/>
    </row>
    <row r="509" spans="13:20" x14ac:dyDescent="0.35">
      <c r="M509" s="14"/>
      <c r="R509" s="232"/>
      <c r="S509"/>
      <c r="T509" s="391"/>
    </row>
    <row r="510" spans="13:20" x14ac:dyDescent="0.35">
      <c r="M510" s="14"/>
      <c r="R510" s="232"/>
      <c r="S510"/>
      <c r="T510" s="391"/>
    </row>
    <row r="511" spans="13:20" x14ac:dyDescent="0.35">
      <c r="M511" s="14"/>
      <c r="R511" s="232"/>
      <c r="S511"/>
      <c r="T511" s="391"/>
    </row>
    <row r="512" spans="13:20" x14ac:dyDescent="0.35">
      <c r="M512" s="14"/>
      <c r="R512" s="232"/>
      <c r="S512"/>
      <c r="T512" s="391"/>
    </row>
    <row r="513" spans="13:20" x14ac:dyDescent="0.35">
      <c r="M513" s="14"/>
      <c r="R513" s="232"/>
      <c r="S513"/>
      <c r="T513" s="391"/>
    </row>
    <row r="514" spans="13:20" x14ac:dyDescent="0.35">
      <c r="M514" s="14"/>
      <c r="R514" s="232"/>
      <c r="S514"/>
      <c r="T514" s="391"/>
    </row>
    <row r="515" spans="13:20" x14ac:dyDescent="0.35">
      <c r="M515" s="14"/>
      <c r="R515" s="232"/>
      <c r="S515"/>
      <c r="T515" s="391"/>
    </row>
    <row r="516" spans="13:20" x14ac:dyDescent="0.35">
      <c r="M516" s="14"/>
      <c r="R516" s="232"/>
      <c r="S516"/>
      <c r="T516" s="391"/>
    </row>
    <row r="517" spans="13:20" x14ac:dyDescent="0.35">
      <c r="M517" s="14"/>
      <c r="R517" s="232"/>
      <c r="S517"/>
      <c r="T517" s="391"/>
    </row>
    <row r="518" spans="13:20" x14ac:dyDescent="0.35">
      <c r="M518" s="14"/>
      <c r="R518" s="232"/>
      <c r="S518"/>
      <c r="T518" s="391"/>
    </row>
    <row r="519" spans="13:20" x14ac:dyDescent="0.35">
      <c r="M519" s="14"/>
      <c r="R519" s="232"/>
      <c r="S519"/>
      <c r="T519" s="391"/>
    </row>
    <row r="520" spans="13:20" x14ac:dyDescent="0.35">
      <c r="M520" s="14"/>
      <c r="R520" s="232"/>
      <c r="S520"/>
      <c r="T520" s="391"/>
    </row>
    <row r="521" spans="13:20" x14ac:dyDescent="0.35">
      <c r="M521" s="14"/>
      <c r="R521" s="232"/>
      <c r="S521"/>
      <c r="T521" s="391"/>
    </row>
    <row r="522" spans="13:20" x14ac:dyDescent="0.35">
      <c r="M522" s="14"/>
      <c r="R522" s="232"/>
      <c r="S522"/>
      <c r="T522" s="391"/>
    </row>
    <row r="523" spans="13:20" x14ac:dyDescent="0.35">
      <c r="M523" s="14"/>
      <c r="R523" s="232"/>
      <c r="S523"/>
      <c r="T523" s="391"/>
    </row>
    <row r="524" spans="13:20" x14ac:dyDescent="0.35">
      <c r="M524" s="14"/>
      <c r="R524" s="232"/>
      <c r="S524"/>
      <c r="T524" s="391"/>
    </row>
    <row r="525" spans="13:20" x14ac:dyDescent="0.35">
      <c r="M525" s="14"/>
      <c r="R525" s="257"/>
      <c r="S525" s="65"/>
      <c r="T525" s="394"/>
    </row>
    <row r="526" spans="13:20" x14ac:dyDescent="0.35">
      <c r="M526" s="14"/>
    </row>
    <row r="527" spans="13:20" x14ac:dyDescent="0.35">
      <c r="M527" s="14"/>
    </row>
    <row r="528" spans="13:20" x14ac:dyDescent="0.35">
      <c r="M528" s="14"/>
    </row>
    <row r="529" spans="13:13" x14ac:dyDescent="0.35">
      <c r="M529" s="14"/>
    </row>
    <row r="530" spans="13:13" x14ac:dyDescent="0.35">
      <c r="M530" s="14"/>
    </row>
    <row r="531" spans="13:13" x14ac:dyDescent="0.35">
      <c r="M531" s="14"/>
    </row>
    <row r="532" spans="13:13" x14ac:dyDescent="0.35">
      <c r="M532" s="14"/>
    </row>
    <row r="533" spans="13:13" x14ac:dyDescent="0.35">
      <c r="M533" s="14"/>
    </row>
    <row r="534" spans="13:13" x14ac:dyDescent="0.35">
      <c r="M534" s="14"/>
    </row>
    <row r="535" spans="13:13" x14ac:dyDescent="0.35">
      <c r="M535" s="14"/>
    </row>
    <row r="536" spans="13:13" x14ac:dyDescent="0.35">
      <c r="M536" s="14"/>
    </row>
    <row r="537" spans="13:13" x14ac:dyDescent="0.35">
      <c r="M537" s="14"/>
    </row>
    <row r="538" spans="13:13" x14ac:dyDescent="0.35">
      <c r="M538" s="14"/>
    </row>
    <row r="539" spans="13:13" x14ac:dyDescent="0.35">
      <c r="M539" s="14"/>
    </row>
    <row r="540" spans="13:13" x14ac:dyDescent="0.35">
      <c r="M540" s="14"/>
    </row>
    <row r="541" spans="13:13" x14ac:dyDescent="0.35">
      <c r="M541" s="14"/>
    </row>
    <row r="542" spans="13:13" x14ac:dyDescent="0.35">
      <c r="M542" s="14"/>
    </row>
    <row r="543" spans="13:13" x14ac:dyDescent="0.35">
      <c r="M543" s="14"/>
    </row>
    <row r="544" spans="13:13" x14ac:dyDescent="0.35">
      <c r="M544" s="14"/>
    </row>
    <row r="545" spans="13:13" x14ac:dyDescent="0.35">
      <c r="M545" s="14"/>
    </row>
    <row r="546" spans="13:13" x14ac:dyDescent="0.35">
      <c r="M546" s="14"/>
    </row>
    <row r="547" spans="13:13" x14ac:dyDescent="0.35">
      <c r="M547" s="14"/>
    </row>
    <row r="548" spans="13:13" x14ac:dyDescent="0.35">
      <c r="M548" s="14"/>
    </row>
    <row r="549" spans="13:13" x14ac:dyDescent="0.35">
      <c r="M549" s="14"/>
    </row>
    <row r="550" spans="13:13" x14ac:dyDescent="0.35">
      <c r="M550" s="14"/>
    </row>
    <row r="551" spans="13:13" x14ac:dyDescent="0.35">
      <c r="M551" s="14"/>
    </row>
    <row r="552" spans="13:13" x14ac:dyDescent="0.35">
      <c r="M552" s="14"/>
    </row>
    <row r="553" spans="13:13" x14ac:dyDescent="0.35">
      <c r="M553" s="14"/>
    </row>
    <row r="554" spans="13:13" x14ac:dyDescent="0.35">
      <c r="M554" s="14"/>
    </row>
    <row r="555" spans="13:13" x14ac:dyDescent="0.35">
      <c r="M555" s="14"/>
    </row>
    <row r="556" spans="13:13" x14ac:dyDescent="0.35">
      <c r="M556" s="14"/>
    </row>
    <row r="557" spans="13:13" x14ac:dyDescent="0.35">
      <c r="M557" s="14"/>
    </row>
    <row r="558" spans="13:13" x14ac:dyDescent="0.35">
      <c r="M558" s="14"/>
    </row>
    <row r="559" spans="13:13" x14ac:dyDescent="0.35">
      <c r="M559" s="14"/>
    </row>
    <row r="560" spans="13:13" x14ac:dyDescent="0.35">
      <c r="M560" s="14"/>
    </row>
    <row r="561" spans="13:13" x14ac:dyDescent="0.35">
      <c r="M561" s="14"/>
    </row>
    <row r="562" spans="13:13" x14ac:dyDescent="0.35">
      <c r="M562" s="14"/>
    </row>
    <row r="563" spans="13:13" x14ac:dyDescent="0.35">
      <c r="M563" s="14"/>
    </row>
    <row r="564" spans="13:13" x14ac:dyDescent="0.35">
      <c r="M564" s="14"/>
    </row>
    <row r="565" spans="13:13" x14ac:dyDescent="0.35">
      <c r="M565" s="14"/>
    </row>
    <row r="566" spans="13:13" x14ac:dyDescent="0.35">
      <c r="M566" s="14"/>
    </row>
    <row r="567" spans="13:13" x14ac:dyDescent="0.35">
      <c r="M567" s="14"/>
    </row>
    <row r="568" spans="13:13" x14ac:dyDescent="0.35">
      <c r="M568" s="14"/>
    </row>
    <row r="569" spans="13:13" x14ac:dyDescent="0.35">
      <c r="M569" s="14"/>
    </row>
    <row r="570" spans="13:13" x14ac:dyDescent="0.35">
      <c r="M570" s="14"/>
    </row>
    <row r="571" spans="13:13" x14ac:dyDescent="0.35">
      <c r="M571" s="14"/>
    </row>
    <row r="572" spans="13:13" x14ac:dyDescent="0.35">
      <c r="M572" s="14"/>
    </row>
    <row r="573" spans="13:13" x14ac:dyDescent="0.35">
      <c r="M573" s="14"/>
    </row>
    <row r="574" spans="13:13" x14ac:dyDescent="0.35">
      <c r="M574" s="14"/>
    </row>
    <row r="575" spans="13:13" x14ac:dyDescent="0.35">
      <c r="M575" s="14"/>
    </row>
    <row r="576" spans="13:13" x14ac:dyDescent="0.35">
      <c r="M576" s="14"/>
    </row>
    <row r="577" spans="13:13" x14ac:dyDescent="0.35">
      <c r="M577" s="14"/>
    </row>
    <row r="578" spans="13:13" x14ac:dyDescent="0.35">
      <c r="M578" s="14"/>
    </row>
    <row r="579" spans="13:13" x14ac:dyDescent="0.35">
      <c r="M579" s="14"/>
    </row>
    <row r="580" spans="13:13" x14ac:dyDescent="0.35">
      <c r="M580" s="14"/>
    </row>
    <row r="581" spans="13:13" x14ac:dyDescent="0.35">
      <c r="M581" s="14"/>
    </row>
    <row r="582" spans="13:13" x14ac:dyDescent="0.35">
      <c r="M582" s="14"/>
    </row>
    <row r="583" spans="13:13" x14ac:dyDescent="0.35">
      <c r="M583" s="14"/>
    </row>
    <row r="584" spans="13:13" x14ac:dyDescent="0.35">
      <c r="M584" s="14"/>
    </row>
    <row r="585" spans="13:13" x14ac:dyDescent="0.35">
      <c r="M585" s="14"/>
    </row>
    <row r="586" spans="13:13" x14ac:dyDescent="0.35">
      <c r="M586" s="14"/>
    </row>
    <row r="587" spans="13:13" x14ac:dyDescent="0.35">
      <c r="M587" s="14"/>
    </row>
    <row r="588" spans="13:13" x14ac:dyDescent="0.35">
      <c r="M588" s="14"/>
    </row>
    <row r="589" spans="13:13" x14ac:dyDescent="0.35">
      <c r="M589" s="14"/>
    </row>
    <row r="590" spans="13:13" x14ac:dyDescent="0.35">
      <c r="M590" s="14"/>
    </row>
    <row r="591" spans="13:13" x14ac:dyDescent="0.35">
      <c r="M591" s="14"/>
    </row>
    <row r="592" spans="13:13" x14ac:dyDescent="0.35">
      <c r="M592" s="14"/>
    </row>
    <row r="593" spans="13:13" x14ac:dyDescent="0.35">
      <c r="M593" s="14"/>
    </row>
    <row r="594" spans="13:13" x14ac:dyDescent="0.35">
      <c r="M594" s="14"/>
    </row>
    <row r="595" spans="13:13" x14ac:dyDescent="0.35">
      <c r="M595" s="14"/>
    </row>
    <row r="596" spans="13:13" x14ac:dyDescent="0.35">
      <c r="M596" s="14"/>
    </row>
    <row r="597" spans="13:13" x14ac:dyDescent="0.35">
      <c r="M597" s="14"/>
    </row>
    <row r="598" spans="13:13" x14ac:dyDescent="0.35">
      <c r="M598" s="14"/>
    </row>
    <row r="599" spans="13:13" x14ac:dyDescent="0.35">
      <c r="M599" s="14"/>
    </row>
    <row r="600" spans="13:13" x14ac:dyDescent="0.35">
      <c r="M600" s="14"/>
    </row>
    <row r="601" spans="13:13" x14ac:dyDescent="0.35">
      <c r="M601" s="14"/>
    </row>
    <row r="602" spans="13:13" x14ac:dyDescent="0.35">
      <c r="M602" s="14"/>
    </row>
    <row r="603" spans="13:13" x14ac:dyDescent="0.35">
      <c r="M603" s="14"/>
    </row>
    <row r="604" spans="13:13" x14ac:dyDescent="0.35">
      <c r="M604" s="14"/>
    </row>
    <row r="605" spans="13:13" x14ac:dyDescent="0.35">
      <c r="M605" s="14"/>
    </row>
    <row r="606" spans="13:13" x14ac:dyDescent="0.35">
      <c r="M606" s="14"/>
    </row>
    <row r="607" spans="13:13" x14ac:dyDescent="0.35">
      <c r="M607" s="14"/>
    </row>
    <row r="608" spans="13:13" x14ac:dyDescent="0.35">
      <c r="M608" s="14"/>
    </row>
    <row r="609" spans="13:13" x14ac:dyDescent="0.35">
      <c r="M609" s="14"/>
    </row>
    <row r="610" spans="13:13" x14ac:dyDescent="0.35">
      <c r="M610" s="14"/>
    </row>
    <row r="611" spans="13:13" x14ac:dyDescent="0.35">
      <c r="M611" s="14"/>
    </row>
    <row r="612" spans="13:13" x14ac:dyDescent="0.35">
      <c r="M612" s="14"/>
    </row>
    <row r="613" spans="13:13" x14ac:dyDescent="0.35">
      <c r="M613" s="14"/>
    </row>
    <row r="614" spans="13:13" x14ac:dyDescent="0.35">
      <c r="M614" s="14"/>
    </row>
    <row r="615" spans="13:13" x14ac:dyDescent="0.35">
      <c r="M615" s="14"/>
    </row>
    <row r="616" spans="13:13" x14ac:dyDescent="0.35">
      <c r="M616" s="14"/>
    </row>
    <row r="617" spans="13:13" x14ac:dyDescent="0.35">
      <c r="M617" s="14"/>
    </row>
    <row r="618" spans="13:13" x14ac:dyDescent="0.35">
      <c r="M618" s="14"/>
    </row>
    <row r="619" spans="13:13" x14ac:dyDescent="0.35">
      <c r="M619" s="14"/>
    </row>
    <row r="620" spans="13:13" x14ac:dyDescent="0.35">
      <c r="M620" s="14"/>
    </row>
    <row r="621" spans="13:13" x14ac:dyDescent="0.35">
      <c r="M621" s="14"/>
    </row>
    <row r="622" spans="13:13" x14ac:dyDescent="0.35">
      <c r="M622" s="14"/>
    </row>
    <row r="623" spans="13:13" x14ac:dyDescent="0.35">
      <c r="M623" s="14"/>
    </row>
    <row r="624" spans="13:13" x14ac:dyDescent="0.35">
      <c r="M624" s="14"/>
    </row>
    <row r="625" spans="13:13" x14ac:dyDescent="0.35">
      <c r="M625" s="14"/>
    </row>
    <row r="626" spans="13:13" x14ac:dyDescent="0.35">
      <c r="M626" s="14"/>
    </row>
    <row r="627" spans="13:13" x14ac:dyDescent="0.35">
      <c r="M627" s="14"/>
    </row>
    <row r="628" spans="13:13" x14ac:dyDescent="0.35">
      <c r="M628" s="14"/>
    </row>
    <row r="629" spans="13:13" x14ac:dyDescent="0.35">
      <c r="M629" s="14"/>
    </row>
    <row r="630" spans="13:13" x14ac:dyDescent="0.35">
      <c r="M630" s="14"/>
    </row>
    <row r="631" spans="13:13" x14ac:dyDescent="0.35">
      <c r="M631" s="14"/>
    </row>
    <row r="632" spans="13:13" x14ac:dyDescent="0.35">
      <c r="M632" s="14"/>
    </row>
    <row r="633" spans="13:13" x14ac:dyDescent="0.35">
      <c r="M633" s="14"/>
    </row>
    <row r="634" spans="13:13" x14ac:dyDescent="0.35">
      <c r="M634" s="14"/>
    </row>
    <row r="635" spans="13:13" x14ac:dyDescent="0.35">
      <c r="M635" s="14"/>
    </row>
    <row r="636" spans="13:13" x14ac:dyDescent="0.35">
      <c r="M636" s="14"/>
    </row>
    <row r="637" spans="13:13" x14ac:dyDescent="0.35">
      <c r="M637" s="14"/>
    </row>
    <row r="638" spans="13:13" x14ac:dyDescent="0.35">
      <c r="M638" s="14"/>
    </row>
    <row r="639" spans="13:13" x14ac:dyDescent="0.35">
      <c r="M639" s="14"/>
    </row>
    <row r="640" spans="13:13" x14ac:dyDescent="0.35">
      <c r="M640" s="14"/>
    </row>
    <row r="641" spans="13:13" x14ac:dyDescent="0.35">
      <c r="M641" s="14"/>
    </row>
    <row r="642" spans="13:13" x14ac:dyDescent="0.35">
      <c r="M642" s="14"/>
    </row>
    <row r="643" spans="13:13" x14ac:dyDescent="0.35">
      <c r="M643" s="14"/>
    </row>
    <row r="644" spans="13:13" x14ac:dyDescent="0.35">
      <c r="M644" s="14"/>
    </row>
    <row r="645" spans="13:13" x14ac:dyDescent="0.35">
      <c r="M645" s="14"/>
    </row>
    <row r="646" spans="13:13" x14ac:dyDescent="0.35">
      <c r="M646" s="14"/>
    </row>
    <row r="647" spans="13:13" x14ac:dyDescent="0.35">
      <c r="M647" s="14"/>
    </row>
    <row r="648" spans="13:13" x14ac:dyDescent="0.35">
      <c r="M648" s="14"/>
    </row>
    <row r="649" spans="13:13" x14ac:dyDescent="0.35">
      <c r="M649" s="14"/>
    </row>
    <row r="650" spans="13:13" x14ac:dyDescent="0.35">
      <c r="M650" s="14"/>
    </row>
    <row r="651" spans="13:13" x14ac:dyDescent="0.35">
      <c r="M651" s="14"/>
    </row>
    <row r="652" spans="13:13" x14ac:dyDescent="0.35">
      <c r="M652" s="14"/>
    </row>
    <row r="653" spans="13:13" x14ac:dyDescent="0.35">
      <c r="M653" s="14"/>
    </row>
    <row r="654" spans="13:13" x14ac:dyDescent="0.35">
      <c r="M654" s="14"/>
    </row>
    <row r="655" spans="13:13" x14ac:dyDescent="0.35">
      <c r="M655" s="14"/>
    </row>
    <row r="656" spans="13:13" x14ac:dyDescent="0.35">
      <c r="M656" s="14"/>
    </row>
    <row r="657" spans="13:13" x14ac:dyDescent="0.35">
      <c r="M657" s="14"/>
    </row>
    <row r="658" spans="13:13" x14ac:dyDescent="0.35">
      <c r="M658" s="14"/>
    </row>
    <row r="659" spans="13:13" x14ac:dyDescent="0.35">
      <c r="M659" s="14"/>
    </row>
    <row r="660" spans="13:13" x14ac:dyDescent="0.35">
      <c r="M660" s="14"/>
    </row>
    <row r="661" spans="13:13" x14ac:dyDescent="0.35">
      <c r="M661" s="14"/>
    </row>
    <row r="662" spans="13:13" x14ac:dyDescent="0.35">
      <c r="M662" s="14"/>
    </row>
    <row r="663" spans="13:13" x14ac:dyDescent="0.35">
      <c r="M663" s="14"/>
    </row>
    <row r="664" spans="13:13" x14ac:dyDescent="0.35">
      <c r="M664" s="14"/>
    </row>
    <row r="665" spans="13:13" x14ac:dyDescent="0.35">
      <c r="M665" s="14"/>
    </row>
    <row r="666" spans="13:13" x14ac:dyDescent="0.35">
      <c r="M666" s="14"/>
    </row>
    <row r="667" spans="13:13" x14ac:dyDescent="0.35">
      <c r="M667" s="14"/>
    </row>
    <row r="668" spans="13:13" x14ac:dyDescent="0.35">
      <c r="M668" s="14"/>
    </row>
    <row r="669" spans="13:13" x14ac:dyDescent="0.35">
      <c r="M669" s="14"/>
    </row>
    <row r="670" spans="13:13" x14ac:dyDescent="0.35">
      <c r="M670" s="14"/>
    </row>
    <row r="671" spans="13:13" x14ac:dyDescent="0.35">
      <c r="M671" s="14"/>
    </row>
    <row r="672" spans="13:13" x14ac:dyDescent="0.35">
      <c r="M672" s="14"/>
    </row>
    <row r="673" spans="13:13" x14ac:dyDescent="0.35">
      <c r="M673" s="14"/>
    </row>
    <row r="674" spans="13:13" x14ac:dyDescent="0.35">
      <c r="M674" s="14"/>
    </row>
    <row r="675" spans="13:13" x14ac:dyDescent="0.35">
      <c r="M675" s="14"/>
    </row>
    <row r="676" spans="13:13" x14ac:dyDescent="0.35">
      <c r="M676" s="14"/>
    </row>
    <row r="677" spans="13:13" x14ac:dyDescent="0.35">
      <c r="M677" s="14"/>
    </row>
    <row r="678" spans="13:13" x14ac:dyDescent="0.35">
      <c r="M678" s="14"/>
    </row>
    <row r="679" spans="13:13" x14ac:dyDescent="0.35">
      <c r="M679" s="14"/>
    </row>
    <row r="680" spans="13:13" x14ac:dyDescent="0.35">
      <c r="M680" s="14"/>
    </row>
    <row r="681" spans="13:13" x14ac:dyDescent="0.35">
      <c r="M681" s="14"/>
    </row>
    <row r="682" spans="13:13" x14ac:dyDescent="0.35">
      <c r="M682" s="14"/>
    </row>
    <row r="683" spans="13:13" x14ac:dyDescent="0.35">
      <c r="M683" s="14"/>
    </row>
    <row r="684" spans="13:13" x14ac:dyDescent="0.35">
      <c r="M684" s="14"/>
    </row>
    <row r="685" spans="13:13" x14ac:dyDescent="0.35">
      <c r="M685" s="14"/>
    </row>
    <row r="686" spans="13:13" x14ac:dyDescent="0.35">
      <c r="M686" s="14"/>
    </row>
    <row r="687" spans="13:13" x14ac:dyDescent="0.35">
      <c r="M687" s="14"/>
    </row>
    <row r="688" spans="13:13" x14ac:dyDescent="0.35">
      <c r="M688" s="14"/>
    </row>
    <row r="689" spans="13:13" x14ac:dyDescent="0.35">
      <c r="M689" s="14"/>
    </row>
    <row r="690" spans="13:13" x14ac:dyDescent="0.35">
      <c r="M690" s="14"/>
    </row>
    <row r="691" spans="13:13" x14ac:dyDescent="0.35">
      <c r="M691" s="14"/>
    </row>
    <row r="692" spans="13:13" x14ac:dyDescent="0.35">
      <c r="M692" s="14"/>
    </row>
    <row r="693" spans="13:13" x14ac:dyDescent="0.35">
      <c r="M693" s="14"/>
    </row>
    <row r="694" spans="13:13" x14ac:dyDescent="0.35">
      <c r="M694" s="14"/>
    </row>
    <row r="695" spans="13:13" x14ac:dyDescent="0.35">
      <c r="M695" s="14"/>
    </row>
    <row r="696" spans="13:13" x14ac:dyDescent="0.35">
      <c r="M696" s="14"/>
    </row>
    <row r="697" spans="13:13" x14ac:dyDescent="0.35">
      <c r="M697" s="14"/>
    </row>
    <row r="698" spans="13:13" x14ac:dyDescent="0.35">
      <c r="M698" s="14"/>
    </row>
    <row r="699" spans="13:13" x14ac:dyDescent="0.35">
      <c r="M699" s="14"/>
    </row>
    <row r="700" spans="13:13" x14ac:dyDescent="0.35">
      <c r="M700" s="14"/>
    </row>
    <row r="701" spans="13:13" x14ac:dyDescent="0.35">
      <c r="M701" s="14"/>
    </row>
    <row r="702" spans="13:13" x14ac:dyDescent="0.35">
      <c r="M702" s="14"/>
    </row>
    <row r="703" spans="13:13" x14ac:dyDescent="0.35">
      <c r="M703" s="14"/>
    </row>
    <row r="704" spans="13:13" x14ac:dyDescent="0.35">
      <c r="M704" s="14"/>
    </row>
    <row r="705" spans="13:13" x14ac:dyDescent="0.35">
      <c r="M705" s="14"/>
    </row>
    <row r="706" spans="13:13" x14ac:dyDescent="0.35">
      <c r="M706" s="14"/>
    </row>
    <row r="707" spans="13:13" x14ac:dyDescent="0.35">
      <c r="M707" s="14"/>
    </row>
    <row r="708" spans="13:13" x14ac:dyDescent="0.35">
      <c r="M708" s="14"/>
    </row>
    <row r="709" spans="13:13" x14ac:dyDescent="0.35">
      <c r="M709" s="14"/>
    </row>
    <row r="710" spans="13:13" x14ac:dyDescent="0.35">
      <c r="M710" s="14"/>
    </row>
    <row r="711" spans="13:13" x14ac:dyDescent="0.35">
      <c r="M711" s="14"/>
    </row>
    <row r="712" spans="13:13" x14ac:dyDescent="0.35">
      <c r="M712" s="14"/>
    </row>
    <row r="713" spans="13:13" x14ac:dyDescent="0.35">
      <c r="M713" s="14"/>
    </row>
    <row r="714" spans="13:13" x14ac:dyDescent="0.35">
      <c r="M714" s="14"/>
    </row>
    <row r="715" spans="13:13" x14ac:dyDescent="0.35">
      <c r="M715" s="14"/>
    </row>
    <row r="716" spans="13:13" x14ac:dyDescent="0.35">
      <c r="M716" s="14"/>
    </row>
    <row r="717" spans="13:13" x14ac:dyDescent="0.35">
      <c r="M717" s="14"/>
    </row>
    <row r="718" spans="13:13" x14ac:dyDescent="0.35">
      <c r="M718" s="14"/>
    </row>
    <row r="719" spans="13:13" x14ac:dyDescent="0.35">
      <c r="M719" s="14"/>
    </row>
    <row r="720" spans="13:13" x14ac:dyDescent="0.35">
      <c r="M720" s="14"/>
    </row>
    <row r="721" spans="13:13" x14ac:dyDescent="0.35">
      <c r="M721" s="14"/>
    </row>
    <row r="722" spans="13:13" x14ac:dyDescent="0.35">
      <c r="M722" s="14"/>
    </row>
    <row r="723" spans="13:13" x14ac:dyDescent="0.35">
      <c r="M723" s="14"/>
    </row>
    <row r="724" spans="13:13" x14ac:dyDescent="0.35">
      <c r="M724" s="14"/>
    </row>
    <row r="725" spans="13:13" x14ac:dyDescent="0.35">
      <c r="M725" s="14"/>
    </row>
    <row r="726" spans="13:13" x14ac:dyDescent="0.35">
      <c r="M726" s="14"/>
    </row>
    <row r="727" spans="13:13" x14ac:dyDescent="0.35">
      <c r="M727" s="14"/>
    </row>
    <row r="728" spans="13:13" x14ac:dyDescent="0.35">
      <c r="M728" s="14"/>
    </row>
    <row r="729" spans="13:13" x14ac:dyDescent="0.35">
      <c r="M729" s="14"/>
    </row>
    <row r="730" spans="13:13" x14ac:dyDescent="0.35">
      <c r="M730" s="14"/>
    </row>
    <row r="731" spans="13:13" x14ac:dyDescent="0.35">
      <c r="M731" s="14"/>
    </row>
    <row r="732" spans="13:13" x14ac:dyDescent="0.35">
      <c r="M732" s="14"/>
    </row>
    <row r="733" spans="13:13" x14ac:dyDescent="0.35">
      <c r="M733" s="14"/>
    </row>
    <row r="734" spans="13:13" x14ac:dyDescent="0.35">
      <c r="M734" s="14"/>
    </row>
    <row r="735" spans="13:13" x14ac:dyDescent="0.35">
      <c r="M735" s="14"/>
    </row>
    <row r="736" spans="13:13" x14ac:dyDescent="0.35">
      <c r="M736" s="14"/>
    </row>
    <row r="737" spans="13:13" x14ac:dyDescent="0.35">
      <c r="M737" s="14"/>
    </row>
    <row r="738" spans="13:13" x14ac:dyDescent="0.35">
      <c r="M738" s="14"/>
    </row>
    <row r="739" spans="13:13" x14ac:dyDescent="0.35">
      <c r="M739" s="14"/>
    </row>
    <row r="740" spans="13:13" x14ac:dyDescent="0.35">
      <c r="M740" s="14"/>
    </row>
    <row r="741" spans="13:13" x14ac:dyDescent="0.35">
      <c r="M741" s="14"/>
    </row>
    <row r="742" spans="13:13" x14ac:dyDescent="0.35">
      <c r="M742" s="14"/>
    </row>
    <row r="743" spans="13:13" x14ac:dyDescent="0.35">
      <c r="M743" s="14"/>
    </row>
    <row r="744" spans="13:13" x14ac:dyDescent="0.35">
      <c r="M744" s="14"/>
    </row>
    <row r="745" spans="13:13" x14ac:dyDescent="0.35">
      <c r="M745" s="14"/>
    </row>
    <row r="746" spans="13:13" x14ac:dyDescent="0.35">
      <c r="M746" s="14"/>
    </row>
    <row r="747" spans="13:13" x14ac:dyDescent="0.35">
      <c r="M747" s="14"/>
    </row>
    <row r="748" spans="13:13" x14ac:dyDescent="0.35">
      <c r="M748" s="14"/>
    </row>
    <row r="749" spans="13:13" x14ac:dyDescent="0.35">
      <c r="M749" s="14"/>
    </row>
    <row r="750" spans="13:13" x14ac:dyDescent="0.35">
      <c r="M750" s="14"/>
    </row>
    <row r="751" spans="13:13" x14ac:dyDescent="0.35">
      <c r="M751" s="14"/>
    </row>
    <row r="752" spans="13:13" x14ac:dyDescent="0.35">
      <c r="M752" s="14"/>
    </row>
    <row r="753" spans="13:13" x14ac:dyDescent="0.35">
      <c r="M753" s="14"/>
    </row>
    <row r="754" spans="13:13" x14ac:dyDescent="0.35">
      <c r="M754" s="14"/>
    </row>
    <row r="755" spans="13:13" x14ac:dyDescent="0.35">
      <c r="M755" s="14"/>
    </row>
    <row r="756" spans="13:13" x14ac:dyDescent="0.35">
      <c r="M756" s="14"/>
    </row>
    <row r="757" spans="13:13" x14ac:dyDescent="0.35">
      <c r="M757" s="14"/>
    </row>
    <row r="758" spans="13:13" x14ac:dyDescent="0.35">
      <c r="M758" s="14"/>
    </row>
    <row r="759" spans="13:13" x14ac:dyDescent="0.35">
      <c r="M759" s="14"/>
    </row>
    <row r="760" spans="13:13" x14ac:dyDescent="0.35">
      <c r="M760" s="14"/>
    </row>
    <row r="761" spans="13:13" x14ac:dyDescent="0.35">
      <c r="M761" s="14"/>
    </row>
    <row r="762" spans="13:13" x14ac:dyDescent="0.35">
      <c r="M762" s="14"/>
    </row>
    <row r="763" spans="13:13" x14ac:dyDescent="0.35">
      <c r="M763" s="14"/>
    </row>
    <row r="764" spans="13:13" x14ac:dyDescent="0.35">
      <c r="M764" s="14"/>
    </row>
    <row r="765" spans="13:13" x14ac:dyDescent="0.35">
      <c r="M765" s="14"/>
    </row>
    <row r="766" spans="13:13" x14ac:dyDescent="0.35">
      <c r="M766" s="14"/>
    </row>
    <row r="767" spans="13:13" x14ac:dyDescent="0.35">
      <c r="M767" s="14"/>
    </row>
    <row r="768" spans="13:13" x14ac:dyDescent="0.35">
      <c r="M768" s="14"/>
    </row>
    <row r="769" spans="13:13" x14ac:dyDescent="0.35">
      <c r="M769" s="14"/>
    </row>
    <row r="770" spans="13:13" x14ac:dyDescent="0.35">
      <c r="M770" s="14"/>
    </row>
    <row r="771" spans="13:13" x14ac:dyDescent="0.35">
      <c r="M771" s="14"/>
    </row>
    <row r="772" spans="13:13" x14ac:dyDescent="0.35">
      <c r="M772" s="14"/>
    </row>
    <row r="773" spans="13:13" x14ac:dyDescent="0.35">
      <c r="M773" s="14"/>
    </row>
    <row r="774" spans="13:13" x14ac:dyDescent="0.35">
      <c r="M774" s="14"/>
    </row>
    <row r="775" spans="13:13" x14ac:dyDescent="0.35">
      <c r="M775" s="14"/>
    </row>
    <row r="776" spans="13:13" x14ac:dyDescent="0.35">
      <c r="M776" s="14"/>
    </row>
    <row r="777" spans="13:13" x14ac:dyDescent="0.35">
      <c r="M777" s="14"/>
    </row>
    <row r="778" spans="13:13" x14ac:dyDescent="0.35">
      <c r="M778" s="14"/>
    </row>
    <row r="779" spans="13:13" x14ac:dyDescent="0.35">
      <c r="M779" s="14"/>
    </row>
    <row r="780" spans="13:13" x14ac:dyDescent="0.35">
      <c r="M780" s="14"/>
    </row>
    <row r="781" spans="13:13" x14ac:dyDescent="0.35">
      <c r="M781" s="14"/>
    </row>
    <row r="782" spans="13:13" x14ac:dyDescent="0.35">
      <c r="M782" s="14"/>
    </row>
    <row r="783" spans="13:13" x14ac:dyDescent="0.35">
      <c r="M783" s="14"/>
    </row>
    <row r="784" spans="13:13" x14ac:dyDescent="0.35">
      <c r="M784" s="14"/>
    </row>
    <row r="785" spans="13:13" x14ac:dyDescent="0.35">
      <c r="M785" s="14"/>
    </row>
    <row r="786" spans="13:13" x14ac:dyDescent="0.35">
      <c r="M786" s="14"/>
    </row>
    <row r="787" spans="13:13" x14ac:dyDescent="0.35">
      <c r="M787" s="14"/>
    </row>
    <row r="788" spans="13:13" x14ac:dyDescent="0.35">
      <c r="M788" s="14"/>
    </row>
    <row r="789" spans="13:13" x14ac:dyDescent="0.35">
      <c r="M789" s="14"/>
    </row>
    <row r="790" spans="13:13" x14ac:dyDescent="0.35">
      <c r="M790" s="14"/>
    </row>
    <row r="791" spans="13:13" x14ac:dyDescent="0.35">
      <c r="M791" s="14"/>
    </row>
    <row r="792" spans="13:13" x14ac:dyDescent="0.35">
      <c r="M792" s="14"/>
    </row>
    <row r="793" spans="13:13" x14ac:dyDescent="0.35">
      <c r="M793" s="14"/>
    </row>
    <row r="794" spans="13:13" x14ac:dyDescent="0.35">
      <c r="M794" s="14"/>
    </row>
    <row r="795" spans="13:13" x14ac:dyDescent="0.35">
      <c r="M795" s="14"/>
    </row>
    <row r="796" spans="13:13" x14ac:dyDescent="0.35">
      <c r="M796" s="14"/>
    </row>
    <row r="797" spans="13:13" x14ac:dyDescent="0.35">
      <c r="M797" s="14"/>
    </row>
    <row r="798" spans="13:13" x14ac:dyDescent="0.35">
      <c r="M798" s="14"/>
    </row>
    <row r="799" spans="13:13" x14ac:dyDescent="0.35">
      <c r="M799" s="14"/>
    </row>
    <row r="800" spans="13:13" x14ac:dyDescent="0.35">
      <c r="M800" s="14"/>
    </row>
    <row r="801" spans="13:13" x14ac:dyDescent="0.35">
      <c r="M801" s="14"/>
    </row>
    <row r="802" spans="13:13" x14ac:dyDescent="0.35">
      <c r="M802" s="14"/>
    </row>
    <row r="803" spans="13:13" x14ac:dyDescent="0.35">
      <c r="M803" s="14"/>
    </row>
    <row r="804" spans="13:13" x14ac:dyDescent="0.35">
      <c r="M804" s="14"/>
    </row>
    <row r="805" spans="13:13" x14ac:dyDescent="0.35">
      <c r="M805" s="14"/>
    </row>
    <row r="806" spans="13:13" x14ac:dyDescent="0.35">
      <c r="M806" s="14"/>
    </row>
    <row r="807" spans="13:13" x14ac:dyDescent="0.35">
      <c r="M807" s="14"/>
    </row>
    <row r="808" spans="13:13" x14ac:dyDescent="0.35">
      <c r="M808" s="14"/>
    </row>
    <row r="809" spans="13:13" x14ac:dyDescent="0.35">
      <c r="M809" s="14"/>
    </row>
    <row r="810" spans="13:13" x14ac:dyDescent="0.35">
      <c r="M810" s="14"/>
    </row>
    <row r="811" spans="13:13" x14ac:dyDescent="0.35">
      <c r="M811" s="14"/>
    </row>
    <row r="812" spans="13:13" x14ac:dyDescent="0.35">
      <c r="M812" s="14"/>
    </row>
    <row r="813" spans="13:13" x14ac:dyDescent="0.35">
      <c r="M813" s="14"/>
    </row>
    <row r="814" spans="13:13" x14ac:dyDescent="0.35">
      <c r="M814" s="14"/>
    </row>
    <row r="815" spans="13:13" x14ac:dyDescent="0.35">
      <c r="M815" s="14"/>
    </row>
    <row r="816" spans="13:13" x14ac:dyDescent="0.35">
      <c r="M816" s="14"/>
    </row>
    <row r="817" spans="13:13" x14ac:dyDescent="0.35">
      <c r="M817" s="14"/>
    </row>
    <row r="818" spans="13:13" x14ac:dyDescent="0.35">
      <c r="M818" s="14"/>
    </row>
    <row r="819" spans="13:13" x14ac:dyDescent="0.35">
      <c r="M819" s="14"/>
    </row>
    <row r="820" spans="13:13" x14ac:dyDescent="0.35">
      <c r="M820" s="14"/>
    </row>
    <row r="821" spans="13:13" x14ac:dyDescent="0.35">
      <c r="M821" s="14"/>
    </row>
    <row r="822" spans="13:13" x14ac:dyDescent="0.35">
      <c r="M822" s="14"/>
    </row>
    <row r="823" spans="13:13" x14ac:dyDescent="0.35">
      <c r="M823" s="14"/>
    </row>
    <row r="824" spans="13:13" x14ac:dyDescent="0.35">
      <c r="M824" s="14"/>
    </row>
    <row r="825" spans="13:13" x14ac:dyDescent="0.35">
      <c r="M825" s="14"/>
    </row>
    <row r="826" spans="13:13" x14ac:dyDescent="0.35">
      <c r="M826" s="14"/>
    </row>
    <row r="827" spans="13:13" x14ac:dyDescent="0.35">
      <c r="M827" s="14"/>
    </row>
    <row r="828" spans="13:13" x14ac:dyDescent="0.35">
      <c r="M828" s="14"/>
    </row>
    <row r="829" spans="13:13" x14ac:dyDescent="0.35">
      <c r="M829" s="14"/>
    </row>
    <row r="830" spans="13:13" x14ac:dyDescent="0.35">
      <c r="M830" s="14"/>
    </row>
    <row r="831" spans="13:13" x14ac:dyDescent="0.35">
      <c r="M831" s="14"/>
    </row>
    <row r="832" spans="13:13" x14ac:dyDescent="0.35">
      <c r="M832" s="14"/>
    </row>
    <row r="833" spans="13:13" x14ac:dyDescent="0.35">
      <c r="M833" s="14"/>
    </row>
    <row r="834" spans="13:13" x14ac:dyDescent="0.35">
      <c r="M834" s="14"/>
    </row>
    <row r="835" spans="13:13" x14ac:dyDescent="0.35">
      <c r="M835" s="14"/>
    </row>
    <row r="836" spans="13:13" x14ac:dyDescent="0.35">
      <c r="M836" s="14"/>
    </row>
    <row r="837" spans="13:13" x14ac:dyDescent="0.35">
      <c r="M837" s="14"/>
    </row>
    <row r="838" spans="13:13" x14ac:dyDescent="0.35">
      <c r="M838" s="14"/>
    </row>
    <row r="839" spans="13:13" x14ac:dyDescent="0.35">
      <c r="M839" s="14"/>
    </row>
    <row r="840" spans="13:13" x14ac:dyDescent="0.35">
      <c r="M840" s="14"/>
    </row>
    <row r="841" spans="13:13" x14ac:dyDescent="0.35">
      <c r="M841" s="14"/>
    </row>
    <row r="842" spans="13:13" x14ac:dyDescent="0.35">
      <c r="M842" s="14"/>
    </row>
    <row r="843" spans="13:13" x14ac:dyDescent="0.35">
      <c r="M843" s="14"/>
    </row>
    <row r="844" spans="13:13" x14ac:dyDescent="0.35">
      <c r="M844" s="14"/>
    </row>
    <row r="845" spans="13:13" x14ac:dyDescent="0.35">
      <c r="M845" s="14"/>
    </row>
    <row r="846" spans="13:13" x14ac:dyDescent="0.35">
      <c r="M846" s="14"/>
    </row>
    <row r="847" spans="13:13" x14ac:dyDescent="0.35">
      <c r="M847" s="14"/>
    </row>
    <row r="848" spans="13:13" x14ac:dyDescent="0.35">
      <c r="M848" s="14"/>
    </row>
    <row r="849" spans="13:13" x14ac:dyDescent="0.35">
      <c r="M849" s="14"/>
    </row>
    <row r="850" spans="13:13" x14ac:dyDescent="0.35">
      <c r="M850" s="14"/>
    </row>
    <row r="851" spans="13:13" x14ac:dyDescent="0.35">
      <c r="M851" s="14"/>
    </row>
    <row r="852" spans="13:13" x14ac:dyDescent="0.35">
      <c r="M852" s="14"/>
    </row>
    <row r="853" spans="13:13" x14ac:dyDescent="0.35">
      <c r="M853" s="14"/>
    </row>
    <row r="854" spans="13:13" x14ac:dyDescent="0.35">
      <c r="M854" s="14"/>
    </row>
    <row r="855" spans="13:13" x14ac:dyDescent="0.35">
      <c r="M855" s="14"/>
    </row>
    <row r="856" spans="13:13" x14ac:dyDescent="0.35">
      <c r="M856" s="14"/>
    </row>
    <row r="857" spans="13:13" x14ac:dyDescent="0.35">
      <c r="M857" s="14"/>
    </row>
    <row r="858" spans="13:13" x14ac:dyDescent="0.35">
      <c r="M858" s="14"/>
    </row>
    <row r="859" spans="13:13" x14ac:dyDescent="0.35">
      <c r="M859" s="14"/>
    </row>
    <row r="860" spans="13:13" x14ac:dyDescent="0.35">
      <c r="M860" s="14"/>
    </row>
    <row r="861" spans="13:13" x14ac:dyDescent="0.35">
      <c r="M861" s="14"/>
    </row>
    <row r="862" spans="13:13" x14ac:dyDescent="0.35">
      <c r="M862" s="14"/>
    </row>
    <row r="863" spans="13:13" x14ac:dyDescent="0.35">
      <c r="M863" s="14"/>
    </row>
    <row r="864" spans="13:13" x14ac:dyDescent="0.35">
      <c r="M864" s="14"/>
    </row>
    <row r="865" spans="13:13" x14ac:dyDescent="0.35">
      <c r="M865" s="14"/>
    </row>
    <row r="866" spans="13:13" x14ac:dyDescent="0.35">
      <c r="M866" s="14"/>
    </row>
    <row r="867" spans="13:13" x14ac:dyDescent="0.35">
      <c r="M867" s="14"/>
    </row>
    <row r="868" spans="13:13" x14ac:dyDescent="0.35">
      <c r="M868" s="14"/>
    </row>
    <row r="869" spans="13:13" x14ac:dyDescent="0.35">
      <c r="M869" s="14"/>
    </row>
    <row r="870" spans="13:13" x14ac:dyDescent="0.35">
      <c r="M870" s="14"/>
    </row>
    <row r="871" spans="13:13" x14ac:dyDescent="0.35">
      <c r="M871" s="14"/>
    </row>
    <row r="872" spans="13:13" x14ac:dyDescent="0.35">
      <c r="M872" s="14"/>
    </row>
    <row r="873" spans="13:13" x14ac:dyDescent="0.35">
      <c r="M873" s="14"/>
    </row>
    <row r="874" spans="13:13" x14ac:dyDescent="0.35">
      <c r="M874" s="14"/>
    </row>
    <row r="875" spans="13:13" x14ac:dyDescent="0.35">
      <c r="M875" s="14"/>
    </row>
    <row r="876" spans="13:13" x14ac:dyDescent="0.35">
      <c r="M876" s="14"/>
    </row>
    <row r="877" spans="13:13" x14ac:dyDescent="0.35">
      <c r="M877" s="14"/>
    </row>
    <row r="878" spans="13:13" x14ac:dyDescent="0.35">
      <c r="M878" s="14"/>
    </row>
    <row r="879" spans="13:13" x14ac:dyDescent="0.35">
      <c r="M879" s="14"/>
    </row>
    <row r="880" spans="13:13" x14ac:dyDescent="0.35">
      <c r="M880" s="14"/>
    </row>
    <row r="881" spans="13:13" x14ac:dyDescent="0.35">
      <c r="M881" s="14"/>
    </row>
    <row r="882" spans="13:13" x14ac:dyDescent="0.35">
      <c r="M882" s="14"/>
    </row>
    <row r="883" spans="13:13" x14ac:dyDescent="0.35">
      <c r="M883" s="14"/>
    </row>
    <row r="884" spans="13:13" x14ac:dyDescent="0.35">
      <c r="M884" s="14"/>
    </row>
    <row r="885" spans="13:13" x14ac:dyDescent="0.35">
      <c r="M885" s="14"/>
    </row>
    <row r="886" spans="13:13" x14ac:dyDescent="0.35">
      <c r="M886" s="14"/>
    </row>
    <row r="887" spans="13:13" x14ac:dyDescent="0.35">
      <c r="M887" s="14"/>
    </row>
    <row r="888" spans="13:13" x14ac:dyDescent="0.35">
      <c r="M888" s="14"/>
    </row>
    <row r="889" spans="13:13" x14ac:dyDescent="0.35">
      <c r="M889" s="14"/>
    </row>
    <row r="890" spans="13:13" x14ac:dyDescent="0.35">
      <c r="M890" s="14"/>
    </row>
    <row r="891" spans="13:13" x14ac:dyDescent="0.35">
      <c r="M891" s="14"/>
    </row>
    <row r="892" spans="13:13" x14ac:dyDescent="0.35">
      <c r="M892" s="14"/>
    </row>
    <row r="893" spans="13:13" x14ac:dyDescent="0.35">
      <c r="M893" s="14"/>
    </row>
    <row r="894" spans="13:13" x14ac:dyDescent="0.35">
      <c r="M894" s="14"/>
    </row>
    <row r="895" spans="13:13" x14ac:dyDescent="0.35">
      <c r="M895" s="14"/>
    </row>
    <row r="896" spans="13:13" x14ac:dyDescent="0.35">
      <c r="M896" s="14"/>
    </row>
    <row r="897" spans="13:13" x14ac:dyDescent="0.35">
      <c r="M897" s="14"/>
    </row>
    <row r="898" spans="13:13" x14ac:dyDescent="0.35">
      <c r="M898" s="14"/>
    </row>
    <row r="899" spans="13:13" x14ac:dyDescent="0.35">
      <c r="M899" s="14"/>
    </row>
    <row r="900" spans="13:13" x14ac:dyDescent="0.35">
      <c r="M900" s="14"/>
    </row>
    <row r="901" spans="13:13" x14ac:dyDescent="0.35">
      <c r="M901" s="14"/>
    </row>
    <row r="902" spans="13:13" x14ac:dyDescent="0.35">
      <c r="M902" s="14"/>
    </row>
    <row r="903" spans="13:13" x14ac:dyDescent="0.35">
      <c r="M903" s="14"/>
    </row>
    <row r="904" spans="13:13" x14ac:dyDescent="0.35">
      <c r="M904" s="14"/>
    </row>
    <row r="905" spans="13:13" x14ac:dyDescent="0.35">
      <c r="M905" s="14"/>
    </row>
    <row r="906" spans="13:13" x14ac:dyDescent="0.35">
      <c r="M906" s="14"/>
    </row>
    <row r="907" spans="13:13" x14ac:dyDescent="0.35">
      <c r="M907" s="14"/>
    </row>
    <row r="908" spans="13:13" x14ac:dyDescent="0.35">
      <c r="M908" s="14"/>
    </row>
    <row r="909" spans="13:13" x14ac:dyDescent="0.35">
      <c r="M909" s="14"/>
    </row>
    <row r="910" spans="13:13" x14ac:dyDescent="0.35">
      <c r="M910" s="14"/>
    </row>
    <row r="911" spans="13:13" x14ac:dyDescent="0.35">
      <c r="M911" s="14"/>
    </row>
    <row r="912" spans="13:13" x14ac:dyDescent="0.35">
      <c r="M912" s="14"/>
    </row>
    <row r="913" spans="13:13" x14ac:dyDescent="0.35">
      <c r="M913" s="14"/>
    </row>
    <row r="914" spans="13:13" x14ac:dyDescent="0.35">
      <c r="M914" s="14"/>
    </row>
    <row r="915" spans="13:13" x14ac:dyDescent="0.35">
      <c r="M915" s="14"/>
    </row>
    <row r="916" spans="13:13" x14ac:dyDescent="0.35">
      <c r="M916" s="14"/>
    </row>
    <row r="917" spans="13:13" x14ac:dyDescent="0.35">
      <c r="M917" s="14"/>
    </row>
    <row r="918" spans="13:13" x14ac:dyDescent="0.35">
      <c r="M918" s="14"/>
    </row>
    <row r="919" spans="13:13" x14ac:dyDescent="0.35">
      <c r="M919" s="14"/>
    </row>
    <row r="920" spans="13:13" x14ac:dyDescent="0.35">
      <c r="M920" s="14"/>
    </row>
    <row r="921" spans="13:13" x14ac:dyDescent="0.35">
      <c r="M921" s="14"/>
    </row>
    <row r="922" spans="13:13" x14ac:dyDescent="0.35">
      <c r="M922" s="14"/>
    </row>
    <row r="923" spans="13:13" x14ac:dyDescent="0.35">
      <c r="M923" s="14"/>
    </row>
    <row r="924" spans="13:13" x14ac:dyDescent="0.35">
      <c r="M924" s="14"/>
    </row>
    <row r="925" spans="13:13" x14ac:dyDescent="0.35">
      <c r="M925" s="14"/>
    </row>
    <row r="926" spans="13:13" x14ac:dyDescent="0.35">
      <c r="M926" s="14"/>
    </row>
    <row r="927" spans="13:13" x14ac:dyDescent="0.35">
      <c r="M927" s="14"/>
    </row>
    <row r="928" spans="13:13" x14ac:dyDescent="0.35">
      <c r="M928" s="14"/>
    </row>
    <row r="929" spans="13:13" x14ac:dyDescent="0.35">
      <c r="M929" s="14"/>
    </row>
    <row r="930" spans="13:13" x14ac:dyDescent="0.35">
      <c r="M930" s="14"/>
    </row>
    <row r="931" spans="13:13" x14ac:dyDescent="0.35">
      <c r="M931" s="14"/>
    </row>
    <row r="932" spans="13:13" x14ac:dyDescent="0.35">
      <c r="M932" s="14"/>
    </row>
    <row r="933" spans="13:13" x14ac:dyDescent="0.35">
      <c r="M933" s="14"/>
    </row>
    <row r="934" spans="13:13" x14ac:dyDescent="0.35">
      <c r="M934" s="14"/>
    </row>
    <row r="935" spans="13:13" x14ac:dyDescent="0.35">
      <c r="M935" s="14"/>
    </row>
    <row r="936" spans="13:13" x14ac:dyDescent="0.35">
      <c r="M936" s="14"/>
    </row>
    <row r="937" spans="13:13" x14ac:dyDescent="0.35">
      <c r="M937" s="14"/>
    </row>
    <row r="938" spans="13:13" x14ac:dyDescent="0.35">
      <c r="M938" s="14"/>
    </row>
    <row r="939" spans="13:13" x14ac:dyDescent="0.35">
      <c r="M939" s="14"/>
    </row>
    <row r="940" spans="13:13" x14ac:dyDescent="0.35">
      <c r="M940" s="14"/>
    </row>
    <row r="941" spans="13:13" x14ac:dyDescent="0.35">
      <c r="M941" s="14"/>
    </row>
    <row r="942" spans="13:13" x14ac:dyDescent="0.35">
      <c r="M942" s="14"/>
    </row>
    <row r="943" spans="13:13" x14ac:dyDescent="0.35">
      <c r="M943" s="14"/>
    </row>
    <row r="944" spans="13:13" x14ac:dyDescent="0.35">
      <c r="M944" s="14"/>
    </row>
    <row r="945" spans="13:13" x14ac:dyDescent="0.35">
      <c r="M945" s="14"/>
    </row>
    <row r="946" spans="13:13" x14ac:dyDescent="0.35">
      <c r="M946" s="14"/>
    </row>
    <row r="947" spans="13:13" x14ac:dyDescent="0.35">
      <c r="M947" s="14"/>
    </row>
    <row r="948" spans="13:13" x14ac:dyDescent="0.35">
      <c r="M948" s="14"/>
    </row>
    <row r="949" spans="13:13" x14ac:dyDescent="0.35">
      <c r="M949" s="14"/>
    </row>
    <row r="950" spans="13:13" x14ac:dyDescent="0.35">
      <c r="M950" s="14"/>
    </row>
    <row r="951" spans="13:13" x14ac:dyDescent="0.35">
      <c r="M951" s="14"/>
    </row>
    <row r="952" spans="13:13" x14ac:dyDescent="0.35">
      <c r="M952" s="14"/>
    </row>
    <row r="953" spans="13:13" x14ac:dyDescent="0.35">
      <c r="M953" s="14"/>
    </row>
    <row r="954" spans="13:13" x14ac:dyDescent="0.35">
      <c r="M954" s="14"/>
    </row>
    <row r="955" spans="13:13" x14ac:dyDescent="0.35">
      <c r="M955" s="14"/>
    </row>
    <row r="956" spans="13:13" x14ac:dyDescent="0.35">
      <c r="M956" s="14"/>
    </row>
    <row r="957" spans="13:13" x14ac:dyDescent="0.35">
      <c r="M957" s="14"/>
    </row>
    <row r="958" spans="13:13" x14ac:dyDescent="0.35">
      <c r="M958" s="14"/>
    </row>
    <row r="959" spans="13:13" x14ac:dyDescent="0.35">
      <c r="M959" s="14"/>
    </row>
    <row r="960" spans="13:13" x14ac:dyDescent="0.35">
      <c r="M960" s="14"/>
    </row>
    <row r="961" spans="13:13" x14ac:dyDescent="0.35">
      <c r="M961" s="14"/>
    </row>
    <row r="962" spans="13:13" x14ac:dyDescent="0.35">
      <c r="M962" s="14"/>
    </row>
    <row r="963" spans="13:13" x14ac:dyDescent="0.35">
      <c r="M963" s="14"/>
    </row>
    <row r="964" spans="13:13" x14ac:dyDescent="0.35">
      <c r="M964" s="14"/>
    </row>
    <row r="965" spans="13:13" x14ac:dyDescent="0.35">
      <c r="M965" s="14"/>
    </row>
    <row r="966" spans="13:13" x14ac:dyDescent="0.35">
      <c r="M966" s="14"/>
    </row>
    <row r="967" spans="13:13" x14ac:dyDescent="0.35">
      <c r="M967" s="14"/>
    </row>
    <row r="968" spans="13:13" x14ac:dyDescent="0.35">
      <c r="M968" s="14"/>
    </row>
    <row r="969" spans="13:13" x14ac:dyDescent="0.35">
      <c r="M969" s="14"/>
    </row>
    <row r="970" spans="13:13" x14ac:dyDescent="0.35">
      <c r="M970" s="14"/>
    </row>
    <row r="971" spans="13:13" x14ac:dyDescent="0.35">
      <c r="M971" s="14"/>
    </row>
    <row r="972" spans="13:13" x14ac:dyDescent="0.35">
      <c r="M972" s="14"/>
    </row>
    <row r="973" spans="13:13" x14ac:dyDescent="0.35">
      <c r="M973" s="14"/>
    </row>
    <row r="974" spans="13:13" x14ac:dyDescent="0.35">
      <c r="M974" s="14"/>
    </row>
    <row r="975" spans="13:13" x14ac:dyDescent="0.35">
      <c r="M975" s="14"/>
    </row>
    <row r="976" spans="13:13" x14ac:dyDescent="0.35">
      <c r="M976" s="14"/>
    </row>
    <row r="977" spans="13:13" x14ac:dyDescent="0.35">
      <c r="M977" s="14"/>
    </row>
    <row r="978" spans="13:13" x14ac:dyDescent="0.35">
      <c r="M978" s="14"/>
    </row>
    <row r="979" spans="13:13" x14ac:dyDescent="0.35">
      <c r="M979" s="14"/>
    </row>
    <row r="980" spans="13:13" x14ac:dyDescent="0.35">
      <c r="M980" s="14"/>
    </row>
    <row r="981" spans="13:13" x14ac:dyDescent="0.35">
      <c r="M981" s="14"/>
    </row>
    <row r="982" spans="13:13" x14ac:dyDescent="0.35">
      <c r="M982" s="14"/>
    </row>
    <row r="983" spans="13:13" x14ac:dyDescent="0.35">
      <c r="M983" s="14"/>
    </row>
    <row r="984" spans="13:13" x14ac:dyDescent="0.35">
      <c r="M984" s="14"/>
    </row>
    <row r="985" spans="13:13" x14ac:dyDescent="0.35">
      <c r="M985" s="14"/>
    </row>
    <row r="986" spans="13:13" x14ac:dyDescent="0.35">
      <c r="M986" s="14"/>
    </row>
    <row r="987" spans="13:13" x14ac:dyDescent="0.35">
      <c r="M987" s="14"/>
    </row>
    <row r="988" spans="13:13" x14ac:dyDescent="0.35">
      <c r="M988" s="14"/>
    </row>
    <row r="989" spans="13:13" x14ac:dyDescent="0.35">
      <c r="M989" s="14"/>
    </row>
    <row r="990" spans="13:13" x14ac:dyDescent="0.35">
      <c r="M990" s="14"/>
    </row>
    <row r="991" spans="13:13" x14ac:dyDescent="0.35">
      <c r="M991" s="14"/>
    </row>
    <row r="992" spans="13:13" x14ac:dyDescent="0.35">
      <c r="M992" s="14"/>
    </row>
    <row r="993" spans="13:13" x14ac:dyDescent="0.35">
      <c r="M993" s="14"/>
    </row>
    <row r="994" spans="13:13" x14ac:dyDescent="0.35">
      <c r="M994" s="14"/>
    </row>
    <row r="995" spans="13:13" x14ac:dyDescent="0.35">
      <c r="M995" s="14"/>
    </row>
    <row r="996" spans="13:13" x14ac:dyDescent="0.35">
      <c r="M996" s="14"/>
    </row>
    <row r="997" spans="13:13" x14ac:dyDescent="0.35">
      <c r="M997" s="14"/>
    </row>
    <row r="998" spans="13:13" x14ac:dyDescent="0.35">
      <c r="M998" s="14"/>
    </row>
    <row r="999" spans="13:13" x14ac:dyDescent="0.35">
      <c r="M999" s="14"/>
    </row>
    <row r="1000" spans="13:13" x14ac:dyDescent="0.35">
      <c r="M1000" s="14"/>
    </row>
    <row r="1001" spans="13:13" x14ac:dyDescent="0.35">
      <c r="M1001" s="14"/>
    </row>
    <row r="1002" spans="13:13" x14ac:dyDescent="0.35">
      <c r="M1002" s="14"/>
    </row>
    <row r="1003" spans="13:13" x14ac:dyDescent="0.35">
      <c r="M1003" s="14"/>
    </row>
    <row r="1004" spans="13:13" x14ac:dyDescent="0.35">
      <c r="M1004" s="14"/>
    </row>
    <row r="1005" spans="13:13" x14ac:dyDescent="0.35">
      <c r="M1005" s="14"/>
    </row>
    <row r="1006" spans="13:13" x14ac:dyDescent="0.35">
      <c r="M1006" s="14"/>
    </row>
    <row r="1007" spans="13:13" x14ac:dyDescent="0.35">
      <c r="M1007" s="14"/>
    </row>
    <row r="1008" spans="13:13" x14ac:dyDescent="0.35">
      <c r="M1008" s="14"/>
    </row>
    <row r="1009" spans="13:13" x14ac:dyDescent="0.35">
      <c r="M1009" s="14"/>
    </row>
    <row r="1010" spans="13:13" x14ac:dyDescent="0.35">
      <c r="M1010" s="14"/>
    </row>
    <row r="1011" spans="13:13" x14ac:dyDescent="0.35">
      <c r="M1011" s="14"/>
    </row>
    <row r="1012" spans="13:13" x14ac:dyDescent="0.35">
      <c r="M1012" s="14"/>
    </row>
    <row r="1013" spans="13:13" x14ac:dyDescent="0.35">
      <c r="M1013" s="14"/>
    </row>
    <row r="1014" spans="13:13" x14ac:dyDescent="0.35">
      <c r="M1014" s="14"/>
    </row>
    <row r="1015" spans="13:13" x14ac:dyDescent="0.35">
      <c r="M1015" s="14"/>
    </row>
    <row r="1016" spans="13:13" x14ac:dyDescent="0.35">
      <c r="M1016" s="14"/>
    </row>
    <row r="1017" spans="13:13" x14ac:dyDescent="0.35">
      <c r="M1017" s="14"/>
    </row>
    <row r="1018" spans="13:13" x14ac:dyDescent="0.35">
      <c r="M1018" s="14"/>
    </row>
    <row r="1019" spans="13:13" x14ac:dyDescent="0.35">
      <c r="M1019" s="14"/>
    </row>
    <row r="1020" spans="13:13" x14ac:dyDescent="0.35">
      <c r="M1020" s="14"/>
    </row>
    <row r="1021" spans="13:13" x14ac:dyDescent="0.35">
      <c r="M1021" s="14"/>
    </row>
    <row r="1022" spans="13:13" x14ac:dyDescent="0.35">
      <c r="M1022" s="14"/>
    </row>
    <row r="1023" spans="13:13" x14ac:dyDescent="0.35">
      <c r="M1023" s="14"/>
    </row>
    <row r="1024" spans="13:13" x14ac:dyDescent="0.35">
      <c r="M1024" s="14"/>
    </row>
    <row r="1025" spans="13:13" x14ac:dyDescent="0.35">
      <c r="M1025" s="14"/>
    </row>
    <row r="1026" spans="13:13" x14ac:dyDescent="0.35">
      <c r="M1026" s="14"/>
    </row>
    <row r="1027" spans="13:13" x14ac:dyDescent="0.35">
      <c r="M1027" s="14"/>
    </row>
    <row r="1028" spans="13:13" x14ac:dyDescent="0.35">
      <c r="M1028" s="14"/>
    </row>
    <row r="1029" spans="13:13" x14ac:dyDescent="0.35">
      <c r="M1029" s="14"/>
    </row>
    <row r="1030" spans="13:13" x14ac:dyDescent="0.35">
      <c r="M1030" s="14"/>
    </row>
    <row r="1031" spans="13:13" x14ac:dyDescent="0.35">
      <c r="M1031" s="14"/>
    </row>
    <row r="1032" spans="13:13" x14ac:dyDescent="0.35">
      <c r="M1032" s="14"/>
    </row>
    <row r="1033" spans="13:13" x14ac:dyDescent="0.35">
      <c r="M1033" s="14"/>
    </row>
    <row r="1034" spans="13:13" x14ac:dyDescent="0.35">
      <c r="M1034" s="14"/>
    </row>
    <row r="1035" spans="13:13" x14ac:dyDescent="0.35">
      <c r="M1035" s="14"/>
    </row>
    <row r="1036" spans="13:13" x14ac:dyDescent="0.35">
      <c r="M1036" s="14"/>
    </row>
    <row r="1037" spans="13:13" x14ac:dyDescent="0.35">
      <c r="M1037" s="14"/>
    </row>
    <row r="1038" spans="13:13" x14ac:dyDescent="0.35">
      <c r="M1038" s="14"/>
    </row>
    <row r="1039" spans="13:13" x14ac:dyDescent="0.35">
      <c r="M1039" s="14"/>
    </row>
    <row r="1040" spans="13:13" x14ac:dyDescent="0.35">
      <c r="M1040" s="14"/>
    </row>
    <row r="1041" spans="13:13" x14ac:dyDescent="0.35">
      <c r="M1041" s="14"/>
    </row>
    <row r="1042" spans="13:13" x14ac:dyDescent="0.35">
      <c r="M1042" s="14"/>
    </row>
    <row r="1043" spans="13:13" x14ac:dyDescent="0.35">
      <c r="M1043" s="14"/>
    </row>
    <row r="1044" spans="13:13" x14ac:dyDescent="0.35">
      <c r="M1044" s="14"/>
    </row>
    <row r="1045" spans="13:13" x14ac:dyDescent="0.35">
      <c r="M1045" s="14"/>
    </row>
    <row r="1046" spans="13:13" x14ac:dyDescent="0.35">
      <c r="M1046" s="14"/>
    </row>
    <row r="1047" spans="13:13" x14ac:dyDescent="0.35">
      <c r="M1047" s="14"/>
    </row>
    <row r="1048" spans="13:13" x14ac:dyDescent="0.35">
      <c r="M1048" s="14"/>
    </row>
    <row r="1049" spans="13:13" x14ac:dyDescent="0.35">
      <c r="M1049" s="14"/>
    </row>
    <row r="1050" spans="13:13" x14ac:dyDescent="0.35">
      <c r="M1050" s="14"/>
    </row>
    <row r="1051" spans="13:13" x14ac:dyDescent="0.35">
      <c r="M1051" s="14"/>
    </row>
    <row r="1052" spans="13:13" x14ac:dyDescent="0.35">
      <c r="M1052" s="14"/>
    </row>
    <row r="1053" spans="13:13" x14ac:dyDescent="0.35">
      <c r="M1053" s="14"/>
    </row>
    <row r="1054" spans="13:13" x14ac:dyDescent="0.35">
      <c r="M1054" s="14"/>
    </row>
    <row r="1055" spans="13:13" x14ac:dyDescent="0.35">
      <c r="M1055" s="14"/>
    </row>
    <row r="1056" spans="13:13" x14ac:dyDescent="0.35">
      <c r="M1056" s="14"/>
    </row>
    <row r="1057" spans="13:13" x14ac:dyDescent="0.35">
      <c r="M1057" s="14"/>
    </row>
    <row r="1058" spans="13:13" x14ac:dyDescent="0.35">
      <c r="M1058" s="14"/>
    </row>
    <row r="1059" spans="13:13" x14ac:dyDescent="0.35">
      <c r="M1059" s="14"/>
    </row>
    <row r="1060" spans="13:13" x14ac:dyDescent="0.35">
      <c r="M1060" s="14"/>
    </row>
    <row r="1061" spans="13:13" x14ac:dyDescent="0.35">
      <c r="M1061" s="14"/>
    </row>
    <row r="1062" spans="13:13" x14ac:dyDescent="0.35">
      <c r="M1062" s="14"/>
    </row>
    <row r="1063" spans="13:13" x14ac:dyDescent="0.35">
      <c r="M1063" s="14"/>
    </row>
    <row r="1064" spans="13:13" x14ac:dyDescent="0.35">
      <c r="M1064" s="14"/>
    </row>
    <row r="1065" spans="13:13" x14ac:dyDescent="0.35">
      <c r="M1065" s="14"/>
    </row>
    <row r="1066" spans="13:13" x14ac:dyDescent="0.35">
      <c r="M1066" s="14"/>
    </row>
    <row r="1067" spans="13:13" x14ac:dyDescent="0.35">
      <c r="M1067" s="14"/>
    </row>
    <row r="1068" spans="13:13" x14ac:dyDescent="0.35">
      <c r="M1068" s="14"/>
    </row>
    <row r="1069" spans="13:13" x14ac:dyDescent="0.35">
      <c r="M1069" s="14"/>
    </row>
    <row r="1070" spans="13:13" x14ac:dyDescent="0.35">
      <c r="M1070" s="14"/>
    </row>
    <row r="1071" spans="13:13" x14ac:dyDescent="0.35">
      <c r="M1071" s="14"/>
    </row>
    <row r="1072" spans="13:13" x14ac:dyDescent="0.35">
      <c r="M1072" s="14"/>
    </row>
    <row r="1073" spans="13:13" x14ac:dyDescent="0.35">
      <c r="M1073" s="14"/>
    </row>
    <row r="1074" spans="13:13" x14ac:dyDescent="0.35">
      <c r="M1074" s="14"/>
    </row>
    <row r="1075" spans="13:13" x14ac:dyDescent="0.35">
      <c r="M1075" s="14"/>
    </row>
    <row r="1076" spans="13:13" x14ac:dyDescent="0.35">
      <c r="M1076" s="14"/>
    </row>
    <row r="1077" spans="13:13" x14ac:dyDescent="0.35">
      <c r="M1077" s="14"/>
    </row>
    <row r="1078" spans="13:13" x14ac:dyDescent="0.35">
      <c r="M1078" s="14"/>
    </row>
    <row r="1079" spans="13:13" x14ac:dyDescent="0.35">
      <c r="M1079" s="14"/>
    </row>
    <row r="1080" spans="13:13" x14ac:dyDescent="0.35">
      <c r="M1080" s="14"/>
    </row>
    <row r="1081" spans="13:13" x14ac:dyDescent="0.35">
      <c r="M1081" s="14"/>
    </row>
    <row r="1082" spans="13:13" x14ac:dyDescent="0.35">
      <c r="M1082" s="14"/>
    </row>
    <row r="1083" spans="13:13" x14ac:dyDescent="0.35">
      <c r="M1083" s="14"/>
    </row>
    <row r="1084" spans="13:13" x14ac:dyDescent="0.35">
      <c r="M1084" s="14"/>
    </row>
    <row r="1085" spans="13:13" x14ac:dyDescent="0.35">
      <c r="M1085" s="14"/>
    </row>
    <row r="1086" spans="13:13" x14ac:dyDescent="0.35">
      <c r="M1086" s="14"/>
    </row>
    <row r="1087" spans="13:13" x14ac:dyDescent="0.35">
      <c r="M1087" s="14"/>
    </row>
    <row r="1088" spans="13:13" x14ac:dyDescent="0.35">
      <c r="M1088" s="14"/>
    </row>
    <row r="1089" spans="13:13" x14ac:dyDescent="0.35">
      <c r="M1089" s="14"/>
    </row>
    <row r="1090" spans="13:13" x14ac:dyDescent="0.35">
      <c r="M1090" s="14"/>
    </row>
    <row r="1091" spans="13:13" x14ac:dyDescent="0.35">
      <c r="M1091" s="14"/>
    </row>
    <row r="1092" spans="13:13" x14ac:dyDescent="0.35">
      <c r="M1092" s="14"/>
    </row>
    <row r="1093" spans="13:13" x14ac:dyDescent="0.35">
      <c r="M1093" s="14"/>
    </row>
    <row r="1094" spans="13:13" x14ac:dyDescent="0.35">
      <c r="M1094" s="14"/>
    </row>
    <row r="1095" spans="13:13" x14ac:dyDescent="0.35">
      <c r="M1095" s="14"/>
    </row>
    <row r="1096" spans="13:13" x14ac:dyDescent="0.35">
      <c r="M1096" s="14"/>
    </row>
    <row r="1097" spans="13:13" x14ac:dyDescent="0.35">
      <c r="M1097" s="14"/>
    </row>
    <row r="1098" spans="13:13" x14ac:dyDescent="0.35">
      <c r="M1098" s="14"/>
    </row>
    <row r="1099" spans="13:13" x14ac:dyDescent="0.35">
      <c r="M1099" s="14"/>
    </row>
    <row r="1100" spans="13:13" x14ac:dyDescent="0.35">
      <c r="M1100" s="14"/>
    </row>
    <row r="1101" spans="13:13" x14ac:dyDescent="0.35">
      <c r="M1101" s="14"/>
    </row>
    <row r="1102" spans="13:13" x14ac:dyDescent="0.35">
      <c r="M1102" s="14"/>
    </row>
    <row r="1103" spans="13:13" x14ac:dyDescent="0.35">
      <c r="M1103" s="14"/>
    </row>
    <row r="1104" spans="13:13" x14ac:dyDescent="0.35">
      <c r="M1104" s="14"/>
    </row>
    <row r="1105" spans="13:13" x14ac:dyDescent="0.35">
      <c r="M1105" s="14"/>
    </row>
    <row r="1106" spans="13:13" x14ac:dyDescent="0.35">
      <c r="M1106" s="14"/>
    </row>
    <row r="1107" spans="13:13" x14ac:dyDescent="0.35">
      <c r="M1107" s="14"/>
    </row>
    <row r="1108" spans="13:13" x14ac:dyDescent="0.35">
      <c r="M1108" s="14"/>
    </row>
    <row r="1109" spans="13:13" x14ac:dyDescent="0.35">
      <c r="M1109" s="14"/>
    </row>
    <row r="1110" spans="13:13" x14ac:dyDescent="0.35">
      <c r="M1110" s="14"/>
    </row>
    <row r="1111" spans="13:13" x14ac:dyDescent="0.35">
      <c r="M1111" s="14"/>
    </row>
    <row r="1112" spans="13:13" x14ac:dyDescent="0.35">
      <c r="M1112" s="14"/>
    </row>
    <row r="1113" spans="13:13" x14ac:dyDescent="0.35">
      <c r="M1113" s="14"/>
    </row>
    <row r="1114" spans="13:13" x14ac:dyDescent="0.35">
      <c r="M1114" s="14"/>
    </row>
    <row r="1115" spans="13:13" x14ac:dyDescent="0.35">
      <c r="M1115" s="14"/>
    </row>
    <row r="1116" spans="13:13" x14ac:dyDescent="0.35">
      <c r="M1116" s="14"/>
    </row>
    <row r="1117" spans="13:13" x14ac:dyDescent="0.35">
      <c r="M1117" s="14"/>
    </row>
    <row r="1118" spans="13:13" x14ac:dyDescent="0.35">
      <c r="M1118" s="14"/>
    </row>
    <row r="1119" spans="13:13" x14ac:dyDescent="0.35">
      <c r="M1119" s="14"/>
    </row>
    <row r="1120" spans="13:13" x14ac:dyDescent="0.35">
      <c r="M1120" s="14"/>
    </row>
    <row r="1121" spans="13:13" x14ac:dyDescent="0.35">
      <c r="M1121" s="14"/>
    </row>
    <row r="1122" spans="13:13" x14ac:dyDescent="0.35">
      <c r="M1122" s="14"/>
    </row>
    <row r="1123" spans="13:13" x14ac:dyDescent="0.35">
      <c r="M1123" s="14"/>
    </row>
    <row r="1124" spans="13:13" x14ac:dyDescent="0.35">
      <c r="M1124" s="14"/>
    </row>
    <row r="1125" spans="13:13" x14ac:dyDescent="0.35">
      <c r="M1125" s="14"/>
    </row>
    <row r="1126" spans="13:13" x14ac:dyDescent="0.35">
      <c r="M1126" s="14"/>
    </row>
    <row r="1127" spans="13:13" x14ac:dyDescent="0.35">
      <c r="M1127" s="14"/>
    </row>
    <row r="1128" spans="13:13" x14ac:dyDescent="0.35">
      <c r="M1128" s="14"/>
    </row>
    <row r="1129" spans="13:13" x14ac:dyDescent="0.35">
      <c r="M1129" s="14"/>
    </row>
    <row r="1130" spans="13:13" x14ac:dyDescent="0.35">
      <c r="M1130" s="14"/>
    </row>
    <row r="1131" spans="13:13" x14ac:dyDescent="0.35">
      <c r="M1131" s="14"/>
    </row>
    <row r="1132" spans="13:13" x14ac:dyDescent="0.35">
      <c r="M1132" s="14"/>
    </row>
    <row r="1133" spans="13:13" x14ac:dyDescent="0.35">
      <c r="M1133" s="14"/>
    </row>
    <row r="1134" spans="13:13" x14ac:dyDescent="0.35">
      <c r="M1134" s="14"/>
    </row>
    <row r="1135" spans="13:13" x14ac:dyDescent="0.35">
      <c r="M1135" s="14"/>
    </row>
    <row r="1136" spans="13:13" x14ac:dyDescent="0.35">
      <c r="M1136" s="14"/>
    </row>
    <row r="1137" spans="13:13" x14ac:dyDescent="0.35">
      <c r="M1137" s="14"/>
    </row>
    <row r="1138" spans="13:13" x14ac:dyDescent="0.35">
      <c r="M1138" s="14"/>
    </row>
    <row r="1139" spans="13:13" x14ac:dyDescent="0.35">
      <c r="M1139" s="14"/>
    </row>
    <row r="1140" spans="13:13" x14ac:dyDescent="0.35">
      <c r="M1140" s="14"/>
    </row>
    <row r="1141" spans="13:13" x14ac:dyDescent="0.35">
      <c r="M1141" s="14"/>
    </row>
    <row r="1142" spans="13:13" x14ac:dyDescent="0.35">
      <c r="M1142" s="14"/>
    </row>
    <row r="1143" spans="13:13" x14ac:dyDescent="0.35">
      <c r="M1143" s="14"/>
    </row>
    <row r="1144" spans="13:13" x14ac:dyDescent="0.35">
      <c r="M1144" s="14"/>
    </row>
    <row r="1145" spans="13:13" x14ac:dyDescent="0.35">
      <c r="M1145" s="14"/>
    </row>
    <row r="1146" spans="13:13" x14ac:dyDescent="0.35">
      <c r="M1146" s="14"/>
    </row>
    <row r="1147" spans="13:13" x14ac:dyDescent="0.35">
      <c r="M1147" s="14"/>
    </row>
    <row r="1148" spans="13:13" x14ac:dyDescent="0.35">
      <c r="M1148" s="14"/>
    </row>
    <row r="1149" spans="13:13" x14ac:dyDescent="0.35">
      <c r="M1149" s="14"/>
    </row>
    <row r="1150" spans="13:13" x14ac:dyDescent="0.35">
      <c r="M1150" s="14"/>
    </row>
    <row r="1151" spans="13:13" x14ac:dyDescent="0.35">
      <c r="M1151" s="14"/>
    </row>
    <row r="1152" spans="13:13" x14ac:dyDescent="0.35">
      <c r="M1152" s="14"/>
    </row>
    <row r="1153" spans="13:13" x14ac:dyDescent="0.35">
      <c r="M1153" s="14"/>
    </row>
    <row r="1154" spans="13:13" x14ac:dyDescent="0.35">
      <c r="M1154" s="14"/>
    </row>
    <row r="1155" spans="13:13" x14ac:dyDescent="0.35">
      <c r="M1155" s="14"/>
    </row>
    <row r="1156" spans="13:13" x14ac:dyDescent="0.35">
      <c r="M1156" s="14"/>
    </row>
    <row r="1157" spans="13:13" x14ac:dyDescent="0.35">
      <c r="M1157" s="14"/>
    </row>
    <row r="1158" spans="13:13" x14ac:dyDescent="0.35">
      <c r="M1158" s="14"/>
    </row>
    <row r="1159" spans="13:13" x14ac:dyDescent="0.35">
      <c r="M1159" s="14"/>
    </row>
    <row r="1160" spans="13:13" x14ac:dyDescent="0.35">
      <c r="M1160" s="14"/>
    </row>
    <row r="1161" spans="13:13" x14ac:dyDescent="0.35">
      <c r="M1161" s="14"/>
    </row>
    <row r="1162" spans="13:13" x14ac:dyDescent="0.35">
      <c r="M1162" s="14"/>
    </row>
    <row r="1163" spans="13:13" x14ac:dyDescent="0.35">
      <c r="M1163" s="14"/>
    </row>
    <row r="1164" spans="13:13" x14ac:dyDescent="0.35">
      <c r="M1164" s="14"/>
    </row>
    <row r="1165" spans="13:13" x14ac:dyDescent="0.35">
      <c r="M1165" s="14"/>
    </row>
    <row r="1166" spans="13:13" x14ac:dyDescent="0.35">
      <c r="M1166" s="14"/>
    </row>
    <row r="1167" spans="13:13" x14ac:dyDescent="0.35">
      <c r="M1167" s="14"/>
    </row>
    <row r="1168" spans="13:13" x14ac:dyDescent="0.35">
      <c r="M1168" s="14"/>
    </row>
    <row r="1169" spans="13:13" x14ac:dyDescent="0.35">
      <c r="M1169" s="14"/>
    </row>
    <row r="1170" spans="13:13" x14ac:dyDescent="0.35">
      <c r="M1170" s="14"/>
    </row>
    <row r="1171" spans="13:13" x14ac:dyDescent="0.35">
      <c r="M1171" s="14"/>
    </row>
    <row r="1172" spans="13:13" x14ac:dyDescent="0.35">
      <c r="M1172" s="14"/>
    </row>
    <row r="1173" spans="13:13" x14ac:dyDescent="0.35">
      <c r="M1173" s="14"/>
    </row>
    <row r="1174" spans="13:13" x14ac:dyDescent="0.35">
      <c r="M1174" s="14"/>
    </row>
    <row r="1175" spans="13:13" x14ac:dyDescent="0.35">
      <c r="M1175" s="14"/>
    </row>
    <row r="1176" spans="13:13" x14ac:dyDescent="0.35">
      <c r="M1176" s="14"/>
    </row>
    <row r="1177" spans="13:13" x14ac:dyDescent="0.35">
      <c r="M1177" s="14"/>
    </row>
    <row r="1178" spans="13:13" x14ac:dyDescent="0.35">
      <c r="M1178" s="14"/>
    </row>
    <row r="1179" spans="13:13" x14ac:dyDescent="0.35">
      <c r="M1179" s="14"/>
    </row>
    <row r="1180" spans="13:13" x14ac:dyDescent="0.35">
      <c r="M1180" s="14"/>
    </row>
    <row r="1181" spans="13:13" x14ac:dyDescent="0.35">
      <c r="M1181" s="14"/>
    </row>
    <row r="1182" spans="13:13" x14ac:dyDescent="0.35">
      <c r="M1182" s="14"/>
    </row>
    <row r="1183" spans="13:13" x14ac:dyDescent="0.35">
      <c r="M1183" s="14"/>
    </row>
    <row r="1184" spans="13:13" x14ac:dyDescent="0.35">
      <c r="M1184" s="14"/>
    </row>
    <row r="1185" spans="13:13" x14ac:dyDescent="0.35">
      <c r="M1185" s="14"/>
    </row>
    <row r="1186" spans="13:13" x14ac:dyDescent="0.35">
      <c r="M1186" s="14"/>
    </row>
    <row r="1187" spans="13:13" x14ac:dyDescent="0.35">
      <c r="M1187" s="14"/>
    </row>
    <row r="1188" spans="13:13" x14ac:dyDescent="0.35">
      <c r="M1188" s="14"/>
    </row>
    <row r="1189" spans="13:13" x14ac:dyDescent="0.35">
      <c r="M1189" s="14"/>
    </row>
    <row r="1190" spans="13:13" x14ac:dyDescent="0.35">
      <c r="M1190" s="14"/>
    </row>
    <row r="1191" spans="13:13" x14ac:dyDescent="0.35">
      <c r="M1191" s="14"/>
    </row>
    <row r="1192" spans="13:13" x14ac:dyDescent="0.35">
      <c r="M1192" s="14"/>
    </row>
    <row r="1193" spans="13:13" x14ac:dyDescent="0.35">
      <c r="M1193" s="14"/>
    </row>
    <row r="1194" spans="13:13" x14ac:dyDescent="0.35">
      <c r="M1194" s="14"/>
    </row>
    <row r="1195" spans="13:13" x14ac:dyDescent="0.35">
      <c r="M1195" s="14"/>
    </row>
    <row r="1196" spans="13:13" x14ac:dyDescent="0.35">
      <c r="M1196" s="14"/>
    </row>
    <row r="1197" spans="13:13" x14ac:dyDescent="0.35">
      <c r="M1197" s="14"/>
    </row>
    <row r="1198" spans="13:13" x14ac:dyDescent="0.35">
      <c r="M1198" s="14"/>
    </row>
    <row r="1199" spans="13:13" x14ac:dyDescent="0.35">
      <c r="M1199" s="14"/>
    </row>
    <row r="1200" spans="13:13" x14ac:dyDescent="0.35">
      <c r="M1200" s="14"/>
    </row>
    <row r="1201" spans="13:13" x14ac:dyDescent="0.35">
      <c r="M1201" s="14"/>
    </row>
    <row r="1202" spans="13:13" x14ac:dyDescent="0.35">
      <c r="M1202" s="14"/>
    </row>
    <row r="1203" spans="13:13" x14ac:dyDescent="0.35">
      <c r="M1203" s="14"/>
    </row>
    <row r="1204" spans="13:13" x14ac:dyDescent="0.35">
      <c r="M1204" s="14"/>
    </row>
    <row r="1205" spans="13:13" x14ac:dyDescent="0.35">
      <c r="M1205" s="14"/>
    </row>
    <row r="1206" spans="13:13" x14ac:dyDescent="0.35">
      <c r="M1206" s="14"/>
    </row>
    <row r="1207" spans="13:13" x14ac:dyDescent="0.35">
      <c r="M1207" s="14"/>
    </row>
    <row r="1208" spans="13:13" x14ac:dyDescent="0.35">
      <c r="M1208" s="14"/>
    </row>
    <row r="1209" spans="13:13" x14ac:dyDescent="0.35">
      <c r="M1209" s="14"/>
    </row>
    <row r="1210" spans="13:13" x14ac:dyDescent="0.35">
      <c r="M1210" s="14"/>
    </row>
    <row r="1211" spans="13:13" x14ac:dyDescent="0.35">
      <c r="M1211" s="14"/>
    </row>
    <row r="1212" spans="13:13" x14ac:dyDescent="0.35">
      <c r="M1212" s="14"/>
    </row>
    <row r="1213" spans="13:13" x14ac:dyDescent="0.35">
      <c r="M1213" s="14"/>
    </row>
    <row r="1214" spans="13:13" x14ac:dyDescent="0.35">
      <c r="M1214" s="14"/>
    </row>
    <row r="1215" spans="13:13" x14ac:dyDescent="0.35">
      <c r="M1215" s="14"/>
    </row>
    <row r="1216" spans="13:13" x14ac:dyDescent="0.35">
      <c r="M1216" s="14"/>
    </row>
    <row r="1217" spans="13:13" x14ac:dyDescent="0.35">
      <c r="M1217" s="14"/>
    </row>
    <row r="1218" spans="13:13" x14ac:dyDescent="0.35">
      <c r="M1218" s="14"/>
    </row>
    <row r="1219" spans="13:13" x14ac:dyDescent="0.35">
      <c r="M1219" s="14"/>
    </row>
    <row r="1220" spans="13:13" x14ac:dyDescent="0.35">
      <c r="M1220" s="14"/>
    </row>
    <row r="1221" spans="13:13" x14ac:dyDescent="0.35">
      <c r="M1221" s="14"/>
    </row>
    <row r="1222" spans="13:13" x14ac:dyDescent="0.35">
      <c r="M1222" s="14"/>
    </row>
    <row r="1223" spans="13:13" x14ac:dyDescent="0.35">
      <c r="M1223" s="14"/>
    </row>
    <row r="1224" spans="13:13" x14ac:dyDescent="0.35">
      <c r="M1224" s="14"/>
    </row>
    <row r="1225" spans="13:13" x14ac:dyDescent="0.35">
      <c r="M1225" s="14"/>
    </row>
    <row r="1226" spans="13:13" x14ac:dyDescent="0.35">
      <c r="M1226" s="14"/>
    </row>
    <row r="1227" spans="13:13" x14ac:dyDescent="0.35">
      <c r="M1227" s="14"/>
    </row>
    <row r="1228" spans="13:13" x14ac:dyDescent="0.35">
      <c r="M1228" s="14"/>
    </row>
    <row r="1229" spans="13:13" x14ac:dyDescent="0.35">
      <c r="M1229" s="14"/>
    </row>
    <row r="1230" spans="13:13" x14ac:dyDescent="0.35">
      <c r="M1230" s="14"/>
    </row>
    <row r="1231" spans="13:13" x14ac:dyDescent="0.35">
      <c r="M1231" s="14"/>
    </row>
    <row r="1232" spans="13:13" x14ac:dyDescent="0.35">
      <c r="M1232" s="14"/>
    </row>
    <row r="1233" spans="13:13" x14ac:dyDescent="0.35">
      <c r="M1233" s="14"/>
    </row>
    <row r="1234" spans="13:13" x14ac:dyDescent="0.35">
      <c r="M1234" s="14"/>
    </row>
    <row r="1235" spans="13:13" x14ac:dyDescent="0.35">
      <c r="M1235" s="14"/>
    </row>
    <row r="1236" spans="13:13" x14ac:dyDescent="0.35">
      <c r="M1236" s="14"/>
    </row>
    <row r="1237" spans="13:13" x14ac:dyDescent="0.35">
      <c r="M1237" s="14"/>
    </row>
    <row r="1238" spans="13:13" x14ac:dyDescent="0.35">
      <c r="M1238" s="14"/>
    </row>
    <row r="1239" spans="13:13" x14ac:dyDescent="0.35">
      <c r="M1239" s="14"/>
    </row>
    <row r="1240" spans="13:13" x14ac:dyDescent="0.35">
      <c r="M1240" s="14"/>
    </row>
    <row r="1241" spans="13:13" x14ac:dyDescent="0.35">
      <c r="M1241" s="14"/>
    </row>
    <row r="1242" spans="13:13" x14ac:dyDescent="0.35">
      <c r="M1242" s="14"/>
    </row>
    <row r="1243" spans="13:13" x14ac:dyDescent="0.35">
      <c r="M1243" s="14"/>
    </row>
    <row r="1244" spans="13:13" x14ac:dyDescent="0.35">
      <c r="M1244" s="14"/>
    </row>
    <row r="1245" spans="13:13" x14ac:dyDescent="0.35">
      <c r="M1245" s="14"/>
    </row>
    <row r="1246" spans="13:13" x14ac:dyDescent="0.35">
      <c r="M1246" s="14"/>
    </row>
    <row r="1247" spans="13:13" x14ac:dyDescent="0.35">
      <c r="M1247" s="14"/>
    </row>
    <row r="1248" spans="13:13" x14ac:dyDescent="0.35">
      <c r="M1248" s="14"/>
    </row>
    <row r="1249" spans="13:13" x14ac:dyDescent="0.35">
      <c r="M1249" s="14"/>
    </row>
    <row r="1250" spans="13:13" x14ac:dyDescent="0.35">
      <c r="M1250" s="14"/>
    </row>
    <row r="1251" spans="13:13" x14ac:dyDescent="0.35">
      <c r="M1251" s="14"/>
    </row>
    <row r="1252" spans="13:13" x14ac:dyDescent="0.35">
      <c r="M1252" s="14"/>
    </row>
    <row r="1253" spans="13:13" x14ac:dyDescent="0.35">
      <c r="M1253" s="14"/>
    </row>
    <row r="1254" spans="13:13" x14ac:dyDescent="0.35">
      <c r="M1254" s="14"/>
    </row>
    <row r="1255" spans="13:13" x14ac:dyDescent="0.35">
      <c r="M1255" s="14"/>
    </row>
    <row r="1256" spans="13:13" x14ac:dyDescent="0.35">
      <c r="M1256" s="14"/>
    </row>
    <row r="1257" spans="13:13" x14ac:dyDescent="0.35">
      <c r="M1257" s="14"/>
    </row>
    <row r="1258" spans="13:13" x14ac:dyDescent="0.35">
      <c r="M1258" s="14"/>
    </row>
    <row r="1259" spans="13:13" x14ac:dyDescent="0.35">
      <c r="M1259" s="14"/>
    </row>
    <row r="1260" spans="13:13" x14ac:dyDescent="0.35">
      <c r="M1260" s="14"/>
    </row>
    <row r="1261" spans="13:13" x14ac:dyDescent="0.35">
      <c r="M1261" s="14"/>
    </row>
    <row r="1262" spans="13:13" x14ac:dyDescent="0.35">
      <c r="M1262" s="14"/>
    </row>
    <row r="1263" spans="13:13" x14ac:dyDescent="0.35">
      <c r="M1263" s="14"/>
    </row>
    <row r="1264" spans="13:13" x14ac:dyDescent="0.35">
      <c r="M1264" s="14"/>
    </row>
    <row r="1265" spans="13:13" x14ac:dyDescent="0.35">
      <c r="M1265" s="14"/>
    </row>
    <row r="1266" spans="13:13" x14ac:dyDescent="0.35">
      <c r="M1266" s="14"/>
    </row>
    <row r="1267" spans="13:13" x14ac:dyDescent="0.35">
      <c r="M1267" s="14"/>
    </row>
    <row r="1268" spans="13:13" x14ac:dyDescent="0.35">
      <c r="M1268" s="14"/>
    </row>
    <row r="1269" spans="13:13" x14ac:dyDescent="0.35">
      <c r="M1269" s="14"/>
    </row>
    <row r="1270" spans="13:13" x14ac:dyDescent="0.35">
      <c r="M1270" s="14"/>
    </row>
    <row r="1271" spans="13:13" x14ac:dyDescent="0.35">
      <c r="M1271" s="14"/>
    </row>
    <row r="1272" spans="13:13" x14ac:dyDescent="0.35">
      <c r="M1272" s="14"/>
    </row>
    <row r="1273" spans="13:13" x14ac:dyDescent="0.35">
      <c r="M1273" s="14"/>
    </row>
    <row r="1274" spans="13:13" x14ac:dyDescent="0.35">
      <c r="M1274" s="14"/>
    </row>
    <row r="1275" spans="13:13" x14ac:dyDescent="0.35">
      <c r="M1275" s="14"/>
    </row>
    <row r="1276" spans="13:13" x14ac:dyDescent="0.35">
      <c r="M1276" s="14"/>
    </row>
    <row r="1277" spans="13:13" x14ac:dyDescent="0.35">
      <c r="M1277" s="14"/>
    </row>
    <row r="1278" spans="13:13" x14ac:dyDescent="0.35">
      <c r="M1278" s="14"/>
    </row>
    <row r="1279" spans="13:13" x14ac:dyDescent="0.35">
      <c r="M1279" s="14"/>
    </row>
    <row r="1280" spans="13:13" x14ac:dyDescent="0.35">
      <c r="M1280" s="14"/>
    </row>
    <row r="1281" spans="13:13" x14ac:dyDescent="0.35">
      <c r="M1281" s="14"/>
    </row>
    <row r="1282" spans="13:13" x14ac:dyDescent="0.35">
      <c r="M1282" s="14"/>
    </row>
    <row r="1283" spans="13:13" x14ac:dyDescent="0.35">
      <c r="M1283" s="14"/>
    </row>
    <row r="1284" spans="13:13" x14ac:dyDescent="0.35">
      <c r="M1284" s="14"/>
    </row>
    <row r="1285" spans="13:13" x14ac:dyDescent="0.35">
      <c r="M1285" s="14"/>
    </row>
    <row r="1286" spans="13:13" x14ac:dyDescent="0.35">
      <c r="M1286" s="14"/>
    </row>
    <row r="1287" spans="13:13" x14ac:dyDescent="0.35">
      <c r="M1287" s="14"/>
    </row>
    <row r="1288" spans="13:13" x14ac:dyDescent="0.35">
      <c r="M1288" s="14"/>
    </row>
    <row r="1289" spans="13:13" x14ac:dyDescent="0.35">
      <c r="M1289" s="14"/>
    </row>
    <row r="1290" spans="13:13" x14ac:dyDescent="0.35">
      <c r="M1290" s="14"/>
    </row>
    <row r="1291" spans="13:13" x14ac:dyDescent="0.35">
      <c r="M1291" s="14"/>
    </row>
    <row r="1292" spans="13:13" x14ac:dyDescent="0.35">
      <c r="M1292" s="14"/>
    </row>
    <row r="1293" spans="13:13" x14ac:dyDescent="0.35">
      <c r="M1293" s="14"/>
    </row>
    <row r="1294" spans="13:13" x14ac:dyDescent="0.35">
      <c r="M1294" s="14"/>
    </row>
    <row r="1295" spans="13:13" x14ac:dyDescent="0.35">
      <c r="M1295" s="14"/>
    </row>
    <row r="1296" spans="13:13" x14ac:dyDescent="0.35">
      <c r="M1296" s="14"/>
    </row>
    <row r="1297" spans="13:13" x14ac:dyDescent="0.35">
      <c r="M1297" s="14"/>
    </row>
    <row r="1298" spans="13:13" x14ac:dyDescent="0.35">
      <c r="M1298" s="14"/>
    </row>
    <row r="1299" spans="13:13" x14ac:dyDescent="0.35">
      <c r="M1299" s="14"/>
    </row>
    <row r="1300" spans="13:13" x14ac:dyDescent="0.35">
      <c r="M1300" s="14"/>
    </row>
    <row r="1301" spans="13:13" x14ac:dyDescent="0.35">
      <c r="M1301" s="14"/>
    </row>
    <row r="1302" spans="13:13" x14ac:dyDescent="0.35">
      <c r="M1302" s="14"/>
    </row>
    <row r="1303" spans="13:13" x14ac:dyDescent="0.35">
      <c r="M1303" s="14"/>
    </row>
    <row r="1304" spans="13:13" x14ac:dyDescent="0.35">
      <c r="M1304" s="14"/>
    </row>
    <row r="1305" spans="13:13" x14ac:dyDescent="0.35">
      <c r="M1305" s="14"/>
    </row>
    <row r="1306" spans="13:13" x14ac:dyDescent="0.35">
      <c r="M1306" s="14"/>
    </row>
    <row r="1307" spans="13:13" x14ac:dyDescent="0.35">
      <c r="M1307" s="14"/>
    </row>
    <row r="1308" spans="13:13" x14ac:dyDescent="0.35">
      <c r="M1308" s="14"/>
    </row>
    <row r="1309" spans="13:13" x14ac:dyDescent="0.35">
      <c r="M1309" s="14"/>
    </row>
    <row r="1310" spans="13:13" x14ac:dyDescent="0.35">
      <c r="M1310" s="14"/>
    </row>
    <row r="1311" spans="13:13" x14ac:dyDescent="0.35">
      <c r="M1311" s="14"/>
    </row>
    <row r="1312" spans="13:13" x14ac:dyDescent="0.35">
      <c r="M1312" s="14"/>
    </row>
    <row r="1313" spans="13:13" x14ac:dyDescent="0.35">
      <c r="M1313" s="14"/>
    </row>
    <row r="1314" spans="13:13" x14ac:dyDescent="0.35">
      <c r="M1314" s="14"/>
    </row>
    <row r="1315" spans="13:13" x14ac:dyDescent="0.35">
      <c r="M1315" s="14"/>
    </row>
    <row r="1316" spans="13:13" x14ac:dyDescent="0.35">
      <c r="M1316" s="14"/>
    </row>
    <row r="1317" spans="13:13" x14ac:dyDescent="0.35">
      <c r="M1317" s="14"/>
    </row>
    <row r="1318" spans="13:13" x14ac:dyDescent="0.35">
      <c r="M1318" s="14"/>
    </row>
    <row r="1319" spans="13:13" x14ac:dyDescent="0.35">
      <c r="M1319" s="14"/>
    </row>
    <row r="1320" spans="13:13" x14ac:dyDescent="0.35">
      <c r="M1320" s="14"/>
    </row>
    <row r="1321" spans="13:13" x14ac:dyDescent="0.35">
      <c r="M1321" s="14"/>
    </row>
    <row r="1322" spans="13:13" x14ac:dyDescent="0.35">
      <c r="M1322" s="14"/>
    </row>
    <row r="1323" spans="13:13" x14ac:dyDescent="0.35">
      <c r="M1323" s="14"/>
    </row>
    <row r="1324" spans="13:13" x14ac:dyDescent="0.35">
      <c r="M1324" s="14"/>
    </row>
    <row r="1325" spans="13:13" x14ac:dyDescent="0.35">
      <c r="M1325" s="14"/>
    </row>
    <row r="1326" spans="13:13" x14ac:dyDescent="0.35">
      <c r="M1326" s="14"/>
    </row>
    <row r="1327" spans="13:13" x14ac:dyDescent="0.35">
      <c r="M1327" s="14"/>
    </row>
    <row r="1328" spans="13:13" x14ac:dyDescent="0.35">
      <c r="M1328" s="14"/>
    </row>
    <row r="1329" spans="13:13" x14ac:dyDescent="0.35">
      <c r="M1329" s="14"/>
    </row>
    <row r="1330" spans="13:13" x14ac:dyDescent="0.35">
      <c r="M1330" s="14"/>
    </row>
    <row r="1331" spans="13:13" x14ac:dyDescent="0.35">
      <c r="M1331" s="14"/>
    </row>
    <row r="1332" spans="13:13" x14ac:dyDescent="0.35">
      <c r="M1332" s="14"/>
    </row>
    <row r="1333" spans="13:13" x14ac:dyDescent="0.35">
      <c r="M1333" s="14"/>
    </row>
    <row r="1334" spans="13:13" x14ac:dyDescent="0.35">
      <c r="M1334" s="14"/>
    </row>
    <row r="1335" spans="13:13" x14ac:dyDescent="0.35">
      <c r="M1335" s="14"/>
    </row>
    <row r="1336" spans="13:13" x14ac:dyDescent="0.35">
      <c r="M1336" s="14"/>
    </row>
    <row r="1337" spans="13:13" x14ac:dyDescent="0.35">
      <c r="M1337" s="14"/>
    </row>
    <row r="1338" spans="13:13" x14ac:dyDescent="0.35">
      <c r="M1338" s="14"/>
    </row>
    <row r="1339" spans="13:13" x14ac:dyDescent="0.35">
      <c r="M1339" s="14"/>
    </row>
    <row r="1340" spans="13:13" x14ac:dyDescent="0.35">
      <c r="M1340" s="14"/>
    </row>
    <row r="1341" spans="13:13" x14ac:dyDescent="0.35">
      <c r="M1341" s="14"/>
    </row>
    <row r="1342" spans="13:13" x14ac:dyDescent="0.35">
      <c r="M1342" s="14"/>
    </row>
    <row r="1343" spans="13:13" x14ac:dyDescent="0.35">
      <c r="M1343" s="14"/>
    </row>
    <row r="1344" spans="13:13" x14ac:dyDescent="0.35">
      <c r="M1344" s="14"/>
    </row>
    <row r="1345" spans="13:13" x14ac:dyDescent="0.35">
      <c r="M1345" s="14"/>
    </row>
    <row r="1346" spans="13:13" x14ac:dyDescent="0.35">
      <c r="M1346" s="14"/>
    </row>
    <row r="1347" spans="13:13" x14ac:dyDescent="0.35">
      <c r="M1347" s="14"/>
    </row>
    <row r="1348" spans="13:13" x14ac:dyDescent="0.35">
      <c r="M1348" s="14"/>
    </row>
    <row r="1349" spans="13:13" x14ac:dyDescent="0.35">
      <c r="M1349" s="14"/>
    </row>
    <row r="1350" spans="13:13" x14ac:dyDescent="0.35">
      <c r="M1350" s="14"/>
    </row>
    <row r="1351" spans="13:13" x14ac:dyDescent="0.35">
      <c r="M1351" s="14"/>
    </row>
    <row r="1352" spans="13:13" x14ac:dyDescent="0.35">
      <c r="M1352" s="14"/>
    </row>
    <row r="1353" spans="13:13" x14ac:dyDescent="0.35">
      <c r="M1353" s="14"/>
    </row>
    <row r="1354" spans="13:13" x14ac:dyDescent="0.35">
      <c r="M1354" s="14"/>
    </row>
    <row r="1355" spans="13:13" x14ac:dyDescent="0.35">
      <c r="M1355" s="14"/>
    </row>
    <row r="1356" spans="13:13" x14ac:dyDescent="0.35">
      <c r="M1356" s="14"/>
    </row>
    <row r="1357" spans="13:13" x14ac:dyDescent="0.35">
      <c r="M1357" s="14"/>
    </row>
    <row r="1358" spans="13:13" x14ac:dyDescent="0.35">
      <c r="M1358" s="14"/>
    </row>
    <row r="1359" spans="13:13" x14ac:dyDescent="0.35">
      <c r="M1359" s="14"/>
    </row>
    <row r="1360" spans="13:13" x14ac:dyDescent="0.35">
      <c r="M1360" s="14"/>
    </row>
    <row r="1361" spans="13:13" x14ac:dyDescent="0.35">
      <c r="M1361" s="14"/>
    </row>
    <row r="1362" spans="13:13" x14ac:dyDescent="0.35">
      <c r="M1362" s="14"/>
    </row>
    <row r="1363" spans="13:13" x14ac:dyDescent="0.35">
      <c r="M1363" s="14"/>
    </row>
    <row r="1364" spans="13:13" x14ac:dyDescent="0.35">
      <c r="M1364" s="14"/>
    </row>
    <row r="1365" spans="13:13" x14ac:dyDescent="0.35">
      <c r="M1365" s="14"/>
    </row>
    <row r="1366" spans="13:13" x14ac:dyDescent="0.35">
      <c r="M1366" s="14"/>
    </row>
    <row r="1367" spans="13:13" x14ac:dyDescent="0.35">
      <c r="M1367" s="14"/>
    </row>
    <row r="1368" spans="13:13" x14ac:dyDescent="0.35">
      <c r="M1368" s="14"/>
    </row>
    <row r="1369" spans="13:13" x14ac:dyDescent="0.35">
      <c r="M1369" s="14"/>
    </row>
    <row r="1370" spans="13:13" x14ac:dyDescent="0.35">
      <c r="M1370" s="14"/>
    </row>
    <row r="1371" spans="13:13" x14ac:dyDescent="0.35">
      <c r="M1371" s="14"/>
    </row>
    <row r="1372" spans="13:13" x14ac:dyDescent="0.35">
      <c r="M1372" s="14"/>
    </row>
    <row r="1373" spans="13:13" x14ac:dyDescent="0.35">
      <c r="M1373" s="14"/>
    </row>
    <row r="1374" spans="13:13" x14ac:dyDescent="0.35">
      <c r="M1374" s="14"/>
    </row>
    <row r="1375" spans="13:13" x14ac:dyDescent="0.35">
      <c r="M1375" s="14"/>
    </row>
    <row r="1376" spans="13:13" x14ac:dyDescent="0.35">
      <c r="M1376" s="14"/>
    </row>
    <row r="1377" spans="13:13" x14ac:dyDescent="0.35">
      <c r="M1377" s="14"/>
    </row>
    <row r="1378" spans="13:13" x14ac:dyDescent="0.35">
      <c r="M1378" s="14"/>
    </row>
    <row r="1379" spans="13:13" x14ac:dyDescent="0.35">
      <c r="M1379" s="14"/>
    </row>
    <row r="1380" spans="13:13" x14ac:dyDescent="0.35">
      <c r="M1380" s="14"/>
    </row>
    <row r="1381" spans="13:13" x14ac:dyDescent="0.35">
      <c r="M1381" s="14"/>
    </row>
    <row r="1382" spans="13:13" x14ac:dyDescent="0.35">
      <c r="M1382" s="14"/>
    </row>
    <row r="1383" spans="13:13" x14ac:dyDescent="0.35">
      <c r="M1383" s="14"/>
    </row>
    <row r="1384" spans="13:13" x14ac:dyDescent="0.35">
      <c r="M1384" s="14"/>
    </row>
    <row r="1385" spans="13:13" x14ac:dyDescent="0.35">
      <c r="M1385" s="14"/>
    </row>
    <row r="1386" spans="13:13" x14ac:dyDescent="0.35">
      <c r="M1386" s="14"/>
    </row>
    <row r="1387" spans="13:13" x14ac:dyDescent="0.35">
      <c r="M1387" s="14"/>
    </row>
    <row r="1388" spans="13:13" x14ac:dyDescent="0.35">
      <c r="M1388" s="14"/>
    </row>
    <row r="1389" spans="13:13" x14ac:dyDescent="0.35">
      <c r="M1389" s="14"/>
    </row>
    <row r="1390" spans="13:13" x14ac:dyDescent="0.35">
      <c r="M1390" s="14"/>
    </row>
    <row r="1391" spans="13:13" x14ac:dyDescent="0.35">
      <c r="M1391" s="14"/>
    </row>
    <row r="1392" spans="13:13" x14ac:dyDescent="0.35">
      <c r="M1392" s="14"/>
    </row>
    <row r="1393" spans="13:13" x14ac:dyDescent="0.35">
      <c r="M1393" s="14"/>
    </row>
    <row r="1394" spans="13:13" x14ac:dyDescent="0.35">
      <c r="M1394" s="14"/>
    </row>
    <row r="1395" spans="13:13" x14ac:dyDescent="0.35">
      <c r="M1395" s="14"/>
    </row>
    <row r="1396" spans="13:13" x14ac:dyDescent="0.35">
      <c r="M1396" s="14"/>
    </row>
    <row r="1397" spans="13:13" x14ac:dyDescent="0.35">
      <c r="M1397" s="14"/>
    </row>
    <row r="1398" spans="13:13" x14ac:dyDescent="0.35">
      <c r="M1398" s="14"/>
    </row>
    <row r="1399" spans="13:13" x14ac:dyDescent="0.35">
      <c r="M1399" s="14"/>
    </row>
    <row r="1400" spans="13:13" x14ac:dyDescent="0.35">
      <c r="M1400" s="14"/>
    </row>
    <row r="1401" spans="13:13" x14ac:dyDescent="0.35">
      <c r="M1401" s="14"/>
    </row>
    <row r="1402" spans="13:13" x14ac:dyDescent="0.35">
      <c r="M1402" s="14"/>
    </row>
    <row r="1403" spans="13:13" x14ac:dyDescent="0.35">
      <c r="M1403" s="14"/>
    </row>
    <row r="1404" spans="13:13" x14ac:dyDescent="0.35">
      <c r="M1404" s="14"/>
    </row>
    <row r="1405" spans="13:13" x14ac:dyDescent="0.35">
      <c r="M1405" s="14"/>
    </row>
    <row r="1406" spans="13:13" x14ac:dyDescent="0.35">
      <c r="M1406" s="14"/>
    </row>
    <row r="1407" spans="13:13" x14ac:dyDescent="0.35">
      <c r="M1407" s="14"/>
    </row>
    <row r="1408" spans="13:13" x14ac:dyDescent="0.35">
      <c r="M1408" s="14"/>
    </row>
    <row r="1409" spans="13:13" x14ac:dyDescent="0.35">
      <c r="M1409" s="14"/>
    </row>
    <row r="1410" spans="13:13" x14ac:dyDescent="0.35">
      <c r="M1410" s="14"/>
    </row>
    <row r="1411" spans="13:13" x14ac:dyDescent="0.35">
      <c r="M1411" s="14"/>
    </row>
    <row r="1412" spans="13:13" x14ac:dyDescent="0.35">
      <c r="M1412" s="14"/>
    </row>
    <row r="1413" spans="13:13" x14ac:dyDescent="0.35">
      <c r="M1413" s="14"/>
    </row>
    <row r="1414" spans="13:13" x14ac:dyDescent="0.35">
      <c r="M1414" s="14"/>
    </row>
    <row r="1415" spans="13:13" x14ac:dyDescent="0.35">
      <c r="M1415" s="14"/>
    </row>
    <row r="1416" spans="13:13" x14ac:dyDescent="0.35">
      <c r="M1416" s="14"/>
    </row>
    <row r="1417" spans="13:13" x14ac:dyDescent="0.35">
      <c r="M1417" s="14"/>
    </row>
    <row r="1418" spans="13:13" x14ac:dyDescent="0.35">
      <c r="M1418" s="14"/>
    </row>
    <row r="1419" spans="13:13" x14ac:dyDescent="0.35">
      <c r="M1419" s="14"/>
    </row>
    <row r="1420" spans="13:13" x14ac:dyDescent="0.35">
      <c r="M1420" s="14"/>
    </row>
    <row r="1421" spans="13:13" x14ac:dyDescent="0.35">
      <c r="M1421" s="14"/>
    </row>
    <row r="1422" spans="13:13" x14ac:dyDescent="0.35">
      <c r="M1422" s="14"/>
    </row>
    <row r="1423" spans="13:13" x14ac:dyDescent="0.35">
      <c r="M1423" s="14"/>
    </row>
    <row r="1424" spans="13:13" x14ac:dyDescent="0.35">
      <c r="M1424" s="14"/>
    </row>
    <row r="1425" spans="13:13" x14ac:dyDescent="0.35">
      <c r="M1425" s="14"/>
    </row>
    <row r="1426" spans="13:13" x14ac:dyDescent="0.35">
      <c r="M1426" s="14"/>
    </row>
    <row r="1427" spans="13:13" x14ac:dyDescent="0.35">
      <c r="M1427" s="14"/>
    </row>
    <row r="1428" spans="13:13" x14ac:dyDescent="0.35">
      <c r="M1428" s="14"/>
    </row>
    <row r="1429" spans="13:13" x14ac:dyDescent="0.35">
      <c r="M1429" s="14"/>
    </row>
    <row r="1430" spans="13:13" x14ac:dyDescent="0.35">
      <c r="M1430" s="14"/>
    </row>
    <row r="1431" spans="13:13" x14ac:dyDescent="0.35">
      <c r="M1431" s="14"/>
    </row>
    <row r="1432" spans="13:13" x14ac:dyDescent="0.35">
      <c r="M1432" s="14"/>
    </row>
    <row r="1433" spans="13:13" x14ac:dyDescent="0.35">
      <c r="M1433" s="14"/>
    </row>
    <row r="1434" spans="13:13" x14ac:dyDescent="0.35">
      <c r="M1434" s="14"/>
    </row>
    <row r="1435" spans="13:13" x14ac:dyDescent="0.35">
      <c r="M1435" s="14"/>
    </row>
    <row r="1436" spans="13:13" x14ac:dyDescent="0.35">
      <c r="M1436" s="14"/>
    </row>
    <row r="1437" spans="13:13" x14ac:dyDescent="0.35">
      <c r="M1437" s="14"/>
    </row>
    <row r="1438" spans="13:13" x14ac:dyDescent="0.35">
      <c r="M1438" s="14"/>
    </row>
    <row r="1439" spans="13:13" x14ac:dyDescent="0.35">
      <c r="M1439" s="14"/>
    </row>
    <row r="1440" spans="13:13" x14ac:dyDescent="0.35">
      <c r="M1440" s="14"/>
    </row>
    <row r="1441" spans="13:13" x14ac:dyDescent="0.35">
      <c r="M1441" s="14"/>
    </row>
    <row r="1442" spans="13:13" x14ac:dyDescent="0.35">
      <c r="M1442" s="14"/>
    </row>
    <row r="1443" spans="13:13" x14ac:dyDescent="0.35">
      <c r="M1443" s="14"/>
    </row>
    <row r="1444" spans="13:13" x14ac:dyDescent="0.35">
      <c r="M1444" s="14"/>
    </row>
    <row r="1445" spans="13:13" x14ac:dyDescent="0.35">
      <c r="M1445" s="14"/>
    </row>
    <row r="1446" spans="13:13" x14ac:dyDescent="0.35">
      <c r="M1446" s="14"/>
    </row>
    <row r="1447" spans="13:13" x14ac:dyDescent="0.35">
      <c r="M1447" s="14"/>
    </row>
    <row r="1448" spans="13:13" x14ac:dyDescent="0.35">
      <c r="M1448" s="14"/>
    </row>
    <row r="1449" spans="13:13" x14ac:dyDescent="0.35">
      <c r="M1449" s="14"/>
    </row>
    <row r="1450" spans="13:13" x14ac:dyDescent="0.35">
      <c r="M1450" s="14"/>
    </row>
    <row r="1451" spans="13:13" x14ac:dyDescent="0.35">
      <c r="M1451" s="14"/>
    </row>
    <row r="1452" spans="13:13" x14ac:dyDescent="0.35">
      <c r="M1452" s="14"/>
    </row>
    <row r="1453" spans="13:13" x14ac:dyDescent="0.35">
      <c r="M1453" s="14"/>
    </row>
    <row r="1454" spans="13:13" x14ac:dyDescent="0.35">
      <c r="M1454" s="14"/>
    </row>
    <row r="1455" spans="13:13" x14ac:dyDescent="0.35">
      <c r="M1455" s="14"/>
    </row>
    <row r="1456" spans="13:13" x14ac:dyDescent="0.35">
      <c r="M1456" s="14"/>
    </row>
    <row r="1457" spans="13:13" x14ac:dyDescent="0.35">
      <c r="M1457" s="14"/>
    </row>
    <row r="1458" spans="13:13" x14ac:dyDescent="0.35">
      <c r="M1458" s="14"/>
    </row>
    <row r="1459" spans="13:13" x14ac:dyDescent="0.35">
      <c r="M1459" s="14"/>
    </row>
    <row r="1460" spans="13:13" x14ac:dyDescent="0.35">
      <c r="M1460" s="14"/>
    </row>
    <row r="1461" spans="13:13" x14ac:dyDescent="0.35">
      <c r="M1461" s="14"/>
    </row>
    <row r="1462" spans="13:13" x14ac:dyDescent="0.35">
      <c r="M1462" s="14"/>
    </row>
    <row r="1463" spans="13:13" x14ac:dyDescent="0.35">
      <c r="M1463" s="14"/>
    </row>
    <row r="1464" spans="13:13" x14ac:dyDescent="0.35">
      <c r="M1464" s="14"/>
    </row>
    <row r="1465" spans="13:13" x14ac:dyDescent="0.35">
      <c r="M1465" s="14"/>
    </row>
    <row r="1466" spans="13:13" x14ac:dyDescent="0.35">
      <c r="M1466" s="14"/>
    </row>
    <row r="1467" spans="13:13" x14ac:dyDescent="0.35">
      <c r="M1467" s="14"/>
    </row>
    <row r="1468" spans="13:13" x14ac:dyDescent="0.35">
      <c r="M1468" s="14"/>
    </row>
    <row r="1469" spans="13:13" x14ac:dyDescent="0.35">
      <c r="M1469" s="14"/>
    </row>
    <row r="1470" spans="13:13" x14ac:dyDescent="0.35">
      <c r="M1470" s="14"/>
    </row>
    <row r="1471" spans="13:13" x14ac:dyDescent="0.35">
      <c r="M1471" s="14"/>
    </row>
    <row r="1472" spans="13:13" x14ac:dyDescent="0.35">
      <c r="M1472" s="14"/>
    </row>
    <row r="1473" spans="13:13" x14ac:dyDescent="0.35">
      <c r="M1473" s="14"/>
    </row>
    <row r="1474" spans="13:13" x14ac:dyDescent="0.35">
      <c r="M1474" s="14"/>
    </row>
    <row r="1475" spans="13:13" x14ac:dyDescent="0.35">
      <c r="M1475" s="14"/>
    </row>
    <row r="1476" spans="13:13" x14ac:dyDescent="0.35">
      <c r="M1476" s="14"/>
    </row>
    <row r="1477" spans="13:13" x14ac:dyDescent="0.35">
      <c r="M1477" s="14"/>
    </row>
    <row r="1478" spans="13:13" x14ac:dyDescent="0.35">
      <c r="M1478" s="14"/>
    </row>
    <row r="1479" spans="13:13" x14ac:dyDescent="0.35">
      <c r="M1479" s="14"/>
    </row>
    <row r="1480" spans="13:13" x14ac:dyDescent="0.35">
      <c r="M1480" s="14"/>
    </row>
    <row r="1481" spans="13:13" x14ac:dyDescent="0.35">
      <c r="M1481" s="14"/>
    </row>
    <row r="1482" spans="13:13" x14ac:dyDescent="0.35">
      <c r="M1482" s="14"/>
    </row>
    <row r="1483" spans="13:13" x14ac:dyDescent="0.35">
      <c r="M1483" s="14"/>
    </row>
    <row r="1484" spans="13:13" x14ac:dyDescent="0.35">
      <c r="M1484" s="14"/>
    </row>
    <row r="1485" spans="13:13" x14ac:dyDescent="0.35">
      <c r="M1485" s="14"/>
    </row>
    <row r="1486" spans="13:13" x14ac:dyDescent="0.35">
      <c r="M1486" s="14"/>
    </row>
    <row r="1487" spans="13:13" x14ac:dyDescent="0.35">
      <c r="M1487" s="14"/>
    </row>
    <row r="1488" spans="13:13" x14ac:dyDescent="0.35">
      <c r="M1488" s="14"/>
    </row>
    <row r="1489" spans="13:13" x14ac:dyDescent="0.35">
      <c r="M1489" s="14"/>
    </row>
    <row r="1490" spans="13:13" x14ac:dyDescent="0.35">
      <c r="M1490" s="14"/>
    </row>
    <row r="1491" spans="13:13" x14ac:dyDescent="0.35">
      <c r="M1491" s="14"/>
    </row>
    <row r="1492" spans="13:13" x14ac:dyDescent="0.35">
      <c r="M1492" s="14"/>
    </row>
    <row r="1493" spans="13:13" x14ac:dyDescent="0.35">
      <c r="M1493" s="14"/>
    </row>
    <row r="1494" spans="13:13" x14ac:dyDescent="0.35">
      <c r="M1494" s="14"/>
    </row>
    <row r="1495" spans="13:13" x14ac:dyDescent="0.35">
      <c r="M1495" s="14"/>
    </row>
    <row r="1496" spans="13:13" x14ac:dyDescent="0.35">
      <c r="M1496" s="14"/>
    </row>
    <row r="1497" spans="13:13" x14ac:dyDescent="0.35">
      <c r="M1497" s="14"/>
    </row>
    <row r="1498" spans="13:13" x14ac:dyDescent="0.35">
      <c r="M1498" s="14"/>
    </row>
    <row r="1499" spans="13:13" x14ac:dyDescent="0.35">
      <c r="M1499" s="14"/>
    </row>
    <row r="1500" spans="13:13" x14ac:dyDescent="0.35">
      <c r="M1500" s="14"/>
    </row>
    <row r="1501" spans="13:13" x14ac:dyDescent="0.35">
      <c r="M1501" s="14"/>
    </row>
    <row r="1502" spans="13:13" x14ac:dyDescent="0.35">
      <c r="M1502" s="14"/>
    </row>
    <row r="1503" spans="13:13" x14ac:dyDescent="0.35">
      <c r="M1503" s="14"/>
    </row>
    <row r="1504" spans="13:13" x14ac:dyDescent="0.35">
      <c r="M1504" s="14"/>
    </row>
    <row r="1505" spans="13:13" x14ac:dyDescent="0.35">
      <c r="M1505" s="14"/>
    </row>
    <row r="1506" spans="13:13" x14ac:dyDescent="0.35">
      <c r="M1506" s="14"/>
    </row>
    <row r="1507" spans="13:13" x14ac:dyDescent="0.35">
      <c r="M1507" s="14"/>
    </row>
    <row r="1508" spans="13:13" x14ac:dyDescent="0.35">
      <c r="M1508" s="14"/>
    </row>
    <row r="1509" spans="13:13" x14ac:dyDescent="0.35">
      <c r="M1509" s="14"/>
    </row>
    <row r="1510" spans="13:13" x14ac:dyDescent="0.35">
      <c r="M1510" s="14"/>
    </row>
    <row r="1511" spans="13:13" x14ac:dyDescent="0.35">
      <c r="M1511" s="14"/>
    </row>
    <row r="1512" spans="13:13" x14ac:dyDescent="0.35">
      <c r="M1512" s="14"/>
    </row>
    <row r="1513" spans="13:13" x14ac:dyDescent="0.35">
      <c r="M1513" s="14"/>
    </row>
    <row r="1514" spans="13:13" x14ac:dyDescent="0.35">
      <c r="M1514" s="14"/>
    </row>
    <row r="1515" spans="13:13" x14ac:dyDescent="0.35">
      <c r="M1515" s="14"/>
    </row>
    <row r="1516" spans="13:13" x14ac:dyDescent="0.35">
      <c r="M1516" s="14"/>
    </row>
    <row r="1517" spans="13:13" x14ac:dyDescent="0.35">
      <c r="M1517" s="14"/>
    </row>
    <row r="1518" spans="13:13" x14ac:dyDescent="0.35">
      <c r="M1518" s="14"/>
    </row>
    <row r="1519" spans="13:13" x14ac:dyDescent="0.35">
      <c r="M1519" s="14"/>
    </row>
    <row r="1520" spans="13:13" x14ac:dyDescent="0.35">
      <c r="M1520" s="14"/>
    </row>
    <row r="1521" spans="13:13" x14ac:dyDescent="0.35">
      <c r="M1521" s="14"/>
    </row>
    <row r="1522" spans="13:13" x14ac:dyDescent="0.35">
      <c r="M1522" s="14"/>
    </row>
    <row r="1523" spans="13:13" x14ac:dyDescent="0.35">
      <c r="M1523" s="14"/>
    </row>
    <row r="1524" spans="13:13" x14ac:dyDescent="0.35">
      <c r="M1524" s="14"/>
    </row>
    <row r="1525" spans="13:13" x14ac:dyDescent="0.35">
      <c r="M1525" s="14"/>
    </row>
    <row r="1526" spans="13:13" x14ac:dyDescent="0.35">
      <c r="M1526" s="14"/>
    </row>
    <row r="1527" spans="13:13" x14ac:dyDescent="0.35">
      <c r="M1527" s="14"/>
    </row>
    <row r="1528" spans="13:13" x14ac:dyDescent="0.35">
      <c r="M1528" s="14"/>
    </row>
    <row r="1529" spans="13:13" x14ac:dyDescent="0.35">
      <c r="M1529" s="14"/>
    </row>
    <row r="1530" spans="13:13" x14ac:dyDescent="0.35">
      <c r="M1530" s="14"/>
    </row>
    <row r="1531" spans="13:13" x14ac:dyDescent="0.35">
      <c r="M1531" s="14"/>
    </row>
    <row r="1532" spans="13:13" x14ac:dyDescent="0.35">
      <c r="M1532" s="14"/>
    </row>
    <row r="1533" spans="13:13" x14ac:dyDescent="0.35">
      <c r="M1533" s="14"/>
    </row>
    <row r="1534" spans="13:13" x14ac:dyDescent="0.35">
      <c r="M1534" s="14"/>
    </row>
    <row r="1535" spans="13:13" x14ac:dyDescent="0.35">
      <c r="M1535" s="14"/>
    </row>
    <row r="1536" spans="13:13" x14ac:dyDescent="0.35">
      <c r="M1536" s="14"/>
    </row>
    <row r="1537" spans="13:13" x14ac:dyDescent="0.35">
      <c r="M1537" s="14"/>
    </row>
    <row r="1538" spans="13:13" x14ac:dyDescent="0.35">
      <c r="M1538" s="14"/>
    </row>
    <row r="1539" spans="13:13" x14ac:dyDescent="0.35">
      <c r="M1539" s="14"/>
    </row>
    <row r="1540" spans="13:13" x14ac:dyDescent="0.35">
      <c r="M1540" s="14"/>
    </row>
    <row r="1541" spans="13:13" x14ac:dyDescent="0.35">
      <c r="M1541" s="14"/>
    </row>
    <row r="1542" spans="13:13" x14ac:dyDescent="0.35">
      <c r="M1542" s="14"/>
    </row>
    <row r="1543" spans="13:13" x14ac:dyDescent="0.35">
      <c r="M1543" s="14"/>
    </row>
    <row r="1544" spans="13:13" x14ac:dyDescent="0.35">
      <c r="M1544" s="14"/>
    </row>
    <row r="1545" spans="13:13" x14ac:dyDescent="0.35">
      <c r="M1545" s="14"/>
    </row>
    <row r="1546" spans="13:13" x14ac:dyDescent="0.35">
      <c r="M1546" s="14"/>
    </row>
    <row r="1547" spans="13:13" x14ac:dyDescent="0.35">
      <c r="M1547" s="14"/>
    </row>
    <row r="1548" spans="13:13" x14ac:dyDescent="0.35">
      <c r="M1548" s="14"/>
    </row>
    <row r="1549" spans="13:13" x14ac:dyDescent="0.35">
      <c r="M1549" s="14"/>
    </row>
    <row r="1550" spans="13:13" x14ac:dyDescent="0.35">
      <c r="M1550" s="14"/>
    </row>
    <row r="1551" spans="13:13" x14ac:dyDescent="0.35">
      <c r="M1551" s="14"/>
    </row>
    <row r="1552" spans="13:13" x14ac:dyDescent="0.35">
      <c r="M1552" s="14"/>
    </row>
    <row r="1553" spans="13:13" x14ac:dyDescent="0.35">
      <c r="M1553" s="14"/>
    </row>
    <row r="1554" spans="13:13" x14ac:dyDescent="0.35">
      <c r="M1554" s="14"/>
    </row>
    <row r="1555" spans="13:13" x14ac:dyDescent="0.35">
      <c r="M1555" s="14"/>
    </row>
    <row r="1556" spans="13:13" x14ac:dyDescent="0.35">
      <c r="M1556" s="14"/>
    </row>
    <row r="1557" spans="13:13" x14ac:dyDescent="0.35">
      <c r="M1557" s="14"/>
    </row>
    <row r="1558" spans="13:13" x14ac:dyDescent="0.35">
      <c r="M1558" s="14"/>
    </row>
    <row r="1559" spans="13:13" x14ac:dyDescent="0.35">
      <c r="M1559" s="14"/>
    </row>
    <row r="1560" spans="13:13" x14ac:dyDescent="0.35">
      <c r="M1560" s="14"/>
    </row>
    <row r="1561" spans="13:13" x14ac:dyDescent="0.35">
      <c r="M1561" s="14"/>
    </row>
    <row r="1562" spans="13:13" x14ac:dyDescent="0.35">
      <c r="M1562" s="14"/>
    </row>
    <row r="1563" spans="13:13" x14ac:dyDescent="0.35">
      <c r="M1563" s="14"/>
    </row>
    <row r="1564" spans="13:13" x14ac:dyDescent="0.35">
      <c r="M1564" s="14"/>
    </row>
    <row r="1565" spans="13:13" x14ac:dyDescent="0.35">
      <c r="M1565" s="14"/>
    </row>
    <row r="1566" spans="13:13" x14ac:dyDescent="0.35">
      <c r="M1566" s="14"/>
    </row>
    <row r="1567" spans="13:13" x14ac:dyDescent="0.35">
      <c r="M1567" s="14"/>
    </row>
    <row r="1568" spans="13:13" x14ac:dyDescent="0.35">
      <c r="M1568" s="14"/>
    </row>
    <row r="1569" spans="13:13" x14ac:dyDescent="0.35">
      <c r="M1569" s="14"/>
    </row>
    <row r="1570" spans="13:13" x14ac:dyDescent="0.35">
      <c r="M1570" s="14"/>
    </row>
    <row r="1571" spans="13:13" x14ac:dyDescent="0.35">
      <c r="M1571" s="14"/>
    </row>
    <row r="1572" spans="13:13" x14ac:dyDescent="0.35">
      <c r="M1572" s="14"/>
    </row>
    <row r="1573" spans="13:13" x14ac:dyDescent="0.35">
      <c r="M1573" s="14"/>
    </row>
    <row r="1574" spans="13:13" x14ac:dyDescent="0.35">
      <c r="M1574" s="14"/>
    </row>
    <row r="1575" spans="13:13" x14ac:dyDescent="0.35">
      <c r="M1575" s="14"/>
    </row>
    <row r="1576" spans="13:13" x14ac:dyDescent="0.35">
      <c r="M1576" s="14"/>
    </row>
    <row r="1577" spans="13:13" x14ac:dyDescent="0.35">
      <c r="M1577" s="14"/>
    </row>
    <row r="1578" spans="13:13" x14ac:dyDescent="0.35">
      <c r="M1578" s="14"/>
    </row>
    <row r="1579" spans="13:13" x14ac:dyDescent="0.35">
      <c r="M1579" s="14"/>
    </row>
    <row r="1580" spans="13:13" x14ac:dyDescent="0.35">
      <c r="M1580" s="14"/>
    </row>
    <row r="1581" spans="13:13" x14ac:dyDescent="0.35">
      <c r="M1581" s="14"/>
    </row>
    <row r="1582" spans="13:13" x14ac:dyDescent="0.35">
      <c r="M1582" s="14"/>
    </row>
    <row r="1583" spans="13:13" x14ac:dyDescent="0.35">
      <c r="M1583" s="14"/>
    </row>
    <row r="1584" spans="13:13" x14ac:dyDescent="0.35">
      <c r="M1584" s="14"/>
    </row>
    <row r="1585" spans="13:13" x14ac:dyDescent="0.35">
      <c r="M1585" s="14"/>
    </row>
    <row r="1586" spans="13:13" x14ac:dyDescent="0.35">
      <c r="M1586" s="14"/>
    </row>
    <row r="1587" spans="13:13" x14ac:dyDescent="0.35">
      <c r="M1587" s="14"/>
    </row>
    <row r="1588" spans="13:13" x14ac:dyDescent="0.35">
      <c r="M1588" s="14"/>
    </row>
    <row r="1589" spans="13:13" x14ac:dyDescent="0.35">
      <c r="M1589" s="14"/>
    </row>
    <row r="1590" spans="13:13" x14ac:dyDescent="0.35">
      <c r="M1590" s="14"/>
    </row>
    <row r="1591" spans="13:13" x14ac:dyDescent="0.35">
      <c r="M1591" s="14"/>
    </row>
    <row r="1592" spans="13:13" x14ac:dyDescent="0.35">
      <c r="M1592" s="14"/>
    </row>
    <row r="1593" spans="13:13" x14ac:dyDescent="0.35">
      <c r="M1593" s="14"/>
    </row>
    <row r="1594" spans="13:13" x14ac:dyDescent="0.35">
      <c r="M1594" s="14"/>
    </row>
    <row r="1595" spans="13:13" x14ac:dyDescent="0.35">
      <c r="M1595" s="14"/>
    </row>
    <row r="1596" spans="13:13" x14ac:dyDescent="0.35">
      <c r="M1596" s="14"/>
    </row>
    <row r="1597" spans="13:13" x14ac:dyDescent="0.35">
      <c r="M1597" s="14"/>
    </row>
    <row r="1598" spans="13:13" x14ac:dyDescent="0.35">
      <c r="M1598" s="14"/>
    </row>
    <row r="1599" spans="13:13" x14ac:dyDescent="0.35">
      <c r="M1599" s="14"/>
    </row>
    <row r="1600" spans="13:13" x14ac:dyDescent="0.35">
      <c r="M1600" s="14"/>
    </row>
    <row r="1601" spans="13:13" x14ac:dyDescent="0.35">
      <c r="M1601" s="14"/>
    </row>
    <row r="1602" spans="13:13" x14ac:dyDescent="0.35">
      <c r="M1602" s="14"/>
    </row>
    <row r="1603" spans="13:13" x14ac:dyDescent="0.35">
      <c r="M1603" s="14"/>
    </row>
    <row r="1604" spans="13:13" x14ac:dyDescent="0.35">
      <c r="M1604" s="14"/>
    </row>
    <row r="1605" spans="13:13" x14ac:dyDescent="0.35">
      <c r="M1605" s="14"/>
    </row>
    <row r="1606" spans="13:13" x14ac:dyDescent="0.35">
      <c r="M1606" s="14"/>
    </row>
    <row r="1607" spans="13:13" x14ac:dyDescent="0.35">
      <c r="M1607" s="14"/>
    </row>
    <row r="1608" spans="13:13" x14ac:dyDescent="0.35">
      <c r="M1608" s="14"/>
    </row>
    <row r="1609" spans="13:13" x14ac:dyDescent="0.35">
      <c r="M1609" s="14"/>
    </row>
    <row r="1610" spans="13:13" x14ac:dyDescent="0.35">
      <c r="M1610" s="14"/>
    </row>
    <row r="1611" spans="13:13" x14ac:dyDescent="0.35">
      <c r="M1611" s="14"/>
    </row>
    <row r="1612" spans="13:13" x14ac:dyDescent="0.35">
      <c r="M1612" s="14"/>
    </row>
    <row r="1613" spans="13:13" x14ac:dyDescent="0.35">
      <c r="M1613" s="14"/>
    </row>
    <row r="1614" spans="13:13" x14ac:dyDescent="0.35">
      <c r="M1614" s="14"/>
    </row>
    <row r="1615" spans="13:13" x14ac:dyDescent="0.35">
      <c r="M1615" s="14"/>
    </row>
    <row r="1616" spans="13:13" x14ac:dyDescent="0.35">
      <c r="M1616" s="14"/>
    </row>
    <row r="1617" spans="13:13" x14ac:dyDescent="0.35">
      <c r="M1617" s="14"/>
    </row>
    <row r="1618" spans="13:13" x14ac:dyDescent="0.35">
      <c r="M1618" s="14"/>
    </row>
    <row r="1619" spans="13:13" x14ac:dyDescent="0.35">
      <c r="M1619" s="14"/>
    </row>
    <row r="1620" spans="13:13" x14ac:dyDescent="0.35">
      <c r="M1620" s="14"/>
    </row>
    <row r="1621" spans="13:13" x14ac:dyDescent="0.35">
      <c r="M1621" s="14"/>
    </row>
    <row r="1622" spans="13:13" x14ac:dyDescent="0.35">
      <c r="M1622" s="14"/>
    </row>
    <row r="1623" spans="13:13" x14ac:dyDescent="0.35">
      <c r="M1623" s="14"/>
    </row>
    <row r="1624" spans="13:13" x14ac:dyDescent="0.35">
      <c r="M1624" s="14"/>
    </row>
    <row r="1625" spans="13:13" x14ac:dyDescent="0.35">
      <c r="M1625" s="14"/>
    </row>
    <row r="1626" spans="13:13" x14ac:dyDescent="0.35">
      <c r="M1626" s="14"/>
    </row>
    <row r="1627" spans="13:13" x14ac:dyDescent="0.35">
      <c r="M1627" s="14"/>
    </row>
    <row r="1628" spans="13:13" x14ac:dyDescent="0.35">
      <c r="M1628" s="14"/>
    </row>
    <row r="1629" spans="13:13" x14ac:dyDescent="0.35">
      <c r="M1629" s="14"/>
    </row>
    <row r="1630" spans="13:13" x14ac:dyDescent="0.35">
      <c r="M1630" s="14"/>
    </row>
    <row r="1631" spans="13:13" x14ac:dyDescent="0.35">
      <c r="M1631" s="14"/>
    </row>
    <row r="1632" spans="13:13" x14ac:dyDescent="0.35">
      <c r="M1632" s="14"/>
    </row>
    <row r="1633" spans="13:13" x14ac:dyDescent="0.35">
      <c r="M1633" s="14"/>
    </row>
    <row r="1634" spans="13:13" x14ac:dyDescent="0.35">
      <c r="M1634" s="14"/>
    </row>
    <row r="1635" spans="13:13" x14ac:dyDescent="0.35">
      <c r="M1635" s="14"/>
    </row>
    <row r="1636" spans="13:13" x14ac:dyDescent="0.35">
      <c r="M1636" s="14"/>
    </row>
    <row r="1637" spans="13:13" x14ac:dyDescent="0.35">
      <c r="M1637" s="14"/>
    </row>
    <row r="1638" spans="13:13" x14ac:dyDescent="0.35">
      <c r="M1638" s="14"/>
    </row>
    <row r="1639" spans="13:13" x14ac:dyDescent="0.35">
      <c r="M1639" s="14"/>
    </row>
    <row r="1640" spans="13:13" x14ac:dyDescent="0.35">
      <c r="M1640" s="14"/>
    </row>
    <row r="1641" spans="13:13" x14ac:dyDescent="0.35">
      <c r="M1641" s="14"/>
    </row>
    <row r="1642" spans="13:13" x14ac:dyDescent="0.35">
      <c r="M1642" s="14"/>
    </row>
    <row r="1643" spans="13:13" x14ac:dyDescent="0.35">
      <c r="M1643" s="14"/>
    </row>
    <row r="1644" spans="13:13" x14ac:dyDescent="0.35">
      <c r="M1644" s="14"/>
    </row>
    <row r="1645" spans="13:13" x14ac:dyDescent="0.35">
      <c r="M1645" s="14"/>
    </row>
    <row r="1646" spans="13:13" x14ac:dyDescent="0.35">
      <c r="M1646" s="14"/>
    </row>
    <row r="1647" spans="13:13" x14ac:dyDescent="0.35">
      <c r="M1647" s="14"/>
    </row>
    <row r="1648" spans="13:13" x14ac:dyDescent="0.35">
      <c r="M1648" s="14"/>
    </row>
    <row r="1649" spans="13:13" x14ac:dyDescent="0.35">
      <c r="M1649" s="14"/>
    </row>
    <row r="1650" spans="13:13" x14ac:dyDescent="0.35">
      <c r="M1650" s="14"/>
    </row>
    <row r="1651" spans="13:13" x14ac:dyDescent="0.35">
      <c r="M1651" s="14"/>
    </row>
    <row r="1652" spans="13:13" x14ac:dyDescent="0.35">
      <c r="M1652" s="14"/>
    </row>
    <row r="1653" spans="13:13" x14ac:dyDescent="0.35">
      <c r="M1653" s="14"/>
    </row>
    <row r="1654" spans="13:13" x14ac:dyDescent="0.35">
      <c r="M1654" s="14"/>
    </row>
    <row r="1655" spans="13:13" x14ac:dyDescent="0.35">
      <c r="M1655" s="14"/>
    </row>
    <row r="1656" spans="13:13" x14ac:dyDescent="0.35">
      <c r="M1656" s="14"/>
    </row>
    <row r="1657" spans="13:13" x14ac:dyDescent="0.35">
      <c r="M1657" s="14"/>
    </row>
    <row r="1658" spans="13:13" x14ac:dyDescent="0.35">
      <c r="M1658" s="14"/>
    </row>
    <row r="1659" spans="13:13" x14ac:dyDescent="0.35">
      <c r="M1659" s="14"/>
    </row>
    <row r="1660" spans="13:13" x14ac:dyDescent="0.35">
      <c r="M1660" s="14"/>
    </row>
    <row r="1661" spans="13:13" x14ac:dyDescent="0.35">
      <c r="M1661" s="14"/>
    </row>
    <row r="1662" spans="13:13" x14ac:dyDescent="0.35">
      <c r="M1662" s="14"/>
    </row>
    <row r="1663" spans="13:13" x14ac:dyDescent="0.35">
      <c r="M1663" s="14"/>
    </row>
    <row r="1664" spans="13:13" x14ac:dyDescent="0.35">
      <c r="M1664" s="14"/>
    </row>
    <row r="1665" spans="13:13" x14ac:dyDescent="0.35">
      <c r="M1665" s="14"/>
    </row>
    <row r="1666" spans="13:13" x14ac:dyDescent="0.35">
      <c r="M1666" s="14"/>
    </row>
    <row r="1667" spans="13:13" x14ac:dyDescent="0.35">
      <c r="M1667" s="14"/>
    </row>
    <row r="1668" spans="13:13" x14ac:dyDescent="0.35">
      <c r="M1668" s="14"/>
    </row>
    <row r="1669" spans="13:13" x14ac:dyDescent="0.35">
      <c r="M1669" s="14"/>
    </row>
    <row r="1670" spans="13:13" x14ac:dyDescent="0.35">
      <c r="M1670" s="14"/>
    </row>
    <row r="1671" spans="13:13" x14ac:dyDescent="0.35">
      <c r="M1671" s="14"/>
    </row>
    <row r="1672" spans="13:13" x14ac:dyDescent="0.35">
      <c r="M1672" s="14"/>
    </row>
    <row r="1673" spans="13:13" x14ac:dyDescent="0.35">
      <c r="M1673" s="14"/>
    </row>
    <row r="1674" spans="13:13" x14ac:dyDescent="0.35">
      <c r="M1674" s="14"/>
    </row>
    <row r="1675" spans="13:13" x14ac:dyDescent="0.35">
      <c r="M1675" s="14"/>
    </row>
    <row r="1676" spans="13:13" x14ac:dyDescent="0.35">
      <c r="M1676" s="14"/>
    </row>
    <row r="1677" spans="13:13" x14ac:dyDescent="0.35">
      <c r="M1677" s="14"/>
    </row>
    <row r="1678" spans="13:13" x14ac:dyDescent="0.35">
      <c r="M1678" s="14"/>
    </row>
    <row r="1679" spans="13:13" x14ac:dyDescent="0.35">
      <c r="M1679" s="14"/>
    </row>
    <row r="1680" spans="13:13" x14ac:dyDescent="0.35">
      <c r="M1680" s="14"/>
    </row>
    <row r="1681" spans="13:13" x14ac:dyDescent="0.35">
      <c r="M1681" s="14"/>
    </row>
    <row r="1682" spans="13:13" x14ac:dyDescent="0.35">
      <c r="M1682" s="14"/>
    </row>
    <row r="1683" spans="13:13" x14ac:dyDescent="0.35">
      <c r="M1683" s="14"/>
    </row>
    <row r="1684" spans="13:13" x14ac:dyDescent="0.35">
      <c r="M1684" s="14"/>
    </row>
    <row r="1685" spans="13:13" x14ac:dyDescent="0.35">
      <c r="M1685" s="14"/>
    </row>
    <row r="1686" spans="13:13" x14ac:dyDescent="0.35">
      <c r="M1686" s="14"/>
    </row>
    <row r="1687" spans="13:13" x14ac:dyDescent="0.35">
      <c r="M1687" s="14"/>
    </row>
    <row r="1688" spans="13:13" x14ac:dyDescent="0.35">
      <c r="M1688" s="14"/>
    </row>
    <row r="1689" spans="13:13" x14ac:dyDescent="0.35">
      <c r="M1689" s="14"/>
    </row>
    <row r="1690" spans="13:13" x14ac:dyDescent="0.35">
      <c r="M1690" s="14"/>
    </row>
    <row r="1691" spans="13:13" x14ac:dyDescent="0.35">
      <c r="M1691" s="14"/>
    </row>
    <row r="1692" spans="13:13" x14ac:dyDescent="0.35">
      <c r="M1692" s="14"/>
    </row>
    <row r="1693" spans="13:13" x14ac:dyDescent="0.35">
      <c r="M1693" s="14"/>
    </row>
    <row r="1694" spans="13:13" x14ac:dyDescent="0.35">
      <c r="M1694" s="14"/>
    </row>
    <row r="1695" spans="13:13" x14ac:dyDescent="0.35">
      <c r="M1695" s="14"/>
    </row>
    <row r="1696" spans="13:13" x14ac:dyDescent="0.35">
      <c r="M1696" s="14"/>
    </row>
    <row r="1697" spans="13:13" x14ac:dyDescent="0.35">
      <c r="M1697" s="14"/>
    </row>
    <row r="1698" spans="13:13" x14ac:dyDescent="0.35">
      <c r="M1698" s="14"/>
    </row>
    <row r="1699" spans="13:13" x14ac:dyDescent="0.35">
      <c r="M1699" s="14"/>
    </row>
    <row r="1700" spans="13:13" x14ac:dyDescent="0.35">
      <c r="M1700" s="14"/>
    </row>
    <row r="1701" spans="13:13" x14ac:dyDescent="0.35">
      <c r="M1701" s="14"/>
    </row>
    <row r="1702" spans="13:13" x14ac:dyDescent="0.35">
      <c r="M1702" s="14"/>
    </row>
    <row r="1703" spans="13:13" x14ac:dyDescent="0.35">
      <c r="M1703" s="14"/>
    </row>
    <row r="1704" spans="13:13" x14ac:dyDescent="0.35">
      <c r="M1704" s="14"/>
    </row>
    <row r="1705" spans="13:13" x14ac:dyDescent="0.35">
      <c r="M1705" s="14"/>
    </row>
    <row r="1706" spans="13:13" x14ac:dyDescent="0.35">
      <c r="M1706" s="14"/>
    </row>
    <row r="1707" spans="13:13" x14ac:dyDescent="0.35">
      <c r="M1707" s="14"/>
    </row>
    <row r="1708" spans="13:13" x14ac:dyDescent="0.35">
      <c r="M1708" s="14"/>
    </row>
    <row r="1709" spans="13:13" x14ac:dyDescent="0.35">
      <c r="M1709" s="14"/>
    </row>
    <row r="1710" spans="13:13" x14ac:dyDescent="0.35">
      <c r="M1710" s="14"/>
    </row>
    <row r="1711" spans="13:13" x14ac:dyDescent="0.35">
      <c r="M1711" s="14"/>
    </row>
    <row r="1712" spans="13:13" x14ac:dyDescent="0.35">
      <c r="M1712" s="14"/>
    </row>
    <row r="1713" spans="13:13" x14ac:dyDescent="0.35">
      <c r="M1713" s="14"/>
    </row>
    <row r="1714" spans="13:13" x14ac:dyDescent="0.35">
      <c r="M1714" s="14"/>
    </row>
    <row r="1715" spans="13:13" x14ac:dyDescent="0.35">
      <c r="M1715" s="14"/>
    </row>
    <row r="1716" spans="13:13" x14ac:dyDescent="0.35">
      <c r="M1716" s="14"/>
    </row>
    <row r="1717" spans="13:13" x14ac:dyDescent="0.35">
      <c r="M1717" s="14"/>
    </row>
    <row r="1718" spans="13:13" x14ac:dyDescent="0.35">
      <c r="M1718" s="14"/>
    </row>
    <row r="1719" spans="13:13" x14ac:dyDescent="0.35">
      <c r="M1719" s="14"/>
    </row>
    <row r="1720" spans="13:13" x14ac:dyDescent="0.35">
      <c r="M1720" s="14"/>
    </row>
    <row r="1721" spans="13:13" x14ac:dyDescent="0.35">
      <c r="M1721" s="14"/>
    </row>
    <row r="1722" spans="13:13" x14ac:dyDescent="0.35">
      <c r="M1722" s="14"/>
    </row>
    <row r="1723" spans="13:13" x14ac:dyDescent="0.35">
      <c r="M1723" s="14"/>
    </row>
    <row r="1724" spans="13:13" x14ac:dyDescent="0.35">
      <c r="M1724" s="14"/>
    </row>
    <row r="1725" spans="13:13" x14ac:dyDescent="0.35">
      <c r="M1725" s="14"/>
    </row>
    <row r="1726" spans="13:13" x14ac:dyDescent="0.35">
      <c r="M1726" s="14"/>
    </row>
    <row r="1727" spans="13:13" x14ac:dyDescent="0.35">
      <c r="M1727" s="14"/>
    </row>
    <row r="1728" spans="13:13" x14ac:dyDescent="0.35">
      <c r="M1728" s="14"/>
    </row>
    <row r="1729" spans="13:13" x14ac:dyDescent="0.35">
      <c r="M1729" s="14"/>
    </row>
    <row r="1730" spans="13:13" x14ac:dyDescent="0.35">
      <c r="M1730" s="14"/>
    </row>
    <row r="1731" spans="13:13" x14ac:dyDescent="0.35">
      <c r="M1731" s="14"/>
    </row>
    <row r="1732" spans="13:13" x14ac:dyDescent="0.35">
      <c r="M1732" s="14"/>
    </row>
    <row r="1733" spans="13:13" x14ac:dyDescent="0.35">
      <c r="M1733" s="14"/>
    </row>
    <row r="1734" spans="13:13" x14ac:dyDescent="0.35">
      <c r="M1734" s="14"/>
    </row>
    <row r="1735" spans="13:13" x14ac:dyDescent="0.35">
      <c r="M1735" s="14"/>
    </row>
    <row r="1736" spans="13:13" x14ac:dyDescent="0.35">
      <c r="M1736" s="14"/>
    </row>
    <row r="1737" spans="13:13" x14ac:dyDescent="0.35">
      <c r="M1737" s="14"/>
    </row>
    <row r="1738" spans="13:13" x14ac:dyDescent="0.35">
      <c r="M1738" s="14"/>
    </row>
    <row r="1739" spans="13:13" x14ac:dyDescent="0.35">
      <c r="M1739" s="14"/>
    </row>
    <row r="1740" spans="13:13" x14ac:dyDescent="0.35">
      <c r="M1740" s="14"/>
    </row>
    <row r="1741" spans="13:13" x14ac:dyDescent="0.35">
      <c r="M1741" s="14"/>
    </row>
    <row r="1742" spans="13:13" x14ac:dyDescent="0.35">
      <c r="M1742" s="14"/>
    </row>
    <row r="1743" spans="13:13" x14ac:dyDescent="0.35">
      <c r="M1743" s="14"/>
    </row>
    <row r="1744" spans="13:13" x14ac:dyDescent="0.35">
      <c r="M1744" s="14"/>
    </row>
    <row r="1745" spans="13:13" x14ac:dyDescent="0.35">
      <c r="M1745" s="14"/>
    </row>
    <row r="1746" spans="13:13" x14ac:dyDescent="0.35">
      <c r="M1746" s="14"/>
    </row>
    <row r="1747" spans="13:13" x14ac:dyDescent="0.35">
      <c r="M1747" s="14"/>
    </row>
    <row r="1748" spans="13:13" x14ac:dyDescent="0.35">
      <c r="M1748" s="14"/>
    </row>
    <row r="1749" spans="13:13" x14ac:dyDescent="0.35">
      <c r="M1749" s="14"/>
    </row>
    <row r="1750" spans="13:13" x14ac:dyDescent="0.35">
      <c r="M1750" s="14"/>
    </row>
    <row r="1751" spans="13:13" x14ac:dyDescent="0.35">
      <c r="M1751" s="14"/>
    </row>
    <row r="1752" spans="13:13" x14ac:dyDescent="0.35">
      <c r="M1752" s="14"/>
    </row>
    <row r="1753" spans="13:13" x14ac:dyDescent="0.35">
      <c r="M1753" s="14"/>
    </row>
    <row r="1754" spans="13:13" x14ac:dyDescent="0.35">
      <c r="M1754" s="14"/>
    </row>
    <row r="1755" spans="13:13" x14ac:dyDescent="0.35">
      <c r="M1755" s="14"/>
    </row>
    <row r="1756" spans="13:13" x14ac:dyDescent="0.35">
      <c r="M1756" s="14"/>
    </row>
    <row r="1757" spans="13:13" x14ac:dyDescent="0.35">
      <c r="M1757" s="14"/>
    </row>
    <row r="1758" spans="13:13" x14ac:dyDescent="0.35">
      <c r="M1758" s="14"/>
    </row>
    <row r="1759" spans="13:13" x14ac:dyDescent="0.35">
      <c r="M1759" s="14"/>
    </row>
    <row r="1760" spans="13:13" x14ac:dyDescent="0.35">
      <c r="M1760" s="14"/>
    </row>
    <row r="1761" spans="13:13" x14ac:dyDescent="0.35">
      <c r="M1761" s="14"/>
    </row>
    <row r="1762" spans="13:13" x14ac:dyDescent="0.35">
      <c r="M1762" s="14"/>
    </row>
    <row r="1763" spans="13:13" x14ac:dyDescent="0.35">
      <c r="M1763" s="14"/>
    </row>
    <row r="1764" spans="13:13" x14ac:dyDescent="0.35">
      <c r="M1764" s="14"/>
    </row>
    <row r="1765" spans="13:13" x14ac:dyDescent="0.35">
      <c r="M1765" s="14"/>
    </row>
    <row r="1766" spans="13:13" x14ac:dyDescent="0.35">
      <c r="M1766" s="14"/>
    </row>
    <row r="1767" spans="13:13" x14ac:dyDescent="0.35">
      <c r="M1767" s="14"/>
    </row>
    <row r="1768" spans="13:13" x14ac:dyDescent="0.35">
      <c r="M1768" s="14"/>
    </row>
    <row r="1769" spans="13:13" x14ac:dyDescent="0.35">
      <c r="M1769" s="14"/>
    </row>
    <row r="1770" spans="13:13" x14ac:dyDescent="0.35">
      <c r="M1770" s="14"/>
    </row>
    <row r="1771" spans="13:13" x14ac:dyDescent="0.35">
      <c r="M1771" s="14"/>
    </row>
    <row r="1772" spans="13:13" x14ac:dyDescent="0.35">
      <c r="M1772" s="14"/>
    </row>
    <row r="1773" spans="13:13" x14ac:dyDescent="0.35">
      <c r="M1773" s="14"/>
    </row>
    <row r="1774" spans="13:13" x14ac:dyDescent="0.35">
      <c r="M1774" s="14"/>
    </row>
    <row r="1775" spans="13:13" x14ac:dyDescent="0.35">
      <c r="M1775" s="14"/>
    </row>
    <row r="1776" spans="13:13" x14ac:dyDescent="0.35">
      <c r="M1776" s="14"/>
    </row>
    <row r="1777" spans="13:13" x14ac:dyDescent="0.35">
      <c r="M1777" s="14"/>
    </row>
    <row r="1778" spans="13:13" x14ac:dyDescent="0.35">
      <c r="M1778" s="14"/>
    </row>
    <row r="1779" spans="13:13" x14ac:dyDescent="0.35">
      <c r="M1779" s="14"/>
    </row>
    <row r="1780" spans="13:13" x14ac:dyDescent="0.35">
      <c r="M1780" s="14"/>
    </row>
    <row r="1781" spans="13:13" x14ac:dyDescent="0.35">
      <c r="M1781" s="14"/>
    </row>
    <row r="1782" spans="13:13" x14ac:dyDescent="0.35">
      <c r="M1782" s="14"/>
    </row>
    <row r="1783" spans="13:13" x14ac:dyDescent="0.35">
      <c r="M1783" s="14"/>
    </row>
    <row r="1784" spans="13:13" x14ac:dyDescent="0.35">
      <c r="M1784" s="14"/>
    </row>
    <row r="1785" spans="13:13" x14ac:dyDescent="0.35">
      <c r="M1785" s="14"/>
    </row>
    <row r="1786" spans="13:13" x14ac:dyDescent="0.35">
      <c r="M1786" s="14"/>
    </row>
    <row r="1787" spans="13:13" x14ac:dyDescent="0.35">
      <c r="M1787" s="14"/>
    </row>
    <row r="1788" spans="13:13" x14ac:dyDescent="0.35">
      <c r="M1788" s="14"/>
    </row>
    <row r="1789" spans="13:13" x14ac:dyDescent="0.35">
      <c r="M1789" s="14"/>
    </row>
    <row r="1790" spans="13:13" x14ac:dyDescent="0.35">
      <c r="M1790" s="14"/>
    </row>
    <row r="1791" spans="13:13" x14ac:dyDescent="0.35">
      <c r="M1791" s="14"/>
    </row>
    <row r="1792" spans="13:13" x14ac:dyDescent="0.35">
      <c r="M1792" s="14"/>
    </row>
    <row r="1793" spans="13:13" x14ac:dyDescent="0.35">
      <c r="M1793" s="14"/>
    </row>
    <row r="1794" spans="13:13" x14ac:dyDescent="0.35">
      <c r="M1794" s="14"/>
    </row>
    <row r="1795" spans="13:13" x14ac:dyDescent="0.35">
      <c r="M1795" s="14"/>
    </row>
    <row r="1796" spans="13:13" x14ac:dyDescent="0.35">
      <c r="M1796" s="14"/>
    </row>
    <row r="1797" spans="13:13" x14ac:dyDescent="0.35">
      <c r="M1797" s="14"/>
    </row>
    <row r="1798" spans="13:13" x14ac:dyDescent="0.35">
      <c r="M1798" s="14"/>
    </row>
    <row r="1799" spans="13:13" x14ac:dyDescent="0.35">
      <c r="M1799" s="14"/>
    </row>
    <row r="1800" spans="13:13" x14ac:dyDescent="0.35">
      <c r="M1800" s="14"/>
    </row>
    <row r="1801" spans="13:13" x14ac:dyDescent="0.35">
      <c r="M1801" s="14"/>
    </row>
    <row r="1802" spans="13:13" x14ac:dyDescent="0.35">
      <c r="M1802" s="14"/>
    </row>
    <row r="1803" spans="13:13" x14ac:dyDescent="0.35">
      <c r="M1803" s="14"/>
    </row>
    <row r="1804" spans="13:13" x14ac:dyDescent="0.35">
      <c r="M1804" s="14"/>
    </row>
    <row r="1805" spans="13:13" x14ac:dyDescent="0.35">
      <c r="M1805" s="14"/>
    </row>
    <row r="1806" spans="13:13" x14ac:dyDescent="0.35">
      <c r="M1806" s="14"/>
    </row>
    <row r="1807" spans="13:13" x14ac:dyDescent="0.35">
      <c r="M1807" s="14"/>
    </row>
    <row r="1808" spans="13:13" x14ac:dyDescent="0.35">
      <c r="M1808" s="14"/>
    </row>
    <row r="1809" spans="13:13" x14ac:dyDescent="0.35">
      <c r="M1809" s="14"/>
    </row>
    <row r="1810" spans="13:13" x14ac:dyDescent="0.35">
      <c r="M1810" s="14"/>
    </row>
    <row r="1811" spans="13:13" x14ac:dyDescent="0.35">
      <c r="M1811" s="14"/>
    </row>
    <row r="1812" spans="13:13" x14ac:dyDescent="0.35">
      <c r="M1812" s="14"/>
    </row>
    <row r="1813" spans="13:13" x14ac:dyDescent="0.35">
      <c r="M1813" s="14"/>
    </row>
    <row r="1814" spans="13:13" x14ac:dyDescent="0.35">
      <c r="M1814" s="14"/>
    </row>
    <row r="1815" spans="13:13" x14ac:dyDescent="0.35">
      <c r="M1815" s="14"/>
    </row>
    <row r="1816" spans="13:13" x14ac:dyDescent="0.35">
      <c r="M1816" s="14"/>
    </row>
    <row r="1817" spans="13:13" x14ac:dyDescent="0.35">
      <c r="M1817" s="14"/>
    </row>
    <row r="1818" spans="13:13" x14ac:dyDescent="0.35">
      <c r="M1818" s="14"/>
    </row>
    <row r="1819" spans="13:13" x14ac:dyDescent="0.35">
      <c r="M1819" s="14"/>
    </row>
    <row r="1820" spans="13:13" x14ac:dyDescent="0.35">
      <c r="M1820" s="14"/>
    </row>
    <row r="1821" spans="13:13" x14ac:dyDescent="0.35">
      <c r="M1821" s="14"/>
    </row>
    <row r="1822" spans="13:13" x14ac:dyDescent="0.35">
      <c r="M1822" s="14"/>
    </row>
    <row r="1823" spans="13:13" x14ac:dyDescent="0.35">
      <c r="M1823" s="14"/>
    </row>
    <row r="1824" spans="13:13" x14ac:dyDescent="0.35">
      <c r="M1824" s="14"/>
    </row>
    <row r="1825" spans="13:13" x14ac:dyDescent="0.35">
      <c r="M1825" s="14"/>
    </row>
    <row r="1826" spans="13:13" x14ac:dyDescent="0.35">
      <c r="M1826" s="14"/>
    </row>
    <row r="1827" spans="13:13" x14ac:dyDescent="0.35">
      <c r="M1827" s="14"/>
    </row>
    <row r="1828" spans="13:13" x14ac:dyDescent="0.35">
      <c r="M1828" s="14"/>
    </row>
    <row r="1829" spans="13:13" x14ac:dyDescent="0.35">
      <c r="M1829" s="14"/>
    </row>
    <row r="1830" spans="13:13" x14ac:dyDescent="0.35">
      <c r="M1830" s="14"/>
    </row>
    <row r="1831" spans="13:13" x14ac:dyDescent="0.35">
      <c r="M1831" s="14"/>
    </row>
    <row r="1832" spans="13:13" x14ac:dyDescent="0.35">
      <c r="M1832" s="14"/>
    </row>
    <row r="1833" spans="13:13" x14ac:dyDescent="0.35">
      <c r="M1833" s="14"/>
    </row>
    <row r="1834" spans="13:13" x14ac:dyDescent="0.35">
      <c r="M1834" s="14"/>
    </row>
    <row r="1835" spans="13:13" x14ac:dyDescent="0.35">
      <c r="M1835" s="14"/>
    </row>
    <row r="1836" spans="13:13" x14ac:dyDescent="0.35">
      <c r="M1836" s="14"/>
    </row>
    <row r="1837" spans="13:13" x14ac:dyDescent="0.35">
      <c r="M1837" s="14"/>
    </row>
    <row r="1838" spans="13:13" x14ac:dyDescent="0.35">
      <c r="M1838" s="14"/>
    </row>
    <row r="1839" spans="13:13" x14ac:dyDescent="0.35">
      <c r="M1839" s="14"/>
    </row>
    <row r="1840" spans="13:13" x14ac:dyDescent="0.35">
      <c r="M1840" s="14"/>
    </row>
    <row r="1841" spans="13:13" x14ac:dyDescent="0.35">
      <c r="M1841" s="14"/>
    </row>
    <row r="1842" spans="13:13" x14ac:dyDescent="0.35">
      <c r="M1842" s="14"/>
    </row>
    <row r="1843" spans="13:13" x14ac:dyDescent="0.35">
      <c r="M1843" s="14"/>
    </row>
    <row r="1844" spans="13:13" x14ac:dyDescent="0.35">
      <c r="M1844" s="14"/>
    </row>
    <row r="1845" spans="13:13" x14ac:dyDescent="0.35">
      <c r="M1845" s="14"/>
    </row>
    <row r="1846" spans="13:13" x14ac:dyDescent="0.35">
      <c r="M1846" s="14"/>
    </row>
    <row r="1847" spans="13:13" x14ac:dyDescent="0.35">
      <c r="M1847" s="14"/>
    </row>
    <row r="1848" spans="13:13" x14ac:dyDescent="0.35">
      <c r="M1848" s="14"/>
    </row>
    <row r="1849" spans="13:13" x14ac:dyDescent="0.35">
      <c r="M1849" s="14"/>
    </row>
    <row r="1850" spans="13:13" x14ac:dyDescent="0.35">
      <c r="M1850" s="14"/>
    </row>
    <row r="1851" spans="13:13" x14ac:dyDescent="0.35">
      <c r="M1851" s="14"/>
    </row>
    <row r="1852" spans="13:13" x14ac:dyDescent="0.35">
      <c r="M1852" s="14"/>
    </row>
    <row r="1853" spans="13:13" x14ac:dyDescent="0.35">
      <c r="M1853" s="14"/>
    </row>
    <row r="1854" spans="13:13" x14ac:dyDescent="0.35">
      <c r="M1854" s="14"/>
    </row>
    <row r="1855" spans="13:13" x14ac:dyDescent="0.35">
      <c r="M1855" s="14"/>
    </row>
    <row r="1856" spans="13:13" x14ac:dyDescent="0.35">
      <c r="M1856" s="14"/>
    </row>
    <row r="1857" spans="13:13" x14ac:dyDescent="0.35">
      <c r="M1857" s="14"/>
    </row>
    <row r="1858" spans="13:13" x14ac:dyDescent="0.35">
      <c r="M1858" s="14"/>
    </row>
    <row r="1859" spans="13:13" x14ac:dyDescent="0.35">
      <c r="M1859" s="14"/>
    </row>
    <row r="1860" spans="13:13" x14ac:dyDescent="0.35">
      <c r="M1860" s="14"/>
    </row>
    <row r="1861" spans="13:13" x14ac:dyDescent="0.35">
      <c r="M1861" s="14"/>
    </row>
    <row r="1862" spans="13:13" x14ac:dyDescent="0.35">
      <c r="M1862" s="14"/>
    </row>
    <row r="1863" spans="13:13" x14ac:dyDescent="0.35">
      <c r="M1863" s="14"/>
    </row>
    <row r="1864" spans="13:13" x14ac:dyDescent="0.35">
      <c r="M1864" s="14"/>
    </row>
    <row r="1865" spans="13:13" x14ac:dyDescent="0.35">
      <c r="M1865" s="14"/>
    </row>
    <row r="1866" spans="13:13" x14ac:dyDescent="0.35">
      <c r="M1866" s="14"/>
    </row>
    <row r="1867" spans="13:13" x14ac:dyDescent="0.35">
      <c r="M1867" s="14"/>
    </row>
    <row r="1868" spans="13:13" x14ac:dyDescent="0.35">
      <c r="M1868" s="14"/>
    </row>
    <row r="1869" spans="13:13" x14ac:dyDescent="0.35">
      <c r="M1869" s="14"/>
    </row>
    <row r="1870" spans="13:13" x14ac:dyDescent="0.35">
      <c r="M1870" s="14"/>
    </row>
    <row r="1871" spans="13:13" x14ac:dyDescent="0.35">
      <c r="M1871" s="14"/>
    </row>
    <row r="1872" spans="13:13" x14ac:dyDescent="0.35">
      <c r="M1872" s="14"/>
    </row>
    <row r="1873" spans="13:13" x14ac:dyDescent="0.35">
      <c r="M1873" s="14"/>
    </row>
    <row r="1874" spans="13:13" x14ac:dyDescent="0.35">
      <c r="M1874" s="14"/>
    </row>
    <row r="1875" spans="13:13" x14ac:dyDescent="0.35">
      <c r="M1875" s="14"/>
    </row>
    <row r="1876" spans="13:13" x14ac:dyDescent="0.35">
      <c r="M1876" s="14"/>
    </row>
    <row r="1877" spans="13:13" x14ac:dyDescent="0.35">
      <c r="M1877" s="14"/>
    </row>
    <row r="1878" spans="13:13" x14ac:dyDescent="0.35">
      <c r="M1878" s="14"/>
    </row>
    <row r="1879" spans="13:13" x14ac:dyDescent="0.35">
      <c r="M1879" s="14"/>
    </row>
    <row r="1880" spans="13:13" x14ac:dyDescent="0.35">
      <c r="M1880" s="14"/>
    </row>
    <row r="1881" spans="13:13" x14ac:dyDescent="0.35">
      <c r="M1881" s="14"/>
    </row>
    <row r="1882" spans="13:13" x14ac:dyDescent="0.35">
      <c r="M1882" s="14"/>
    </row>
    <row r="1883" spans="13:13" x14ac:dyDescent="0.35">
      <c r="M1883" s="14"/>
    </row>
    <row r="1884" spans="13:13" x14ac:dyDescent="0.35">
      <c r="M1884" s="14"/>
    </row>
    <row r="1885" spans="13:13" x14ac:dyDescent="0.35">
      <c r="M1885" s="14"/>
    </row>
    <row r="1886" spans="13:13" x14ac:dyDescent="0.35">
      <c r="M1886" s="14"/>
    </row>
    <row r="1887" spans="13:13" x14ac:dyDescent="0.35">
      <c r="M1887" s="14"/>
    </row>
    <row r="1888" spans="13:13" x14ac:dyDescent="0.35">
      <c r="M1888" s="14"/>
    </row>
    <row r="1889" spans="13:13" x14ac:dyDescent="0.35">
      <c r="M1889" s="14"/>
    </row>
    <row r="1890" spans="13:13" x14ac:dyDescent="0.35">
      <c r="M1890" s="14"/>
    </row>
    <row r="1891" spans="13:13" x14ac:dyDescent="0.35">
      <c r="M1891" s="14"/>
    </row>
    <row r="1892" spans="13:13" x14ac:dyDescent="0.35">
      <c r="M1892" s="14"/>
    </row>
    <row r="1893" spans="13:13" x14ac:dyDescent="0.35">
      <c r="M1893" s="14"/>
    </row>
    <row r="1894" spans="13:13" x14ac:dyDescent="0.35">
      <c r="M1894" s="14"/>
    </row>
    <row r="1895" spans="13:13" x14ac:dyDescent="0.35">
      <c r="M1895" s="14"/>
    </row>
    <row r="1896" spans="13:13" x14ac:dyDescent="0.35">
      <c r="M1896" s="14"/>
    </row>
    <row r="1897" spans="13:13" x14ac:dyDescent="0.35">
      <c r="M1897" s="14"/>
    </row>
    <row r="1898" spans="13:13" x14ac:dyDescent="0.35">
      <c r="M1898" s="14"/>
    </row>
    <row r="1899" spans="13:13" x14ac:dyDescent="0.35">
      <c r="M1899" s="14"/>
    </row>
    <row r="1900" spans="13:13" x14ac:dyDescent="0.35">
      <c r="M1900" s="14"/>
    </row>
    <row r="1901" spans="13:13" x14ac:dyDescent="0.35">
      <c r="M1901" s="14"/>
    </row>
    <row r="1902" spans="13:13" x14ac:dyDescent="0.35">
      <c r="M1902" s="14"/>
    </row>
    <row r="1903" spans="13:13" x14ac:dyDescent="0.35">
      <c r="M1903" s="14"/>
    </row>
    <row r="1904" spans="13:13" x14ac:dyDescent="0.35">
      <c r="M1904" s="14"/>
    </row>
    <row r="1905" spans="13:13" x14ac:dyDescent="0.35">
      <c r="M1905" s="14"/>
    </row>
    <row r="1906" spans="13:13" x14ac:dyDescent="0.35">
      <c r="M1906" s="14"/>
    </row>
    <row r="1907" spans="13:13" x14ac:dyDescent="0.35">
      <c r="M1907" s="14"/>
    </row>
    <row r="1908" spans="13:13" x14ac:dyDescent="0.35">
      <c r="M1908" s="14"/>
    </row>
    <row r="1909" spans="13:13" x14ac:dyDescent="0.35">
      <c r="M1909" s="14"/>
    </row>
    <row r="1910" spans="13:13" x14ac:dyDescent="0.35">
      <c r="M1910" s="14"/>
    </row>
    <row r="1911" spans="13:13" x14ac:dyDescent="0.35">
      <c r="M1911" s="14"/>
    </row>
    <row r="1912" spans="13:13" x14ac:dyDescent="0.35">
      <c r="M1912" s="14"/>
    </row>
    <row r="1913" spans="13:13" x14ac:dyDescent="0.35">
      <c r="M1913" s="14"/>
    </row>
    <row r="1914" spans="13:13" x14ac:dyDescent="0.35">
      <c r="M1914" s="14"/>
    </row>
    <row r="1915" spans="13:13" x14ac:dyDescent="0.35">
      <c r="M1915" s="14"/>
    </row>
    <row r="1916" spans="13:13" x14ac:dyDescent="0.35">
      <c r="M1916" s="14"/>
    </row>
    <row r="1917" spans="13:13" x14ac:dyDescent="0.35">
      <c r="M1917" s="14"/>
    </row>
    <row r="1918" spans="13:13" x14ac:dyDescent="0.35">
      <c r="M1918" s="14"/>
    </row>
    <row r="1919" spans="13:13" x14ac:dyDescent="0.35">
      <c r="M1919" s="14"/>
    </row>
    <row r="1920" spans="13:13" x14ac:dyDescent="0.35">
      <c r="M1920" s="14"/>
    </row>
    <row r="1921" spans="13:13" x14ac:dyDescent="0.35">
      <c r="M1921" s="14"/>
    </row>
    <row r="1922" spans="13:13" x14ac:dyDescent="0.35">
      <c r="M1922" s="14"/>
    </row>
    <row r="1923" spans="13:13" x14ac:dyDescent="0.35">
      <c r="M1923" s="14"/>
    </row>
    <row r="1924" spans="13:13" x14ac:dyDescent="0.35">
      <c r="M1924" s="14"/>
    </row>
    <row r="1925" spans="13:13" x14ac:dyDescent="0.35">
      <c r="M1925" s="14"/>
    </row>
    <row r="1926" spans="13:13" x14ac:dyDescent="0.35">
      <c r="M1926" s="14"/>
    </row>
    <row r="1927" spans="13:13" x14ac:dyDescent="0.35">
      <c r="M1927" s="14"/>
    </row>
    <row r="1928" spans="13:13" x14ac:dyDescent="0.35">
      <c r="M1928" s="14"/>
    </row>
    <row r="1929" spans="13:13" x14ac:dyDescent="0.35">
      <c r="M1929" s="14"/>
    </row>
    <row r="1930" spans="13:13" x14ac:dyDescent="0.35">
      <c r="M1930" s="14"/>
    </row>
    <row r="1931" spans="13:13" x14ac:dyDescent="0.35">
      <c r="M1931" s="14"/>
    </row>
    <row r="1932" spans="13:13" x14ac:dyDescent="0.35">
      <c r="M1932" s="14"/>
    </row>
    <row r="1933" spans="13:13" x14ac:dyDescent="0.35">
      <c r="M1933" s="14"/>
    </row>
    <row r="1934" spans="13:13" x14ac:dyDescent="0.35">
      <c r="M1934" s="14"/>
    </row>
    <row r="1935" spans="13:13" x14ac:dyDescent="0.35">
      <c r="M1935" s="14"/>
    </row>
    <row r="1936" spans="13:13" x14ac:dyDescent="0.35">
      <c r="M1936" s="14"/>
    </row>
    <row r="1937" spans="13:13" x14ac:dyDescent="0.35">
      <c r="M1937" s="14"/>
    </row>
    <row r="1938" spans="13:13" x14ac:dyDescent="0.35">
      <c r="M1938" s="14"/>
    </row>
    <row r="1939" spans="13:13" x14ac:dyDescent="0.35">
      <c r="M1939" s="14"/>
    </row>
    <row r="1940" spans="13:13" x14ac:dyDescent="0.35">
      <c r="M1940" s="14"/>
    </row>
    <row r="1941" spans="13:13" x14ac:dyDescent="0.35">
      <c r="M1941" s="14"/>
    </row>
    <row r="1942" spans="13:13" x14ac:dyDescent="0.35">
      <c r="M1942" s="14"/>
    </row>
    <row r="1943" spans="13:13" x14ac:dyDescent="0.35">
      <c r="M1943" s="14"/>
    </row>
    <row r="1944" spans="13:13" x14ac:dyDescent="0.35">
      <c r="M1944" s="14"/>
    </row>
    <row r="1945" spans="13:13" x14ac:dyDescent="0.35">
      <c r="M1945" s="14"/>
    </row>
    <row r="1946" spans="13:13" x14ac:dyDescent="0.35">
      <c r="M1946" s="14"/>
    </row>
    <row r="1947" spans="13:13" x14ac:dyDescent="0.35">
      <c r="M1947" s="14"/>
    </row>
    <row r="1948" spans="13:13" x14ac:dyDescent="0.35">
      <c r="M1948" s="14"/>
    </row>
    <row r="1949" spans="13:13" x14ac:dyDescent="0.35">
      <c r="M1949" s="14"/>
    </row>
    <row r="1950" spans="13:13" x14ac:dyDescent="0.35">
      <c r="M1950" s="14"/>
    </row>
    <row r="1951" spans="13:13" x14ac:dyDescent="0.35">
      <c r="M1951" s="14"/>
    </row>
    <row r="1952" spans="13:13" x14ac:dyDescent="0.35">
      <c r="M1952" s="14"/>
    </row>
    <row r="1953" spans="13:13" x14ac:dyDescent="0.35">
      <c r="M1953" s="14"/>
    </row>
    <row r="1954" spans="13:13" x14ac:dyDescent="0.35">
      <c r="M1954" s="14"/>
    </row>
    <row r="1955" spans="13:13" x14ac:dyDescent="0.35">
      <c r="M1955" s="14"/>
    </row>
    <row r="1956" spans="13:13" x14ac:dyDescent="0.35">
      <c r="M1956" s="14"/>
    </row>
    <row r="1957" spans="13:13" x14ac:dyDescent="0.35">
      <c r="M1957" s="14"/>
    </row>
    <row r="1958" spans="13:13" x14ac:dyDescent="0.35">
      <c r="M1958" s="14"/>
    </row>
    <row r="1959" spans="13:13" x14ac:dyDescent="0.35">
      <c r="M1959" s="14"/>
    </row>
    <row r="1960" spans="13:13" x14ac:dyDescent="0.35">
      <c r="M1960" s="14"/>
    </row>
    <row r="1961" spans="13:13" x14ac:dyDescent="0.35">
      <c r="M1961" s="14"/>
    </row>
    <row r="1962" spans="13:13" x14ac:dyDescent="0.35">
      <c r="M1962" s="14"/>
    </row>
    <row r="1963" spans="13:13" x14ac:dyDescent="0.35">
      <c r="M1963" s="14"/>
    </row>
    <row r="1964" spans="13:13" x14ac:dyDescent="0.35">
      <c r="M1964" s="14"/>
    </row>
    <row r="1965" spans="13:13" x14ac:dyDescent="0.35">
      <c r="M1965" s="14"/>
    </row>
    <row r="1966" spans="13:13" x14ac:dyDescent="0.35">
      <c r="M1966" s="14"/>
    </row>
    <row r="1967" spans="13:13" x14ac:dyDescent="0.35">
      <c r="M1967" s="14"/>
    </row>
    <row r="1968" spans="13:13" x14ac:dyDescent="0.35">
      <c r="M1968" s="14"/>
    </row>
    <row r="1969" spans="13:13" x14ac:dyDescent="0.35">
      <c r="M1969" s="14"/>
    </row>
    <row r="1970" spans="13:13" x14ac:dyDescent="0.35">
      <c r="M1970" s="14"/>
    </row>
    <row r="1971" spans="13:13" x14ac:dyDescent="0.35">
      <c r="M1971" s="14"/>
    </row>
    <row r="1972" spans="13:13" x14ac:dyDescent="0.35">
      <c r="M1972" s="14"/>
    </row>
    <row r="1973" spans="13:13" x14ac:dyDescent="0.35">
      <c r="M1973" s="14"/>
    </row>
    <row r="1974" spans="13:13" x14ac:dyDescent="0.35">
      <c r="M1974" s="14"/>
    </row>
    <row r="1975" spans="13:13" x14ac:dyDescent="0.35">
      <c r="M1975" s="14"/>
    </row>
    <row r="1976" spans="13:13" x14ac:dyDescent="0.35">
      <c r="M1976" s="14"/>
    </row>
    <row r="1977" spans="13:13" x14ac:dyDescent="0.35">
      <c r="M1977" s="14"/>
    </row>
    <row r="1978" spans="13:13" x14ac:dyDescent="0.35">
      <c r="M1978" s="14"/>
    </row>
    <row r="1979" spans="13:13" x14ac:dyDescent="0.35">
      <c r="M1979" s="14"/>
    </row>
    <row r="1980" spans="13:13" x14ac:dyDescent="0.35">
      <c r="M1980" s="14"/>
    </row>
    <row r="1981" spans="13:13" x14ac:dyDescent="0.35">
      <c r="M1981" s="14"/>
    </row>
    <row r="1982" spans="13:13" x14ac:dyDescent="0.35">
      <c r="M1982" s="14"/>
    </row>
    <row r="1983" spans="13:13" x14ac:dyDescent="0.35">
      <c r="M1983" s="14"/>
    </row>
    <row r="1984" spans="13:13" x14ac:dyDescent="0.35">
      <c r="M1984" s="14"/>
    </row>
    <row r="1985" spans="13:13" x14ac:dyDescent="0.35">
      <c r="M1985" s="14"/>
    </row>
    <row r="1986" spans="13:13" x14ac:dyDescent="0.35">
      <c r="M1986" s="14"/>
    </row>
    <row r="1987" spans="13:13" x14ac:dyDescent="0.35">
      <c r="M1987" s="14"/>
    </row>
    <row r="1988" spans="13:13" x14ac:dyDescent="0.35">
      <c r="M1988" s="14"/>
    </row>
    <row r="1989" spans="13:13" x14ac:dyDescent="0.35">
      <c r="M1989" s="14"/>
    </row>
    <row r="1990" spans="13:13" x14ac:dyDescent="0.35">
      <c r="M1990" s="14"/>
    </row>
    <row r="1991" spans="13:13" x14ac:dyDescent="0.35">
      <c r="M1991" s="14"/>
    </row>
    <row r="1992" spans="13:13" x14ac:dyDescent="0.35">
      <c r="M1992" s="14"/>
    </row>
    <row r="1993" spans="13:13" x14ac:dyDescent="0.35">
      <c r="M1993" s="14"/>
    </row>
    <row r="1994" spans="13:13" x14ac:dyDescent="0.35">
      <c r="M1994" s="14"/>
    </row>
    <row r="1995" spans="13:13" x14ac:dyDescent="0.35">
      <c r="M1995" s="14"/>
    </row>
    <row r="1996" spans="13:13" x14ac:dyDescent="0.35">
      <c r="M1996" s="14"/>
    </row>
    <row r="1997" spans="13:13" x14ac:dyDescent="0.35">
      <c r="M1997" s="14"/>
    </row>
    <row r="1998" spans="13:13" x14ac:dyDescent="0.35">
      <c r="M1998" s="14"/>
    </row>
    <row r="1999" spans="13:13" x14ac:dyDescent="0.35">
      <c r="M1999" s="14"/>
    </row>
    <row r="2000" spans="13:13" x14ac:dyDescent="0.35">
      <c r="M2000" s="14"/>
    </row>
    <row r="2001" spans="13:13" x14ac:dyDescent="0.35">
      <c r="M2001" s="14"/>
    </row>
    <row r="2002" spans="13:13" x14ac:dyDescent="0.35">
      <c r="M2002" s="14"/>
    </row>
    <row r="2003" spans="13:13" x14ac:dyDescent="0.35">
      <c r="M2003" s="14"/>
    </row>
    <row r="2004" spans="13:13" x14ac:dyDescent="0.35">
      <c r="M2004" s="14"/>
    </row>
    <row r="2005" spans="13:13" x14ac:dyDescent="0.35">
      <c r="M2005" s="14"/>
    </row>
    <row r="2006" spans="13:13" x14ac:dyDescent="0.35">
      <c r="M2006" s="14"/>
    </row>
    <row r="2007" spans="13:13" x14ac:dyDescent="0.35">
      <c r="M2007" s="14"/>
    </row>
    <row r="2008" spans="13:13" x14ac:dyDescent="0.35">
      <c r="M2008" s="14"/>
    </row>
    <row r="2009" spans="13:13" x14ac:dyDescent="0.35">
      <c r="M2009" s="14"/>
    </row>
    <row r="2010" spans="13:13" x14ac:dyDescent="0.35">
      <c r="M2010" s="14"/>
    </row>
    <row r="2011" spans="13:13" x14ac:dyDescent="0.35">
      <c r="M2011" s="14"/>
    </row>
    <row r="2012" spans="13:13" x14ac:dyDescent="0.35">
      <c r="M2012" s="14"/>
    </row>
    <row r="2013" spans="13:13" x14ac:dyDescent="0.35">
      <c r="M2013" s="14"/>
    </row>
    <row r="2014" spans="13:13" x14ac:dyDescent="0.35">
      <c r="M2014" s="14"/>
    </row>
    <row r="2015" spans="13:13" x14ac:dyDescent="0.35">
      <c r="M2015" s="14"/>
    </row>
    <row r="2016" spans="13:13" x14ac:dyDescent="0.35">
      <c r="M2016" s="14"/>
    </row>
    <row r="2017" spans="13:13" x14ac:dyDescent="0.35">
      <c r="M2017" s="14"/>
    </row>
    <row r="2018" spans="13:13" x14ac:dyDescent="0.35">
      <c r="M2018" s="14"/>
    </row>
    <row r="2019" spans="13:13" x14ac:dyDescent="0.35">
      <c r="M2019" s="14"/>
    </row>
    <row r="2020" spans="13:13" x14ac:dyDescent="0.35">
      <c r="M2020" s="14"/>
    </row>
    <row r="2021" spans="13:13" x14ac:dyDescent="0.35">
      <c r="M2021" s="14"/>
    </row>
    <row r="2022" spans="13:13" x14ac:dyDescent="0.35">
      <c r="M2022" s="14"/>
    </row>
    <row r="2023" spans="13:13" x14ac:dyDescent="0.35">
      <c r="M2023" s="14"/>
    </row>
    <row r="2024" spans="13:13" x14ac:dyDescent="0.35">
      <c r="M2024" s="14"/>
    </row>
    <row r="2025" spans="13:13" x14ac:dyDescent="0.35">
      <c r="M2025" s="14"/>
    </row>
    <row r="2026" spans="13:13" x14ac:dyDescent="0.35">
      <c r="M2026" s="14"/>
    </row>
    <row r="2027" spans="13:13" x14ac:dyDescent="0.35">
      <c r="M2027" s="14"/>
    </row>
    <row r="2028" spans="13:13" x14ac:dyDescent="0.35">
      <c r="M2028" s="14"/>
    </row>
    <row r="2029" spans="13:13" x14ac:dyDescent="0.35">
      <c r="M2029" s="14"/>
    </row>
    <row r="2030" spans="13:13" x14ac:dyDescent="0.35">
      <c r="M2030" s="14"/>
    </row>
    <row r="2031" spans="13:13" x14ac:dyDescent="0.35">
      <c r="M2031" s="14"/>
    </row>
    <row r="2032" spans="13:13" x14ac:dyDescent="0.35">
      <c r="M2032" s="14"/>
    </row>
    <row r="2033" spans="13:13" x14ac:dyDescent="0.35">
      <c r="M2033" s="14"/>
    </row>
    <row r="2034" spans="13:13" x14ac:dyDescent="0.35">
      <c r="M2034" s="14"/>
    </row>
    <row r="2035" spans="13:13" x14ac:dyDescent="0.35">
      <c r="M2035" s="14"/>
    </row>
    <row r="2036" spans="13:13" x14ac:dyDescent="0.35">
      <c r="M2036" s="14"/>
    </row>
    <row r="2037" spans="13:13" x14ac:dyDescent="0.35">
      <c r="M2037" s="14"/>
    </row>
    <row r="2038" spans="13:13" x14ac:dyDescent="0.35">
      <c r="M2038" s="14"/>
    </row>
    <row r="2039" spans="13:13" x14ac:dyDescent="0.35">
      <c r="M2039" s="14"/>
    </row>
    <row r="2040" spans="13:13" x14ac:dyDescent="0.35">
      <c r="M2040" s="14"/>
    </row>
    <row r="2041" spans="13:13" x14ac:dyDescent="0.35">
      <c r="M2041" s="14"/>
    </row>
    <row r="2042" spans="13:13" x14ac:dyDescent="0.35">
      <c r="M2042" s="14"/>
    </row>
    <row r="2043" spans="13:13" x14ac:dyDescent="0.35">
      <c r="M2043" s="14"/>
    </row>
    <row r="2044" spans="13:13" x14ac:dyDescent="0.35">
      <c r="M2044" s="14"/>
    </row>
    <row r="2045" spans="13:13" x14ac:dyDescent="0.35">
      <c r="M2045" s="14"/>
    </row>
    <row r="2046" spans="13:13" x14ac:dyDescent="0.35">
      <c r="M2046" s="14"/>
    </row>
    <row r="2047" spans="13:13" x14ac:dyDescent="0.35">
      <c r="M2047" s="14"/>
    </row>
    <row r="2048" spans="13:13" x14ac:dyDescent="0.35">
      <c r="M2048" s="14"/>
    </row>
    <row r="2049" spans="13:13" x14ac:dyDescent="0.35">
      <c r="M2049" s="14"/>
    </row>
    <row r="2050" spans="13:13" x14ac:dyDescent="0.35">
      <c r="M2050" s="14"/>
    </row>
    <row r="2051" spans="13:13" x14ac:dyDescent="0.35">
      <c r="M2051" s="14"/>
    </row>
    <row r="2052" spans="13:13" x14ac:dyDescent="0.35">
      <c r="M2052" s="14"/>
    </row>
    <row r="2053" spans="13:13" x14ac:dyDescent="0.35">
      <c r="M2053" s="14"/>
    </row>
    <row r="2054" spans="13:13" x14ac:dyDescent="0.35">
      <c r="M2054" s="14"/>
    </row>
    <row r="2055" spans="13:13" x14ac:dyDescent="0.35">
      <c r="M2055" s="14"/>
    </row>
    <row r="2056" spans="13:13" x14ac:dyDescent="0.35">
      <c r="M2056" s="14"/>
    </row>
    <row r="2057" spans="13:13" x14ac:dyDescent="0.35">
      <c r="M2057" s="14"/>
    </row>
    <row r="2058" spans="13:13" x14ac:dyDescent="0.35">
      <c r="M2058" s="14"/>
    </row>
    <row r="2059" spans="13:13" x14ac:dyDescent="0.35">
      <c r="M2059" s="14"/>
    </row>
    <row r="2060" spans="13:13" x14ac:dyDescent="0.35">
      <c r="M2060" s="14"/>
    </row>
    <row r="2061" spans="13:13" x14ac:dyDescent="0.35">
      <c r="M2061" s="14"/>
    </row>
    <row r="2062" spans="13:13" x14ac:dyDescent="0.35">
      <c r="M2062" s="14"/>
    </row>
    <row r="2063" spans="13:13" x14ac:dyDescent="0.35">
      <c r="M2063" s="14"/>
    </row>
    <row r="2064" spans="13:13" x14ac:dyDescent="0.35">
      <c r="M2064" s="14"/>
    </row>
    <row r="2065" spans="13:13" x14ac:dyDescent="0.35">
      <c r="M2065" s="14"/>
    </row>
    <row r="2066" spans="13:13" x14ac:dyDescent="0.35">
      <c r="M2066" s="14"/>
    </row>
    <row r="2067" spans="13:13" x14ac:dyDescent="0.35">
      <c r="M2067" s="14"/>
    </row>
    <row r="2068" spans="13:13" x14ac:dyDescent="0.35">
      <c r="M2068" s="14"/>
    </row>
    <row r="2069" spans="13:13" x14ac:dyDescent="0.35">
      <c r="M2069" s="14"/>
    </row>
    <row r="2070" spans="13:13" x14ac:dyDescent="0.35">
      <c r="M2070" s="14"/>
    </row>
    <row r="2071" spans="13:13" x14ac:dyDescent="0.35">
      <c r="M2071" s="14"/>
    </row>
    <row r="2072" spans="13:13" x14ac:dyDescent="0.35">
      <c r="M2072" s="14"/>
    </row>
    <row r="2073" spans="13:13" x14ac:dyDescent="0.35">
      <c r="M2073" s="14"/>
    </row>
    <row r="2074" spans="13:13" x14ac:dyDescent="0.35">
      <c r="M2074" s="14"/>
    </row>
    <row r="2075" spans="13:13" x14ac:dyDescent="0.35">
      <c r="M2075" s="14"/>
    </row>
    <row r="2076" spans="13:13" x14ac:dyDescent="0.35">
      <c r="M2076" s="14"/>
    </row>
    <row r="2077" spans="13:13" x14ac:dyDescent="0.35">
      <c r="M2077" s="14"/>
    </row>
    <row r="2078" spans="13:13" x14ac:dyDescent="0.35">
      <c r="M2078" s="14"/>
    </row>
    <row r="2079" spans="13:13" x14ac:dyDescent="0.35">
      <c r="M2079" s="14"/>
    </row>
    <row r="2080" spans="13:13" x14ac:dyDescent="0.35">
      <c r="M2080" s="14"/>
    </row>
    <row r="2081" spans="13:13" x14ac:dyDescent="0.35">
      <c r="M2081" s="14"/>
    </row>
    <row r="2082" spans="13:13" x14ac:dyDescent="0.35">
      <c r="M2082" s="14"/>
    </row>
    <row r="2083" spans="13:13" x14ac:dyDescent="0.35">
      <c r="M2083" s="14"/>
    </row>
    <row r="2084" spans="13:13" x14ac:dyDescent="0.35">
      <c r="M2084" s="14"/>
    </row>
    <row r="2085" spans="13:13" x14ac:dyDescent="0.35">
      <c r="M2085" s="14"/>
    </row>
    <row r="2086" spans="13:13" x14ac:dyDescent="0.35">
      <c r="M2086" s="14"/>
    </row>
    <row r="2087" spans="13:13" x14ac:dyDescent="0.35">
      <c r="M2087" s="14"/>
    </row>
    <row r="2088" spans="13:13" x14ac:dyDescent="0.35">
      <c r="M2088" s="14"/>
    </row>
    <row r="2089" spans="13:13" x14ac:dyDescent="0.35">
      <c r="M2089" s="14"/>
    </row>
    <row r="2090" spans="13:13" x14ac:dyDescent="0.35">
      <c r="M2090" s="14"/>
    </row>
    <row r="2091" spans="13:13" x14ac:dyDescent="0.35">
      <c r="M2091" s="14"/>
    </row>
    <row r="2092" spans="13:13" x14ac:dyDescent="0.35">
      <c r="M2092" s="14"/>
    </row>
    <row r="2093" spans="13:13" x14ac:dyDescent="0.35">
      <c r="M2093" s="14"/>
    </row>
    <row r="2094" spans="13:13" x14ac:dyDescent="0.35">
      <c r="M2094" s="14"/>
    </row>
    <row r="2095" spans="13:13" x14ac:dyDescent="0.35">
      <c r="M2095" s="14"/>
    </row>
    <row r="2096" spans="13:13" x14ac:dyDescent="0.35">
      <c r="M2096" s="14"/>
    </row>
    <row r="2097" spans="13:13" x14ac:dyDescent="0.35">
      <c r="M2097" s="14"/>
    </row>
    <row r="2098" spans="13:13" x14ac:dyDescent="0.35">
      <c r="M2098" s="14"/>
    </row>
    <row r="2099" spans="13:13" x14ac:dyDescent="0.35">
      <c r="M2099" s="14"/>
    </row>
    <row r="2100" spans="13:13" x14ac:dyDescent="0.35">
      <c r="M2100" s="14"/>
    </row>
    <row r="2101" spans="13:13" x14ac:dyDescent="0.35">
      <c r="M2101" s="14"/>
    </row>
    <row r="2102" spans="13:13" x14ac:dyDescent="0.35">
      <c r="M2102" s="14"/>
    </row>
    <row r="2103" spans="13:13" x14ac:dyDescent="0.35">
      <c r="M2103" s="14"/>
    </row>
    <row r="2104" spans="13:13" x14ac:dyDescent="0.35">
      <c r="M2104" s="14"/>
    </row>
    <row r="2105" spans="13:13" x14ac:dyDescent="0.35">
      <c r="M2105" s="14"/>
    </row>
    <row r="2106" spans="13:13" x14ac:dyDescent="0.35">
      <c r="M2106" s="14"/>
    </row>
    <row r="2107" spans="13:13" x14ac:dyDescent="0.35">
      <c r="M2107" s="14"/>
    </row>
    <row r="2108" spans="13:13" x14ac:dyDescent="0.35">
      <c r="M2108" s="14"/>
    </row>
    <row r="2109" spans="13:13" x14ac:dyDescent="0.35">
      <c r="M2109" s="14"/>
    </row>
    <row r="2110" spans="13:13" x14ac:dyDescent="0.35">
      <c r="M2110" s="14"/>
    </row>
    <row r="2111" spans="13:13" x14ac:dyDescent="0.35">
      <c r="M2111" s="14"/>
    </row>
    <row r="2112" spans="13:13" x14ac:dyDescent="0.35">
      <c r="M2112" s="14"/>
    </row>
    <row r="2113" spans="13:13" x14ac:dyDescent="0.35">
      <c r="M2113" s="14"/>
    </row>
    <row r="2114" spans="13:13" x14ac:dyDescent="0.35">
      <c r="M2114" s="14"/>
    </row>
    <row r="2115" spans="13:13" x14ac:dyDescent="0.35">
      <c r="M2115" s="14"/>
    </row>
    <row r="2116" spans="13:13" x14ac:dyDescent="0.35">
      <c r="M2116" s="14"/>
    </row>
    <row r="2117" spans="13:13" x14ac:dyDescent="0.35">
      <c r="M2117" s="14"/>
    </row>
    <row r="2118" spans="13:13" x14ac:dyDescent="0.35">
      <c r="M2118" s="14"/>
    </row>
    <row r="2119" spans="13:13" x14ac:dyDescent="0.35">
      <c r="M2119" s="14"/>
    </row>
    <row r="2120" spans="13:13" x14ac:dyDescent="0.35">
      <c r="M2120" s="14"/>
    </row>
    <row r="2121" spans="13:13" x14ac:dyDescent="0.35">
      <c r="M2121" s="14"/>
    </row>
    <row r="2122" spans="13:13" x14ac:dyDescent="0.35">
      <c r="M2122" s="14"/>
    </row>
    <row r="2123" spans="13:13" x14ac:dyDescent="0.35">
      <c r="M2123" s="14"/>
    </row>
    <row r="2124" spans="13:13" x14ac:dyDescent="0.35">
      <c r="M2124" s="14"/>
    </row>
    <row r="2125" spans="13:13" x14ac:dyDescent="0.35">
      <c r="M2125" s="14"/>
    </row>
    <row r="2126" spans="13:13" x14ac:dyDescent="0.35">
      <c r="M2126" s="14"/>
    </row>
    <row r="2127" spans="13:13" x14ac:dyDescent="0.35">
      <c r="M2127" s="14"/>
    </row>
    <row r="2128" spans="13:13" x14ac:dyDescent="0.35">
      <c r="M2128" s="14"/>
    </row>
    <row r="2129" spans="13:13" x14ac:dyDescent="0.35">
      <c r="M2129" s="14"/>
    </row>
    <row r="2130" spans="13:13" x14ac:dyDescent="0.35">
      <c r="M2130" s="14"/>
    </row>
    <row r="2131" spans="13:13" x14ac:dyDescent="0.35">
      <c r="M2131" s="14"/>
    </row>
    <row r="2132" spans="13:13" x14ac:dyDescent="0.35">
      <c r="M2132" s="14"/>
    </row>
    <row r="2133" spans="13:13" x14ac:dyDescent="0.35">
      <c r="M2133" s="14"/>
    </row>
    <row r="2134" spans="13:13" x14ac:dyDescent="0.35">
      <c r="M2134" s="14"/>
    </row>
    <row r="2135" spans="13:13" x14ac:dyDescent="0.35">
      <c r="M2135" s="14"/>
    </row>
    <row r="2136" spans="13:13" x14ac:dyDescent="0.35">
      <c r="M2136" s="14"/>
    </row>
    <row r="2137" spans="13:13" x14ac:dyDescent="0.35">
      <c r="M2137" s="14"/>
    </row>
    <row r="2138" spans="13:13" x14ac:dyDescent="0.35">
      <c r="M2138" s="14"/>
    </row>
    <row r="2139" spans="13:13" x14ac:dyDescent="0.35">
      <c r="M2139" s="14"/>
    </row>
    <row r="2140" spans="13:13" x14ac:dyDescent="0.35">
      <c r="M2140" s="14"/>
    </row>
    <row r="2141" spans="13:13" x14ac:dyDescent="0.35">
      <c r="M2141" s="14"/>
    </row>
    <row r="2142" spans="13:13" x14ac:dyDescent="0.35">
      <c r="M2142" s="14"/>
    </row>
    <row r="2143" spans="13:13" x14ac:dyDescent="0.35">
      <c r="M2143" s="14"/>
    </row>
    <row r="2144" spans="13:13" x14ac:dyDescent="0.35">
      <c r="M2144" s="14"/>
    </row>
    <row r="2145" spans="13:13" x14ac:dyDescent="0.35">
      <c r="M2145" s="14"/>
    </row>
    <row r="2146" spans="13:13" x14ac:dyDescent="0.35">
      <c r="M2146" s="14"/>
    </row>
    <row r="2147" spans="13:13" x14ac:dyDescent="0.35">
      <c r="M2147" s="14"/>
    </row>
    <row r="2148" spans="13:13" x14ac:dyDescent="0.35">
      <c r="M2148" s="14"/>
    </row>
    <row r="2149" spans="13:13" x14ac:dyDescent="0.35">
      <c r="M2149" s="14"/>
    </row>
    <row r="2150" spans="13:13" x14ac:dyDescent="0.35">
      <c r="M2150" s="14"/>
    </row>
    <row r="2151" spans="13:13" x14ac:dyDescent="0.35">
      <c r="M2151" s="14"/>
    </row>
    <row r="2152" spans="13:13" x14ac:dyDescent="0.35">
      <c r="M2152" s="14"/>
    </row>
    <row r="2153" spans="13:13" x14ac:dyDescent="0.35">
      <c r="M2153" s="14"/>
    </row>
    <row r="2154" spans="13:13" x14ac:dyDescent="0.35">
      <c r="M2154" s="14"/>
    </row>
    <row r="2155" spans="13:13" x14ac:dyDescent="0.35">
      <c r="M2155" s="14"/>
    </row>
    <row r="2156" spans="13:13" x14ac:dyDescent="0.35">
      <c r="M2156" s="14"/>
    </row>
    <row r="2157" spans="13:13" x14ac:dyDescent="0.35">
      <c r="M2157" s="14"/>
    </row>
    <row r="2158" spans="13:13" x14ac:dyDescent="0.35">
      <c r="M2158" s="14"/>
    </row>
    <row r="2159" spans="13:13" x14ac:dyDescent="0.35">
      <c r="M2159" s="14"/>
    </row>
    <row r="2160" spans="13:13" x14ac:dyDescent="0.35">
      <c r="M2160" s="14"/>
    </row>
    <row r="2161" spans="13:13" x14ac:dyDescent="0.35">
      <c r="M2161" s="14"/>
    </row>
    <row r="2162" spans="13:13" x14ac:dyDescent="0.35">
      <c r="M2162" s="14"/>
    </row>
    <row r="2163" spans="13:13" x14ac:dyDescent="0.35">
      <c r="M2163" s="14"/>
    </row>
    <row r="2164" spans="13:13" x14ac:dyDescent="0.35">
      <c r="M2164" s="14"/>
    </row>
    <row r="2165" spans="13:13" x14ac:dyDescent="0.35">
      <c r="M2165" s="14"/>
    </row>
    <row r="2166" spans="13:13" x14ac:dyDescent="0.35">
      <c r="M2166" s="14"/>
    </row>
    <row r="2167" spans="13:13" x14ac:dyDescent="0.35">
      <c r="M2167" s="14"/>
    </row>
    <row r="2168" spans="13:13" x14ac:dyDescent="0.35">
      <c r="M2168" s="14"/>
    </row>
    <row r="2169" spans="13:13" x14ac:dyDescent="0.35">
      <c r="M2169" s="14"/>
    </row>
    <row r="2170" spans="13:13" x14ac:dyDescent="0.35">
      <c r="M2170" s="14"/>
    </row>
    <row r="2171" spans="13:13" x14ac:dyDescent="0.35">
      <c r="M2171" s="14"/>
    </row>
    <row r="2172" spans="13:13" x14ac:dyDescent="0.35">
      <c r="M2172" s="14"/>
    </row>
    <row r="2173" spans="13:13" x14ac:dyDescent="0.35">
      <c r="M2173" s="14"/>
    </row>
    <row r="2174" spans="13:13" x14ac:dyDescent="0.35">
      <c r="M2174" s="14"/>
    </row>
    <row r="2175" spans="13:13" x14ac:dyDescent="0.35">
      <c r="M2175" s="14"/>
    </row>
    <row r="2176" spans="13:13" x14ac:dyDescent="0.35">
      <c r="M2176" s="14"/>
    </row>
    <row r="2177" spans="13:13" x14ac:dyDescent="0.35">
      <c r="M2177" s="14"/>
    </row>
    <row r="2178" spans="13:13" x14ac:dyDescent="0.35">
      <c r="M2178" s="14"/>
    </row>
    <row r="2179" spans="13:13" x14ac:dyDescent="0.35">
      <c r="M2179" s="14"/>
    </row>
    <row r="2180" spans="13:13" x14ac:dyDescent="0.35">
      <c r="M2180" s="14"/>
    </row>
    <row r="2181" spans="13:13" x14ac:dyDescent="0.35">
      <c r="M2181" s="14"/>
    </row>
    <row r="2182" spans="13:13" x14ac:dyDescent="0.35">
      <c r="M2182" s="14"/>
    </row>
    <row r="2183" spans="13:13" x14ac:dyDescent="0.35">
      <c r="M2183" s="14"/>
    </row>
    <row r="2184" spans="13:13" x14ac:dyDescent="0.35">
      <c r="M2184" s="14"/>
    </row>
    <row r="2185" spans="13:13" x14ac:dyDescent="0.35">
      <c r="M2185" s="14"/>
    </row>
    <row r="2186" spans="13:13" x14ac:dyDescent="0.35">
      <c r="M2186" s="14"/>
    </row>
    <row r="2187" spans="13:13" x14ac:dyDescent="0.35">
      <c r="M2187" s="14"/>
    </row>
    <row r="2188" spans="13:13" x14ac:dyDescent="0.35">
      <c r="M2188" s="14"/>
    </row>
    <row r="2189" spans="13:13" x14ac:dyDescent="0.35">
      <c r="M2189" s="14"/>
    </row>
    <row r="2190" spans="13:13" x14ac:dyDescent="0.35">
      <c r="M2190" s="14"/>
    </row>
    <row r="2191" spans="13:13" x14ac:dyDescent="0.35">
      <c r="M2191" s="14"/>
    </row>
    <row r="2192" spans="13:13" x14ac:dyDescent="0.35">
      <c r="M2192" s="14"/>
    </row>
    <row r="2193" spans="13:13" x14ac:dyDescent="0.35">
      <c r="M2193" s="14"/>
    </row>
    <row r="2194" spans="13:13" x14ac:dyDescent="0.35">
      <c r="M2194" s="14"/>
    </row>
    <row r="2195" spans="13:13" x14ac:dyDescent="0.35">
      <c r="M2195" s="14"/>
    </row>
    <row r="2196" spans="13:13" x14ac:dyDescent="0.35">
      <c r="M2196" s="14"/>
    </row>
    <row r="2197" spans="13:13" x14ac:dyDescent="0.35">
      <c r="M2197" s="14"/>
    </row>
    <row r="2198" spans="13:13" x14ac:dyDescent="0.35">
      <c r="M2198" s="14"/>
    </row>
    <row r="2199" spans="13:13" x14ac:dyDescent="0.35">
      <c r="M2199" s="14"/>
    </row>
    <row r="2200" spans="13:13" x14ac:dyDescent="0.35">
      <c r="M2200" s="14"/>
    </row>
    <row r="2201" spans="13:13" x14ac:dyDescent="0.35">
      <c r="M2201" s="14"/>
    </row>
    <row r="2202" spans="13:13" x14ac:dyDescent="0.35">
      <c r="M2202" s="14"/>
    </row>
    <row r="2203" spans="13:13" x14ac:dyDescent="0.35">
      <c r="M2203" s="14"/>
    </row>
    <row r="2204" spans="13:13" x14ac:dyDescent="0.35">
      <c r="M2204" s="14"/>
    </row>
    <row r="2205" spans="13:13" x14ac:dyDescent="0.35">
      <c r="M2205" s="14"/>
    </row>
    <row r="2206" spans="13:13" x14ac:dyDescent="0.35">
      <c r="M2206" s="14"/>
    </row>
    <row r="2207" spans="13:13" x14ac:dyDescent="0.35">
      <c r="M2207" s="14"/>
    </row>
    <row r="2208" spans="13:13" x14ac:dyDescent="0.35">
      <c r="M2208" s="14"/>
    </row>
    <row r="2209" spans="13:13" x14ac:dyDescent="0.35">
      <c r="M2209" s="14"/>
    </row>
    <row r="2210" spans="13:13" x14ac:dyDescent="0.35">
      <c r="M2210" s="14"/>
    </row>
    <row r="2211" spans="13:13" x14ac:dyDescent="0.35">
      <c r="M2211" s="14"/>
    </row>
    <row r="2212" spans="13:13" x14ac:dyDescent="0.35">
      <c r="M2212" s="14"/>
    </row>
    <row r="2213" spans="13:13" x14ac:dyDescent="0.35">
      <c r="M2213" s="14"/>
    </row>
    <row r="2214" spans="13:13" x14ac:dyDescent="0.35">
      <c r="M2214" s="14"/>
    </row>
    <row r="2215" spans="13:13" x14ac:dyDescent="0.35">
      <c r="M2215" s="14"/>
    </row>
    <row r="2216" spans="13:13" x14ac:dyDescent="0.35">
      <c r="M2216" s="14"/>
    </row>
    <row r="2217" spans="13:13" x14ac:dyDescent="0.35">
      <c r="M2217" s="14"/>
    </row>
    <row r="2218" spans="13:13" x14ac:dyDescent="0.35">
      <c r="M2218" s="14"/>
    </row>
    <row r="2219" spans="13:13" x14ac:dyDescent="0.35">
      <c r="M2219" s="14"/>
    </row>
    <row r="2220" spans="13:13" x14ac:dyDescent="0.35">
      <c r="M2220" s="14"/>
    </row>
    <row r="2221" spans="13:13" x14ac:dyDescent="0.35">
      <c r="M2221" s="14"/>
    </row>
    <row r="2222" spans="13:13" x14ac:dyDescent="0.35">
      <c r="M2222" s="14"/>
    </row>
    <row r="2223" spans="13:13" x14ac:dyDescent="0.35">
      <c r="M2223" s="14"/>
    </row>
    <row r="2224" spans="13:13" x14ac:dyDescent="0.35">
      <c r="M2224" s="14"/>
    </row>
    <row r="2225" spans="13:13" x14ac:dyDescent="0.35">
      <c r="M2225" s="14"/>
    </row>
    <row r="2226" spans="13:13" x14ac:dyDescent="0.35">
      <c r="M2226" s="14"/>
    </row>
    <row r="2227" spans="13:13" x14ac:dyDescent="0.35">
      <c r="M2227" s="14"/>
    </row>
    <row r="2228" spans="13:13" x14ac:dyDescent="0.35">
      <c r="M2228" s="14"/>
    </row>
    <row r="2229" spans="13:13" x14ac:dyDescent="0.35">
      <c r="M2229" s="14"/>
    </row>
    <row r="2230" spans="13:13" x14ac:dyDescent="0.35">
      <c r="M2230" s="14"/>
    </row>
    <row r="2231" spans="13:13" x14ac:dyDescent="0.35">
      <c r="M2231" s="14"/>
    </row>
    <row r="2232" spans="13:13" x14ac:dyDescent="0.35">
      <c r="M2232" s="14"/>
    </row>
    <row r="2233" spans="13:13" x14ac:dyDescent="0.35">
      <c r="M2233" s="14"/>
    </row>
    <row r="2234" spans="13:13" x14ac:dyDescent="0.35">
      <c r="M2234" s="14"/>
    </row>
    <row r="2235" spans="13:13" x14ac:dyDescent="0.35">
      <c r="M2235" s="14"/>
    </row>
    <row r="2236" spans="13:13" x14ac:dyDescent="0.35">
      <c r="M2236" s="14"/>
    </row>
    <row r="2237" spans="13:13" x14ac:dyDescent="0.35">
      <c r="M2237" s="14"/>
    </row>
    <row r="2238" spans="13:13" x14ac:dyDescent="0.35">
      <c r="M2238" s="14"/>
    </row>
    <row r="2239" spans="13:13" x14ac:dyDescent="0.35">
      <c r="M2239" s="14"/>
    </row>
    <row r="2240" spans="13:13" x14ac:dyDescent="0.35">
      <c r="M2240" s="14"/>
    </row>
    <row r="2241" spans="13:13" x14ac:dyDescent="0.35">
      <c r="M2241" s="14"/>
    </row>
    <row r="2242" spans="13:13" x14ac:dyDescent="0.35">
      <c r="M2242" s="14"/>
    </row>
    <row r="2243" spans="13:13" x14ac:dyDescent="0.35">
      <c r="M2243" s="14"/>
    </row>
    <row r="2244" spans="13:13" x14ac:dyDescent="0.35">
      <c r="M2244" s="14"/>
    </row>
    <row r="2245" spans="13:13" x14ac:dyDescent="0.35">
      <c r="M2245" s="14"/>
    </row>
    <row r="2246" spans="13:13" x14ac:dyDescent="0.35">
      <c r="M2246" s="14"/>
    </row>
    <row r="2247" spans="13:13" x14ac:dyDescent="0.35">
      <c r="M2247" s="14"/>
    </row>
    <row r="2248" spans="13:13" x14ac:dyDescent="0.35">
      <c r="M2248" s="14"/>
    </row>
    <row r="2249" spans="13:13" x14ac:dyDescent="0.35">
      <c r="M2249" s="14"/>
    </row>
    <row r="2250" spans="13:13" x14ac:dyDescent="0.35">
      <c r="M2250" s="14"/>
    </row>
    <row r="2251" spans="13:13" x14ac:dyDescent="0.35">
      <c r="M2251" s="14"/>
    </row>
    <row r="2252" spans="13:13" x14ac:dyDescent="0.35">
      <c r="M2252" s="14"/>
    </row>
    <row r="2253" spans="13:13" x14ac:dyDescent="0.35">
      <c r="M2253" s="14"/>
    </row>
    <row r="2254" spans="13:13" x14ac:dyDescent="0.35">
      <c r="M2254" s="14"/>
    </row>
    <row r="2255" spans="13:13" x14ac:dyDescent="0.35">
      <c r="M2255" s="14"/>
    </row>
    <row r="2256" spans="13:13" x14ac:dyDescent="0.35">
      <c r="M2256" s="14"/>
    </row>
    <row r="2257" spans="13:13" x14ac:dyDescent="0.35">
      <c r="M2257" s="14"/>
    </row>
    <row r="2258" spans="13:13" x14ac:dyDescent="0.35">
      <c r="M2258" s="14"/>
    </row>
    <row r="2259" spans="13:13" x14ac:dyDescent="0.35">
      <c r="M2259" s="14"/>
    </row>
    <row r="2260" spans="13:13" x14ac:dyDescent="0.35">
      <c r="M2260" s="14"/>
    </row>
    <row r="2261" spans="13:13" x14ac:dyDescent="0.35">
      <c r="M2261" s="14"/>
    </row>
    <row r="2262" spans="13:13" x14ac:dyDescent="0.35">
      <c r="M2262" s="14"/>
    </row>
    <row r="2263" spans="13:13" x14ac:dyDescent="0.35">
      <c r="M2263" s="14"/>
    </row>
    <row r="2264" spans="13:13" x14ac:dyDescent="0.35">
      <c r="M2264" s="14"/>
    </row>
    <row r="2265" spans="13:13" x14ac:dyDescent="0.35">
      <c r="M2265" s="14"/>
    </row>
    <row r="2266" spans="13:13" x14ac:dyDescent="0.35">
      <c r="M2266" s="14"/>
    </row>
    <row r="2267" spans="13:13" x14ac:dyDescent="0.35">
      <c r="M2267" s="14"/>
    </row>
    <row r="2268" spans="13:13" x14ac:dyDescent="0.35">
      <c r="M2268" s="14"/>
    </row>
    <row r="2269" spans="13:13" x14ac:dyDescent="0.35">
      <c r="M2269" s="14"/>
    </row>
    <row r="2270" spans="13:13" x14ac:dyDescent="0.35">
      <c r="M2270" s="14"/>
    </row>
    <row r="2271" spans="13:13" x14ac:dyDescent="0.35">
      <c r="M2271" s="14"/>
    </row>
    <row r="2272" spans="13:13" x14ac:dyDescent="0.35">
      <c r="M2272" s="14"/>
    </row>
    <row r="2273" spans="13:13" x14ac:dyDescent="0.35">
      <c r="M2273" s="14"/>
    </row>
    <row r="2274" spans="13:13" x14ac:dyDescent="0.35">
      <c r="M2274" s="14"/>
    </row>
    <row r="2275" spans="13:13" x14ac:dyDescent="0.35">
      <c r="M2275" s="14"/>
    </row>
    <row r="2276" spans="13:13" x14ac:dyDescent="0.35">
      <c r="M2276" s="14"/>
    </row>
    <row r="2277" spans="13:13" x14ac:dyDescent="0.35">
      <c r="M2277" s="14"/>
    </row>
    <row r="2278" spans="13:13" x14ac:dyDescent="0.35">
      <c r="M2278" s="14"/>
    </row>
    <row r="2279" spans="13:13" x14ac:dyDescent="0.35">
      <c r="M2279" s="14"/>
    </row>
    <row r="2280" spans="13:13" x14ac:dyDescent="0.35">
      <c r="M2280" s="14"/>
    </row>
    <row r="2281" spans="13:13" x14ac:dyDescent="0.35">
      <c r="M2281" s="14"/>
    </row>
    <row r="2282" spans="13:13" x14ac:dyDescent="0.35">
      <c r="M2282" s="14"/>
    </row>
    <row r="2283" spans="13:13" x14ac:dyDescent="0.35">
      <c r="M2283" s="14"/>
    </row>
    <row r="2284" spans="13:13" x14ac:dyDescent="0.35">
      <c r="M2284" s="14"/>
    </row>
    <row r="2285" spans="13:13" x14ac:dyDescent="0.35">
      <c r="M2285" s="14"/>
    </row>
    <row r="2286" spans="13:13" x14ac:dyDescent="0.35">
      <c r="M2286" s="14"/>
    </row>
    <row r="2287" spans="13:13" x14ac:dyDescent="0.35">
      <c r="M2287" s="14"/>
    </row>
    <row r="2288" spans="13:13" x14ac:dyDescent="0.35">
      <c r="M2288" s="14"/>
    </row>
    <row r="2289" spans="13:13" x14ac:dyDescent="0.35">
      <c r="M2289" s="14"/>
    </row>
    <row r="2290" spans="13:13" x14ac:dyDescent="0.35">
      <c r="M2290" s="14"/>
    </row>
    <row r="2291" spans="13:13" x14ac:dyDescent="0.35">
      <c r="M2291" s="14"/>
    </row>
    <row r="2292" spans="13:13" x14ac:dyDescent="0.35">
      <c r="M2292" s="14"/>
    </row>
    <row r="2293" spans="13:13" x14ac:dyDescent="0.35">
      <c r="M2293" s="14"/>
    </row>
    <row r="2294" spans="13:13" x14ac:dyDescent="0.35">
      <c r="M2294" s="14"/>
    </row>
    <row r="2295" spans="13:13" x14ac:dyDescent="0.35">
      <c r="M2295" s="14"/>
    </row>
    <row r="2296" spans="13:13" x14ac:dyDescent="0.35">
      <c r="M2296" s="14"/>
    </row>
    <row r="2297" spans="13:13" x14ac:dyDescent="0.35">
      <c r="M2297" s="14"/>
    </row>
    <row r="2298" spans="13:13" x14ac:dyDescent="0.35">
      <c r="M2298" s="14"/>
    </row>
    <row r="2299" spans="13:13" x14ac:dyDescent="0.35">
      <c r="M2299" s="14"/>
    </row>
    <row r="2300" spans="13:13" x14ac:dyDescent="0.35">
      <c r="M2300" s="14"/>
    </row>
    <row r="2301" spans="13:13" x14ac:dyDescent="0.35">
      <c r="M2301" s="14"/>
    </row>
    <row r="2302" spans="13:13" x14ac:dyDescent="0.35">
      <c r="M2302" s="14"/>
    </row>
    <row r="2303" spans="13:13" x14ac:dyDescent="0.35">
      <c r="M2303" s="14"/>
    </row>
    <row r="2304" spans="13:13" x14ac:dyDescent="0.35">
      <c r="M2304" s="14"/>
    </row>
    <row r="2305" spans="13:13" x14ac:dyDescent="0.35">
      <c r="M2305" s="14"/>
    </row>
    <row r="2306" spans="13:13" x14ac:dyDescent="0.35">
      <c r="M2306" s="14"/>
    </row>
    <row r="2307" spans="13:13" x14ac:dyDescent="0.35">
      <c r="M2307" s="14"/>
    </row>
    <row r="2308" spans="13:13" x14ac:dyDescent="0.35">
      <c r="M2308" s="14"/>
    </row>
    <row r="2309" spans="13:13" x14ac:dyDescent="0.35">
      <c r="M2309" s="14"/>
    </row>
    <row r="2310" spans="13:13" x14ac:dyDescent="0.35">
      <c r="M2310" s="14"/>
    </row>
    <row r="2311" spans="13:13" x14ac:dyDescent="0.35">
      <c r="M2311" s="14"/>
    </row>
    <row r="2312" spans="13:13" x14ac:dyDescent="0.35">
      <c r="M2312" s="14"/>
    </row>
    <row r="2313" spans="13:13" x14ac:dyDescent="0.35">
      <c r="M2313" s="14"/>
    </row>
    <row r="2314" spans="13:13" x14ac:dyDescent="0.35">
      <c r="M2314" s="14"/>
    </row>
    <row r="2315" spans="13:13" x14ac:dyDescent="0.35">
      <c r="M2315" s="14"/>
    </row>
    <row r="2316" spans="13:13" x14ac:dyDescent="0.35">
      <c r="M2316" s="14"/>
    </row>
    <row r="2317" spans="13:13" x14ac:dyDescent="0.35">
      <c r="M2317" s="14"/>
    </row>
    <row r="2318" spans="13:13" x14ac:dyDescent="0.35">
      <c r="M2318" s="14"/>
    </row>
    <row r="2319" spans="13:13" x14ac:dyDescent="0.35">
      <c r="M2319" s="14"/>
    </row>
    <row r="2320" spans="13:13" x14ac:dyDescent="0.35">
      <c r="M2320" s="14"/>
    </row>
    <row r="2321" spans="13:13" x14ac:dyDescent="0.35">
      <c r="M2321" s="14"/>
    </row>
    <row r="2322" spans="13:13" x14ac:dyDescent="0.35">
      <c r="M2322" s="14"/>
    </row>
    <row r="2323" spans="13:13" x14ac:dyDescent="0.35">
      <c r="M2323" s="14"/>
    </row>
    <row r="2324" spans="13:13" x14ac:dyDescent="0.35">
      <c r="M2324" s="14"/>
    </row>
    <row r="2325" spans="13:13" x14ac:dyDescent="0.35">
      <c r="M2325" s="14"/>
    </row>
    <row r="2326" spans="13:13" x14ac:dyDescent="0.35">
      <c r="M2326" s="14"/>
    </row>
    <row r="2327" spans="13:13" x14ac:dyDescent="0.35">
      <c r="M2327" s="14"/>
    </row>
    <row r="2328" spans="13:13" x14ac:dyDescent="0.35">
      <c r="M2328" s="14"/>
    </row>
    <row r="2329" spans="13:13" x14ac:dyDescent="0.35">
      <c r="M2329" s="14"/>
    </row>
    <row r="2330" spans="13:13" x14ac:dyDescent="0.35">
      <c r="M2330" s="14"/>
    </row>
    <row r="2331" spans="13:13" x14ac:dyDescent="0.35">
      <c r="M2331" s="14"/>
    </row>
    <row r="2332" spans="13:13" x14ac:dyDescent="0.35">
      <c r="M2332" s="14"/>
    </row>
    <row r="2333" spans="13:13" x14ac:dyDescent="0.35">
      <c r="M2333" s="14"/>
    </row>
    <row r="2334" spans="13:13" x14ac:dyDescent="0.35">
      <c r="M2334" s="14"/>
    </row>
    <row r="2335" spans="13:13" x14ac:dyDescent="0.35">
      <c r="M2335" s="14"/>
    </row>
    <row r="2336" spans="13:13" x14ac:dyDescent="0.35">
      <c r="M2336" s="14"/>
    </row>
    <row r="2337" spans="13:13" x14ac:dyDescent="0.35">
      <c r="M2337" s="14"/>
    </row>
    <row r="2338" spans="13:13" x14ac:dyDescent="0.35">
      <c r="M2338" s="14"/>
    </row>
    <row r="2339" spans="13:13" x14ac:dyDescent="0.35">
      <c r="M2339" s="14"/>
    </row>
    <row r="2340" spans="13:13" x14ac:dyDescent="0.35">
      <c r="M2340" s="14"/>
    </row>
    <row r="2341" spans="13:13" x14ac:dyDescent="0.35">
      <c r="M2341" s="14"/>
    </row>
    <row r="2342" spans="13:13" x14ac:dyDescent="0.35">
      <c r="M2342" s="14"/>
    </row>
    <row r="2343" spans="13:13" x14ac:dyDescent="0.35">
      <c r="M2343" s="14"/>
    </row>
    <row r="2344" spans="13:13" x14ac:dyDescent="0.35">
      <c r="M2344" s="14"/>
    </row>
    <row r="2345" spans="13:13" x14ac:dyDescent="0.35">
      <c r="M2345" s="14"/>
    </row>
    <row r="2346" spans="13:13" x14ac:dyDescent="0.35">
      <c r="M2346" s="14"/>
    </row>
    <row r="2347" spans="13:13" x14ac:dyDescent="0.35">
      <c r="M2347" s="14"/>
    </row>
    <row r="2348" spans="13:13" x14ac:dyDescent="0.35">
      <c r="M2348" s="14"/>
    </row>
    <row r="2349" spans="13:13" x14ac:dyDescent="0.35">
      <c r="M2349" s="14"/>
    </row>
    <row r="2350" spans="13:13" x14ac:dyDescent="0.35">
      <c r="M2350" s="14"/>
    </row>
    <row r="2351" spans="13:13" x14ac:dyDescent="0.35">
      <c r="M2351" s="14"/>
    </row>
    <row r="2352" spans="13:13" x14ac:dyDescent="0.35">
      <c r="M2352" s="14"/>
    </row>
    <row r="2353" spans="13:13" x14ac:dyDescent="0.35">
      <c r="M2353" s="14"/>
    </row>
    <row r="2354" spans="13:13" x14ac:dyDescent="0.35">
      <c r="M2354" s="14"/>
    </row>
    <row r="2355" spans="13:13" x14ac:dyDescent="0.35">
      <c r="M2355" s="14"/>
    </row>
    <row r="2356" spans="13:13" x14ac:dyDescent="0.35">
      <c r="M2356" s="14"/>
    </row>
    <row r="2357" spans="13:13" x14ac:dyDescent="0.35">
      <c r="M2357" s="14"/>
    </row>
    <row r="2358" spans="13:13" x14ac:dyDescent="0.35">
      <c r="M2358" s="14"/>
    </row>
    <row r="2359" spans="13:13" x14ac:dyDescent="0.35">
      <c r="M2359" s="14"/>
    </row>
    <row r="2360" spans="13:13" x14ac:dyDescent="0.35">
      <c r="M2360" s="14"/>
    </row>
    <row r="2361" spans="13:13" x14ac:dyDescent="0.35">
      <c r="M2361" s="14"/>
    </row>
    <row r="2362" spans="13:13" x14ac:dyDescent="0.35">
      <c r="M2362" s="14"/>
    </row>
    <row r="2363" spans="13:13" x14ac:dyDescent="0.35">
      <c r="M2363" s="14"/>
    </row>
    <row r="2364" spans="13:13" x14ac:dyDescent="0.35">
      <c r="M2364" s="14"/>
    </row>
    <row r="2365" spans="13:13" x14ac:dyDescent="0.35">
      <c r="M2365" s="14"/>
    </row>
    <row r="2366" spans="13:13" x14ac:dyDescent="0.35">
      <c r="M2366" s="14"/>
    </row>
    <row r="2367" spans="13:13" x14ac:dyDescent="0.35">
      <c r="M2367" s="14"/>
    </row>
    <row r="2368" spans="13:13" x14ac:dyDescent="0.35">
      <c r="M2368" s="14"/>
    </row>
    <row r="2369" spans="13:13" x14ac:dyDescent="0.35">
      <c r="M2369" s="14"/>
    </row>
    <row r="2370" spans="13:13" x14ac:dyDescent="0.35">
      <c r="M2370" s="14"/>
    </row>
    <row r="2371" spans="13:13" x14ac:dyDescent="0.35">
      <c r="M2371" s="14"/>
    </row>
    <row r="2372" spans="13:13" x14ac:dyDescent="0.35">
      <c r="M2372" s="14"/>
    </row>
    <row r="2373" spans="13:13" x14ac:dyDescent="0.35">
      <c r="M2373" s="14"/>
    </row>
    <row r="2374" spans="13:13" x14ac:dyDescent="0.35">
      <c r="M2374" s="14"/>
    </row>
    <row r="2375" spans="13:13" x14ac:dyDescent="0.35">
      <c r="M2375" s="14"/>
    </row>
    <row r="2376" spans="13:13" x14ac:dyDescent="0.35">
      <c r="M2376" s="14"/>
    </row>
    <row r="2377" spans="13:13" x14ac:dyDescent="0.35">
      <c r="M2377" s="14"/>
    </row>
    <row r="2378" spans="13:13" x14ac:dyDescent="0.35">
      <c r="M2378" s="14"/>
    </row>
    <row r="2379" spans="13:13" x14ac:dyDescent="0.35">
      <c r="M2379" s="14"/>
    </row>
    <row r="2380" spans="13:13" x14ac:dyDescent="0.35">
      <c r="M2380" s="14"/>
    </row>
    <row r="2381" spans="13:13" x14ac:dyDescent="0.35">
      <c r="M2381" s="14"/>
    </row>
    <row r="2382" spans="13:13" x14ac:dyDescent="0.35">
      <c r="M2382" s="14"/>
    </row>
    <row r="2383" spans="13:13" x14ac:dyDescent="0.35">
      <c r="M2383" s="14"/>
    </row>
    <row r="2384" spans="13:13" x14ac:dyDescent="0.35">
      <c r="M2384" s="14"/>
    </row>
    <row r="2385" spans="13:13" x14ac:dyDescent="0.35">
      <c r="M2385" s="14"/>
    </row>
    <row r="2386" spans="13:13" x14ac:dyDescent="0.35">
      <c r="M2386" s="14"/>
    </row>
    <row r="2387" spans="13:13" x14ac:dyDescent="0.35">
      <c r="M2387" s="14"/>
    </row>
    <row r="2388" spans="13:13" x14ac:dyDescent="0.35">
      <c r="M2388" s="14"/>
    </row>
    <row r="2389" spans="13:13" x14ac:dyDescent="0.35">
      <c r="M2389" s="14"/>
    </row>
    <row r="2390" spans="13:13" x14ac:dyDescent="0.35">
      <c r="M2390" s="14"/>
    </row>
    <row r="2391" spans="13:13" x14ac:dyDescent="0.35">
      <c r="M2391" s="14"/>
    </row>
    <row r="2392" spans="13:13" x14ac:dyDescent="0.35">
      <c r="M2392" s="14"/>
    </row>
    <row r="2393" spans="13:13" x14ac:dyDescent="0.35">
      <c r="M2393" s="14"/>
    </row>
    <row r="2394" spans="13:13" x14ac:dyDescent="0.35">
      <c r="M2394" s="14"/>
    </row>
    <row r="2395" spans="13:13" x14ac:dyDescent="0.35">
      <c r="M2395" s="14"/>
    </row>
    <row r="2396" spans="13:13" x14ac:dyDescent="0.35">
      <c r="M2396" s="14"/>
    </row>
    <row r="2397" spans="13:13" x14ac:dyDescent="0.35">
      <c r="M2397" s="14"/>
    </row>
    <row r="2398" spans="13:13" x14ac:dyDescent="0.35">
      <c r="M2398" s="14"/>
    </row>
    <row r="2399" spans="13:13" x14ac:dyDescent="0.35">
      <c r="M2399" s="14"/>
    </row>
    <row r="2400" spans="13:13" x14ac:dyDescent="0.35">
      <c r="M2400" s="14"/>
    </row>
    <row r="2401" spans="13:13" x14ac:dyDescent="0.35">
      <c r="M2401" s="14"/>
    </row>
    <row r="2402" spans="13:13" x14ac:dyDescent="0.35">
      <c r="M2402" s="14"/>
    </row>
    <row r="2403" spans="13:13" x14ac:dyDescent="0.35">
      <c r="M2403" s="14"/>
    </row>
    <row r="2404" spans="13:13" x14ac:dyDescent="0.35">
      <c r="M2404" s="14"/>
    </row>
    <row r="2405" spans="13:13" x14ac:dyDescent="0.35">
      <c r="M2405" s="14"/>
    </row>
    <row r="2406" spans="13:13" x14ac:dyDescent="0.35">
      <c r="M2406" s="14"/>
    </row>
    <row r="2407" spans="13:13" x14ac:dyDescent="0.35">
      <c r="M2407" s="14"/>
    </row>
    <row r="2408" spans="13:13" x14ac:dyDescent="0.35">
      <c r="M2408" s="14"/>
    </row>
    <row r="2409" spans="13:13" x14ac:dyDescent="0.35">
      <c r="M2409" s="14"/>
    </row>
    <row r="2410" spans="13:13" x14ac:dyDescent="0.35">
      <c r="M2410" s="14"/>
    </row>
    <row r="2411" spans="13:13" x14ac:dyDescent="0.35">
      <c r="M2411" s="14"/>
    </row>
    <row r="2412" spans="13:13" x14ac:dyDescent="0.35">
      <c r="M2412" s="14"/>
    </row>
    <row r="2413" spans="13:13" x14ac:dyDescent="0.35">
      <c r="M2413" s="14"/>
    </row>
    <row r="2414" spans="13:13" x14ac:dyDescent="0.35">
      <c r="M2414" s="14"/>
    </row>
    <row r="2415" spans="13:13" x14ac:dyDescent="0.35">
      <c r="M2415" s="14"/>
    </row>
    <row r="2416" spans="13:13" x14ac:dyDescent="0.35">
      <c r="M2416" s="14"/>
    </row>
    <row r="2417" spans="13:13" x14ac:dyDescent="0.35">
      <c r="M2417" s="14"/>
    </row>
    <row r="2418" spans="13:13" x14ac:dyDescent="0.35">
      <c r="M2418" s="14"/>
    </row>
    <row r="2419" spans="13:13" x14ac:dyDescent="0.35">
      <c r="M2419" s="14"/>
    </row>
    <row r="2420" spans="13:13" x14ac:dyDescent="0.35">
      <c r="M2420" s="14"/>
    </row>
    <row r="2421" spans="13:13" x14ac:dyDescent="0.35">
      <c r="M2421" s="14"/>
    </row>
    <row r="2422" spans="13:13" x14ac:dyDescent="0.35">
      <c r="M2422" s="14"/>
    </row>
    <row r="2423" spans="13:13" x14ac:dyDescent="0.35">
      <c r="M2423" s="14"/>
    </row>
    <row r="2424" spans="13:13" x14ac:dyDescent="0.35">
      <c r="M2424" s="14"/>
    </row>
    <row r="2425" spans="13:13" x14ac:dyDescent="0.35">
      <c r="M2425" s="14"/>
    </row>
    <row r="2426" spans="13:13" x14ac:dyDescent="0.35">
      <c r="M2426" s="14"/>
    </row>
    <row r="2427" spans="13:13" x14ac:dyDescent="0.35">
      <c r="M2427" s="14"/>
    </row>
    <row r="2428" spans="13:13" x14ac:dyDescent="0.35">
      <c r="M2428" s="14"/>
    </row>
    <row r="2429" spans="13:13" x14ac:dyDescent="0.35">
      <c r="M2429" s="14"/>
    </row>
    <row r="2430" spans="13:13" x14ac:dyDescent="0.35">
      <c r="M2430" s="14"/>
    </row>
    <row r="2431" spans="13:13" x14ac:dyDescent="0.35">
      <c r="M2431" s="14"/>
    </row>
    <row r="2432" spans="13:13" x14ac:dyDescent="0.35">
      <c r="M2432" s="14"/>
    </row>
    <row r="2433" spans="13:13" x14ac:dyDescent="0.35">
      <c r="M2433" s="14"/>
    </row>
    <row r="2434" spans="13:13" x14ac:dyDescent="0.35">
      <c r="M2434" s="14"/>
    </row>
    <row r="2435" spans="13:13" x14ac:dyDescent="0.35">
      <c r="M2435" s="14"/>
    </row>
    <row r="2436" spans="13:13" x14ac:dyDescent="0.35">
      <c r="M2436" s="14"/>
    </row>
    <row r="2437" spans="13:13" x14ac:dyDescent="0.35">
      <c r="M2437" s="14"/>
    </row>
    <row r="2438" spans="13:13" x14ac:dyDescent="0.35">
      <c r="M2438" s="14"/>
    </row>
    <row r="2439" spans="13:13" x14ac:dyDescent="0.35">
      <c r="M2439" s="14"/>
    </row>
    <row r="2440" spans="13:13" x14ac:dyDescent="0.35">
      <c r="M2440" s="14"/>
    </row>
    <row r="2441" spans="13:13" x14ac:dyDescent="0.35">
      <c r="M2441" s="14"/>
    </row>
    <row r="2442" spans="13:13" x14ac:dyDescent="0.35">
      <c r="M2442" s="14"/>
    </row>
    <row r="2443" spans="13:13" x14ac:dyDescent="0.35">
      <c r="M2443" s="14"/>
    </row>
    <row r="2444" spans="13:13" x14ac:dyDescent="0.35">
      <c r="M2444" s="14"/>
    </row>
    <row r="2445" spans="13:13" x14ac:dyDescent="0.35">
      <c r="M2445" s="14"/>
    </row>
    <row r="2446" spans="13:13" x14ac:dyDescent="0.35">
      <c r="M2446" s="14"/>
    </row>
    <row r="2447" spans="13:13" x14ac:dyDescent="0.35">
      <c r="M2447" s="14"/>
    </row>
    <row r="2448" spans="13:13" x14ac:dyDescent="0.35">
      <c r="M2448" s="14"/>
    </row>
    <row r="2449" spans="13:13" x14ac:dyDescent="0.35">
      <c r="M2449" s="14"/>
    </row>
    <row r="2450" spans="13:13" x14ac:dyDescent="0.35">
      <c r="M2450" s="14"/>
    </row>
    <row r="2451" spans="13:13" x14ac:dyDescent="0.35">
      <c r="M2451" s="14"/>
    </row>
    <row r="2452" spans="13:13" x14ac:dyDescent="0.35">
      <c r="M2452" s="14"/>
    </row>
    <row r="2453" spans="13:13" x14ac:dyDescent="0.35">
      <c r="M2453" s="14"/>
    </row>
    <row r="2454" spans="13:13" x14ac:dyDescent="0.35">
      <c r="M2454" s="14"/>
    </row>
    <row r="2455" spans="13:13" x14ac:dyDescent="0.35">
      <c r="M2455" s="14"/>
    </row>
    <row r="2456" spans="13:13" x14ac:dyDescent="0.35">
      <c r="M2456" s="14"/>
    </row>
    <row r="2457" spans="13:13" x14ac:dyDescent="0.35">
      <c r="M2457" s="14"/>
    </row>
    <row r="2458" spans="13:13" x14ac:dyDescent="0.35">
      <c r="M2458" s="14"/>
    </row>
    <row r="2459" spans="13:13" x14ac:dyDescent="0.35">
      <c r="M2459" s="14"/>
    </row>
    <row r="2460" spans="13:13" x14ac:dyDescent="0.35">
      <c r="M2460" s="14"/>
    </row>
    <row r="2461" spans="13:13" x14ac:dyDescent="0.35">
      <c r="M2461" s="14"/>
    </row>
    <row r="2462" spans="13:13" x14ac:dyDescent="0.35">
      <c r="M2462" s="14"/>
    </row>
    <row r="2463" spans="13:13" x14ac:dyDescent="0.35">
      <c r="M2463" s="14"/>
    </row>
    <row r="2464" spans="13:13" x14ac:dyDescent="0.35">
      <c r="M2464" s="14"/>
    </row>
    <row r="2465" spans="13:13" x14ac:dyDescent="0.35">
      <c r="M2465" s="14"/>
    </row>
    <row r="2466" spans="13:13" x14ac:dyDescent="0.35">
      <c r="M2466" s="14"/>
    </row>
    <row r="2467" spans="13:13" x14ac:dyDescent="0.35">
      <c r="M2467" s="14"/>
    </row>
    <row r="2468" spans="13:13" x14ac:dyDescent="0.35">
      <c r="M2468" s="14"/>
    </row>
    <row r="2469" spans="13:13" x14ac:dyDescent="0.35">
      <c r="M2469" s="14"/>
    </row>
    <row r="2470" spans="13:13" x14ac:dyDescent="0.35">
      <c r="M2470" s="14"/>
    </row>
    <row r="2471" spans="13:13" x14ac:dyDescent="0.35">
      <c r="M2471" s="14"/>
    </row>
    <row r="2472" spans="13:13" x14ac:dyDescent="0.35">
      <c r="M2472" s="14"/>
    </row>
    <row r="2473" spans="13:13" x14ac:dyDescent="0.35">
      <c r="M2473" s="14"/>
    </row>
    <row r="2474" spans="13:13" x14ac:dyDescent="0.35">
      <c r="M2474" s="14"/>
    </row>
    <row r="2475" spans="13:13" x14ac:dyDescent="0.35">
      <c r="M2475" s="14"/>
    </row>
    <row r="2476" spans="13:13" x14ac:dyDescent="0.35">
      <c r="M2476" s="14"/>
    </row>
    <row r="2477" spans="13:13" x14ac:dyDescent="0.35">
      <c r="M2477" s="14"/>
    </row>
    <row r="2478" spans="13:13" x14ac:dyDescent="0.35">
      <c r="M2478" s="14"/>
    </row>
    <row r="2479" spans="13:13" x14ac:dyDescent="0.35">
      <c r="M2479" s="14"/>
    </row>
    <row r="2480" spans="13:13" x14ac:dyDescent="0.35">
      <c r="M2480" s="14"/>
    </row>
    <row r="2481" spans="13:13" x14ac:dyDescent="0.35">
      <c r="M2481" s="14"/>
    </row>
    <row r="2482" spans="13:13" x14ac:dyDescent="0.35">
      <c r="M2482" s="14"/>
    </row>
    <row r="2483" spans="13:13" x14ac:dyDescent="0.35">
      <c r="M2483" s="14"/>
    </row>
    <row r="2484" spans="13:13" x14ac:dyDescent="0.35">
      <c r="M2484" s="14"/>
    </row>
    <row r="2485" spans="13:13" x14ac:dyDescent="0.35">
      <c r="M2485" s="14"/>
    </row>
    <row r="2486" spans="13:13" x14ac:dyDescent="0.35">
      <c r="M2486" s="14"/>
    </row>
    <row r="2487" spans="13:13" x14ac:dyDescent="0.35">
      <c r="M2487" s="14"/>
    </row>
    <row r="2488" spans="13:13" x14ac:dyDescent="0.35">
      <c r="M2488" s="14"/>
    </row>
    <row r="2489" spans="13:13" x14ac:dyDescent="0.35">
      <c r="M2489" s="14"/>
    </row>
    <row r="2490" spans="13:13" x14ac:dyDescent="0.35">
      <c r="M2490" s="14"/>
    </row>
    <row r="2491" spans="13:13" x14ac:dyDescent="0.35">
      <c r="M2491" s="14"/>
    </row>
    <row r="2492" spans="13:13" x14ac:dyDescent="0.35">
      <c r="M2492" s="14"/>
    </row>
    <row r="2493" spans="13:13" x14ac:dyDescent="0.35">
      <c r="M2493" s="14"/>
    </row>
    <row r="2494" spans="13:13" x14ac:dyDescent="0.35">
      <c r="M2494" s="14"/>
    </row>
    <row r="2495" spans="13:13" x14ac:dyDescent="0.35">
      <c r="M2495" s="14"/>
    </row>
    <row r="2496" spans="13:13" x14ac:dyDescent="0.35">
      <c r="M2496" s="14"/>
    </row>
    <row r="2497" spans="13:13" x14ac:dyDescent="0.35">
      <c r="M2497" s="14"/>
    </row>
    <row r="2498" spans="13:13" x14ac:dyDescent="0.35">
      <c r="M2498" s="14"/>
    </row>
    <row r="2499" spans="13:13" x14ac:dyDescent="0.35">
      <c r="M2499" s="14"/>
    </row>
    <row r="2500" spans="13:13" x14ac:dyDescent="0.35">
      <c r="M2500" s="14"/>
    </row>
    <row r="2501" spans="13:13" x14ac:dyDescent="0.35">
      <c r="M2501" s="14"/>
    </row>
    <row r="2502" spans="13:13" x14ac:dyDescent="0.35">
      <c r="M2502" s="14"/>
    </row>
    <row r="2503" spans="13:13" x14ac:dyDescent="0.35">
      <c r="M2503" s="14"/>
    </row>
    <row r="2504" spans="13:13" x14ac:dyDescent="0.35">
      <c r="M2504" s="14"/>
    </row>
    <row r="2505" spans="13:13" x14ac:dyDescent="0.35">
      <c r="M2505" s="14"/>
    </row>
    <row r="2506" spans="13:13" x14ac:dyDescent="0.35">
      <c r="M2506" s="14"/>
    </row>
    <row r="2507" spans="13:13" x14ac:dyDescent="0.35">
      <c r="M2507" s="14"/>
    </row>
    <row r="2508" spans="13:13" x14ac:dyDescent="0.35">
      <c r="M2508" s="14"/>
    </row>
    <row r="2509" spans="13:13" x14ac:dyDescent="0.35">
      <c r="M2509" s="14"/>
    </row>
    <row r="2510" spans="13:13" x14ac:dyDescent="0.35">
      <c r="M2510" s="14"/>
    </row>
    <row r="2511" spans="13:13" x14ac:dyDescent="0.35">
      <c r="M2511" s="14"/>
    </row>
    <row r="2512" spans="13:13" x14ac:dyDescent="0.35">
      <c r="M2512" s="14"/>
    </row>
    <row r="2513" spans="13:13" x14ac:dyDescent="0.35">
      <c r="M2513" s="14"/>
    </row>
    <row r="2514" spans="13:13" x14ac:dyDescent="0.35">
      <c r="M2514" s="14"/>
    </row>
    <row r="2515" spans="13:13" x14ac:dyDescent="0.35">
      <c r="M2515" s="14"/>
    </row>
    <row r="2516" spans="13:13" x14ac:dyDescent="0.35">
      <c r="M2516" s="14"/>
    </row>
    <row r="2517" spans="13:13" x14ac:dyDescent="0.35">
      <c r="M2517" s="14"/>
    </row>
    <row r="2518" spans="13:13" x14ac:dyDescent="0.35">
      <c r="M2518" s="14"/>
    </row>
    <row r="2519" spans="13:13" x14ac:dyDescent="0.35">
      <c r="M2519" s="14"/>
    </row>
    <row r="2520" spans="13:13" x14ac:dyDescent="0.35">
      <c r="M2520" s="14"/>
    </row>
    <row r="2521" spans="13:13" x14ac:dyDescent="0.35">
      <c r="M2521" s="14"/>
    </row>
    <row r="2522" spans="13:13" x14ac:dyDescent="0.35">
      <c r="M2522" s="14"/>
    </row>
    <row r="2523" spans="13:13" x14ac:dyDescent="0.35">
      <c r="M2523" s="14"/>
    </row>
    <row r="2524" spans="13:13" x14ac:dyDescent="0.35">
      <c r="M2524" s="14"/>
    </row>
    <row r="2525" spans="13:13" x14ac:dyDescent="0.35">
      <c r="M2525" s="14"/>
    </row>
    <row r="2526" spans="13:13" x14ac:dyDescent="0.35">
      <c r="M2526" s="14"/>
    </row>
    <row r="2527" spans="13:13" x14ac:dyDescent="0.35">
      <c r="M2527" s="14"/>
    </row>
    <row r="2528" spans="13:13" x14ac:dyDescent="0.35">
      <c r="M2528" s="14"/>
    </row>
    <row r="2529" spans="13:13" x14ac:dyDescent="0.35">
      <c r="M2529" s="14"/>
    </row>
    <row r="2530" spans="13:13" x14ac:dyDescent="0.35">
      <c r="M2530" s="14"/>
    </row>
    <row r="2531" spans="13:13" x14ac:dyDescent="0.35">
      <c r="M2531" s="14"/>
    </row>
    <row r="2532" spans="13:13" x14ac:dyDescent="0.35">
      <c r="M2532" s="14"/>
    </row>
    <row r="2533" spans="13:13" x14ac:dyDescent="0.35">
      <c r="M2533" s="14"/>
    </row>
    <row r="2534" spans="13:13" x14ac:dyDescent="0.35">
      <c r="M2534" s="14"/>
    </row>
    <row r="2535" spans="13:13" x14ac:dyDescent="0.35">
      <c r="M2535" s="14"/>
    </row>
    <row r="2536" spans="13:13" x14ac:dyDescent="0.35">
      <c r="M2536" s="14"/>
    </row>
    <row r="2537" spans="13:13" x14ac:dyDescent="0.35">
      <c r="M2537" s="14"/>
    </row>
    <row r="2538" spans="13:13" x14ac:dyDescent="0.35">
      <c r="M2538" s="14"/>
    </row>
    <row r="2539" spans="13:13" x14ac:dyDescent="0.35">
      <c r="M2539" s="14"/>
    </row>
    <row r="2540" spans="13:13" x14ac:dyDescent="0.35">
      <c r="M2540" s="14"/>
    </row>
    <row r="2541" spans="13:13" x14ac:dyDescent="0.35">
      <c r="M2541" s="14"/>
    </row>
    <row r="2542" spans="13:13" x14ac:dyDescent="0.35">
      <c r="M2542" s="14"/>
    </row>
    <row r="2543" spans="13:13" x14ac:dyDescent="0.35">
      <c r="M2543" s="14"/>
    </row>
    <row r="2544" spans="13:13" x14ac:dyDescent="0.35">
      <c r="M2544" s="14"/>
    </row>
    <row r="2545" spans="13:13" x14ac:dyDescent="0.35">
      <c r="M2545" s="14"/>
    </row>
    <row r="2546" spans="13:13" x14ac:dyDescent="0.35">
      <c r="M2546" s="14"/>
    </row>
    <row r="2547" spans="13:13" x14ac:dyDescent="0.35">
      <c r="M2547" s="14"/>
    </row>
    <row r="2548" spans="13:13" x14ac:dyDescent="0.35">
      <c r="M2548" s="14"/>
    </row>
    <row r="2549" spans="13:13" x14ac:dyDescent="0.35">
      <c r="M2549" s="14"/>
    </row>
    <row r="2550" spans="13:13" x14ac:dyDescent="0.35">
      <c r="M2550" s="14"/>
    </row>
    <row r="2551" spans="13:13" x14ac:dyDescent="0.35">
      <c r="M2551" s="14"/>
    </row>
    <row r="2552" spans="13:13" x14ac:dyDescent="0.35">
      <c r="M2552" s="14"/>
    </row>
    <row r="2553" spans="13:13" x14ac:dyDescent="0.35">
      <c r="M2553" s="14"/>
    </row>
    <row r="2554" spans="13:13" x14ac:dyDescent="0.35">
      <c r="M2554" s="14"/>
    </row>
    <row r="2555" spans="13:13" x14ac:dyDescent="0.35">
      <c r="M2555" s="14"/>
    </row>
    <row r="2556" spans="13:13" x14ac:dyDescent="0.35">
      <c r="M2556" s="14"/>
    </row>
    <row r="2557" spans="13:13" x14ac:dyDescent="0.35">
      <c r="M2557" s="14"/>
    </row>
    <row r="2558" spans="13:13" x14ac:dyDescent="0.35">
      <c r="M2558" s="14"/>
    </row>
    <row r="2559" spans="13:13" x14ac:dyDescent="0.35">
      <c r="M2559" s="14"/>
    </row>
    <row r="2560" spans="13:13" x14ac:dyDescent="0.35">
      <c r="M2560" s="14"/>
    </row>
    <row r="2561" spans="13:13" x14ac:dyDescent="0.35">
      <c r="M2561" s="14"/>
    </row>
    <row r="2562" spans="13:13" x14ac:dyDescent="0.35">
      <c r="M2562" s="14"/>
    </row>
    <row r="2563" spans="13:13" x14ac:dyDescent="0.35">
      <c r="M2563" s="14"/>
    </row>
    <row r="2564" spans="13:13" x14ac:dyDescent="0.35">
      <c r="M2564" s="14"/>
    </row>
    <row r="2565" spans="13:13" x14ac:dyDescent="0.35">
      <c r="M2565" s="14"/>
    </row>
    <row r="2566" spans="13:13" x14ac:dyDescent="0.35">
      <c r="M2566" s="14"/>
    </row>
    <row r="2567" spans="13:13" x14ac:dyDescent="0.35">
      <c r="M2567" s="14"/>
    </row>
    <row r="2568" spans="13:13" x14ac:dyDescent="0.35">
      <c r="M2568" s="14"/>
    </row>
    <row r="2569" spans="13:13" x14ac:dyDescent="0.35">
      <c r="M2569" s="14"/>
    </row>
    <row r="2570" spans="13:13" x14ac:dyDescent="0.35">
      <c r="M2570" s="14"/>
    </row>
    <row r="2571" spans="13:13" x14ac:dyDescent="0.35">
      <c r="M2571" s="14"/>
    </row>
    <row r="2572" spans="13:13" x14ac:dyDescent="0.35">
      <c r="M2572" s="14"/>
    </row>
    <row r="2573" spans="13:13" x14ac:dyDescent="0.35">
      <c r="M2573" s="14"/>
    </row>
    <row r="2574" spans="13:13" x14ac:dyDescent="0.35">
      <c r="M2574" s="14"/>
    </row>
    <row r="2575" spans="13:13" x14ac:dyDescent="0.35">
      <c r="M2575" s="14"/>
    </row>
    <row r="2576" spans="13:13" x14ac:dyDescent="0.35">
      <c r="M2576" s="14"/>
    </row>
    <row r="2577" spans="13:13" x14ac:dyDescent="0.35">
      <c r="M2577" s="14"/>
    </row>
    <row r="2578" spans="13:13" x14ac:dyDescent="0.35">
      <c r="M2578" s="14"/>
    </row>
    <row r="2579" spans="13:13" x14ac:dyDescent="0.35">
      <c r="M2579" s="14"/>
    </row>
    <row r="2580" spans="13:13" x14ac:dyDescent="0.35">
      <c r="M2580" s="14"/>
    </row>
    <row r="2581" spans="13:13" x14ac:dyDescent="0.35">
      <c r="M2581" s="14"/>
    </row>
    <row r="2582" spans="13:13" x14ac:dyDescent="0.35">
      <c r="M2582" s="14"/>
    </row>
    <row r="2583" spans="13:13" x14ac:dyDescent="0.35">
      <c r="M2583" s="14"/>
    </row>
    <row r="2584" spans="13:13" x14ac:dyDescent="0.35">
      <c r="M2584" s="14"/>
    </row>
    <row r="2585" spans="13:13" x14ac:dyDescent="0.35">
      <c r="M2585" s="14"/>
    </row>
    <row r="2586" spans="13:13" x14ac:dyDescent="0.35">
      <c r="M2586" s="14"/>
    </row>
    <row r="2587" spans="13:13" x14ac:dyDescent="0.35">
      <c r="M2587" s="14"/>
    </row>
    <row r="2588" spans="13:13" x14ac:dyDescent="0.35">
      <c r="M2588" s="14"/>
    </row>
    <row r="2589" spans="13:13" x14ac:dyDescent="0.35">
      <c r="M2589" s="14"/>
    </row>
    <row r="2590" spans="13:13" x14ac:dyDescent="0.35">
      <c r="M2590" s="14"/>
    </row>
    <row r="2591" spans="13:13" x14ac:dyDescent="0.35">
      <c r="M2591" s="14"/>
    </row>
    <row r="2592" spans="13:13" x14ac:dyDescent="0.35">
      <c r="M2592" s="14"/>
    </row>
    <row r="2593" spans="13:13" x14ac:dyDescent="0.35">
      <c r="M2593" s="14"/>
    </row>
    <row r="2594" spans="13:13" x14ac:dyDescent="0.35">
      <c r="M2594" s="14"/>
    </row>
    <row r="2595" spans="13:13" x14ac:dyDescent="0.35">
      <c r="M2595" s="14"/>
    </row>
    <row r="2596" spans="13:13" x14ac:dyDescent="0.35">
      <c r="M2596" s="14"/>
    </row>
    <row r="2597" spans="13:13" x14ac:dyDescent="0.35">
      <c r="M2597" s="14"/>
    </row>
    <row r="2598" spans="13:13" x14ac:dyDescent="0.35">
      <c r="M2598" s="14"/>
    </row>
    <row r="2599" spans="13:13" x14ac:dyDescent="0.35">
      <c r="M2599" s="14"/>
    </row>
    <row r="2600" spans="13:13" x14ac:dyDescent="0.35">
      <c r="M2600" s="14"/>
    </row>
    <row r="2601" spans="13:13" x14ac:dyDescent="0.35">
      <c r="M2601" s="14"/>
    </row>
    <row r="2602" spans="13:13" x14ac:dyDescent="0.35">
      <c r="M2602" s="14"/>
    </row>
    <row r="2603" spans="13:13" x14ac:dyDescent="0.35">
      <c r="M2603" s="14"/>
    </row>
    <row r="2604" spans="13:13" x14ac:dyDescent="0.35">
      <c r="M2604" s="14"/>
    </row>
    <row r="2605" spans="13:13" x14ac:dyDescent="0.35">
      <c r="M2605" s="14"/>
    </row>
    <row r="2606" spans="13:13" x14ac:dyDescent="0.35">
      <c r="M2606" s="14"/>
    </row>
    <row r="2607" spans="13:13" x14ac:dyDescent="0.35">
      <c r="M2607" s="14"/>
    </row>
    <row r="2608" spans="13:13" x14ac:dyDescent="0.35">
      <c r="M2608" s="14"/>
    </row>
    <row r="2609" spans="13:13" x14ac:dyDescent="0.35">
      <c r="M2609" s="14"/>
    </row>
    <row r="2610" spans="13:13" x14ac:dyDescent="0.35">
      <c r="M2610" s="14"/>
    </row>
    <row r="2611" spans="13:13" x14ac:dyDescent="0.35">
      <c r="M2611" s="14"/>
    </row>
    <row r="2612" spans="13:13" x14ac:dyDescent="0.35">
      <c r="M2612" s="14"/>
    </row>
    <row r="2613" spans="13:13" x14ac:dyDescent="0.35">
      <c r="M2613" s="14"/>
    </row>
    <row r="2614" spans="13:13" x14ac:dyDescent="0.35">
      <c r="M2614" s="14"/>
    </row>
    <row r="2615" spans="13:13" x14ac:dyDescent="0.35">
      <c r="M2615" s="14"/>
    </row>
    <row r="2616" spans="13:13" x14ac:dyDescent="0.35">
      <c r="M2616" s="14"/>
    </row>
    <row r="2617" spans="13:13" x14ac:dyDescent="0.35">
      <c r="M2617" s="14"/>
    </row>
    <row r="2618" spans="13:13" x14ac:dyDescent="0.35">
      <c r="M2618" s="14"/>
    </row>
    <row r="2619" spans="13:13" x14ac:dyDescent="0.35">
      <c r="M2619" s="14"/>
    </row>
    <row r="2620" spans="13:13" x14ac:dyDescent="0.35">
      <c r="M2620" s="14"/>
    </row>
    <row r="2621" spans="13:13" x14ac:dyDescent="0.35">
      <c r="M2621" s="14"/>
    </row>
    <row r="2622" spans="13:13" x14ac:dyDescent="0.35">
      <c r="M2622" s="14"/>
    </row>
    <row r="2623" spans="13:13" x14ac:dyDescent="0.35">
      <c r="M2623" s="14"/>
    </row>
    <row r="2624" spans="13:13" x14ac:dyDescent="0.35">
      <c r="M2624" s="14"/>
    </row>
    <row r="2625" spans="13:13" x14ac:dyDescent="0.35">
      <c r="M2625" s="14"/>
    </row>
    <row r="2626" spans="13:13" x14ac:dyDescent="0.35">
      <c r="M2626" s="14"/>
    </row>
    <row r="2627" spans="13:13" x14ac:dyDescent="0.35">
      <c r="M2627" s="14"/>
    </row>
    <row r="2628" spans="13:13" x14ac:dyDescent="0.35">
      <c r="M2628" s="14"/>
    </row>
    <row r="2629" spans="13:13" x14ac:dyDescent="0.35">
      <c r="M2629" s="14"/>
    </row>
    <row r="2630" spans="13:13" x14ac:dyDescent="0.35">
      <c r="M2630" s="14"/>
    </row>
    <row r="2631" spans="13:13" x14ac:dyDescent="0.35">
      <c r="M2631" s="14"/>
    </row>
    <row r="2632" spans="13:13" x14ac:dyDescent="0.35">
      <c r="M2632" s="14"/>
    </row>
    <row r="2633" spans="13:13" x14ac:dyDescent="0.35">
      <c r="M2633" s="14"/>
    </row>
    <row r="2634" spans="13:13" x14ac:dyDescent="0.35">
      <c r="M2634" s="14"/>
    </row>
    <row r="2635" spans="13:13" x14ac:dyDescent="0.35">
      <c r="M2635" s="14"/>
    </row>
    <row r="2636" spans="13:13" x14ac:dyDescent="0.35">
      <c r="M2636" s="14"/>
    </row>
    <row r="2637" spans="13:13" x14ac:dyDescent="0.35">
      <c r="M2637" s="14"/>
    </row>
    <row r="2638" spans="13:13" x14ac:dyDescent="0.35">
      <c r="M2638" s="14"/>
    </row>
    <row r="2639" spans="13:13" x14ac:dyDescent="0.35">
      <c r="M2639" s="14"/>
    </row>
    <row r="2640" spans="13:13" x14ac:dyDescent="0.35">
      <c r="M2640" s="14"/>
    </row>
    <row r="2641" spans="13:13" x14ac:dyDescent="0.35">
      <c r="M2641" s="14"/>
    </row>
    <row r="2642" spans="13:13" x14ac:dyDescent="0.35">
      <c r="M2642" s="14"/>
    </row>
    <row r="2643" spans="13:13" x14ac:dyDescent="0.35">
      <c r="M2643" s="14"/>
    </row>
    <row r="2644" spans="13:13" x14ac:dyDescent="0.35">
      <c r="M2644" s="14"/>
    </row>
    <row r="2645" spans="13:13" x14ac:dyDescent="0.35">
      <c r="M2645" s="14"/>
    </row>
    <row r="2646" spans="13:13" x14ac:dyDescent="0.35">
      <c r="M2646" s="14"/>
    </row>
    <row r="2647" spans="13:13" x14ac:dyDescent="0.35">
      <c r="M2647" s="14"/>
    </row>
    <row r="2648" spans="13:13" x14ac:dyDescent="0.35">
      <c r="M2648" s="14"/>
    </row>
    <row r="2649" spans="13:13" x14ac:dyDescent="0.35">
      <c r="M2649" s="14"/>
    </row>
    <row r="2650" spans="13:13" x14ac:dyDescent="0.35">
      <c r="M2650" s="14"/>
    </row>
    <row r="2651" spans="13:13" x14ac:dyDescent="0.35">
      <c r="M2651" s="14"/>
    </row>
    <row r="2652" spans="13:13" x14ac:dyDescent="0.35">
      <c r="M2652" s="14"/>
    </row>
    <row r="2653" spans="13:13" x14ac:dyDescent="0.35">
      <c r="M2653" s="14"/>
    </row>
    <row r="2654" spans="13:13" x14ac:dyDescent="0.35">
      <c r="M2654" s="14"/>
    </row>
    <row r="2655" spans="13:13" x14ac:dyDescent="0.35">
      <c r="M2655" s="14"/>
    </row>
    <row r="2656" spans="13:13" x14ac:dyDescent="0.35">
      <c r="M2656" s="14"/>
    </row>
    <row r="2657" spans="13:13" x14ac:dyDescent="0.35">
      <c r="M2657" s="14"/>
    </row>
    <row r="2658" spans="13:13" x14ac:dyDescent="0.35">
      <c r="M2658" s="14"/>
    </row>
    <row r="2659" spans="13:13" x14ac:dyDescent="0.35">
      <c r="M2659" s="14"/>
    </row>
    <row r="2660" spans="13:13" x14ac:dyDescent="0.35">
      <c r="M2660" s="14"/>
    </row>
    <row r="2661" spans="13:13" x14ac:dyDescent="0.35">
      <c r="M2661" s="14"/>
    </row>
    <row r="2662" spans="13:13" x14ac:dyDescent="0.35">
      <c r="M2662" s="14"/>
    </row>
    <row r="2663" spans="13:13" x14ac:dyDescent="0.35">
      <c r="M2663" s="14"/>
    </row>
    <row r="2664" spans="13:13" x14ac:dyDescent="0.35">
      <c r="M2664" s="14"/>
    </row>
    <row r="2665" spans="13:13" x14ac:dyDescent="0.35">
      <c r="M2665" s="14"/>
    </row>
    <row r="2666" spans="13:13" x14ac:dyDescent="0.35">
      <c r="M2666" s="14"/>
    </row>
    <row r="2667" spans="13:13" x14ac:dyDescent="0.35">
      <c r="M2667" s="14"/>
    </row>
    <row r="2668" spans="13:13" x14ac:dyDescent="0.35">
      <c r="M2668" s="14"/>
    </row>
    <row r="2669" spans="13:13" x14ac:dyDescent="0.35">
      <c r="M2669" s="14"/>
    </row>
    <row r="2670" spans="13:13" x14ac:dyDescent="0.35">
      <c r="M2670" s="14"/>
    </row>
    <row r="2671" spans="13:13" x14ac:dyDescent="0.35">
      <c r="M2671" s="14"/>
    </row>
    <row r="2672" spans="13:13" x14ac:dyDescent="0.35">
      <c r="M2672" s="14"/>
    </row>
    <row r="2673" spans="13:13" x14ac:dyDescent="0.35">
      <c r="M2673" s="14"/>
    </row>
    <row r="2674" spans="13:13" x14ac:dyDescent="0.35">
      <c r="M2674" s="14"/>
    </row>
    <row r="2675" spans="13:13" x14ac:dyDescent="0.35">
      <c r="M2675" s="14"/>
    </row>
    <row r="2676" spans="13:13" x14ac:dyDescent="0.35">
      <c r="M2676" s="14"/>
    </row>
    <row r="2677" spans="13:13" x14ac:dyDescent="0.35">
      <c r="M2677" s="14"/>
    </row>
    <row r="2678" spans="13:13" x14ac:dyDescent="0.35">
      <c r="M2678" s="14"/>
    </row>
    <row r="2679" spans="13:13" x14ac:dyDescent="0.35">
      <c r="M2679" s="14"/>
    </row>
    <row r="2680" spans="13:13" x14ac:dyDescent="0.35">
      <c r="M2680" s="14"/>
    </row>
    <row r="2681" spans="13:13" x14ac:dyDescent="0.35">
      <c r="M2681" s="14"/>
    </row>
    <row r="2682" spans="13:13" x14ac:dyDescent="0.35">
      <c r="M2682" s="14"/>
    </row>
    <row r="2683" spans="13:13" x14ac:dyDescent="0.35">
      <c r="M2683" s="14"/>
    </row>
    <row r="2684" spans="13:13" x14ac:dyDescent="0.35">
      <c r="M2684" s="14"/>
    </row>
    <row r="2685" spans="13:13" x14ac:dyDescent="0.35">
      <c r="M2685" s="14"/>
    </row>
    <row r="2686" spans="13:13" x14ac:dyDescent="0.35">
      <c r="M2686" s="14"/>
    </row>
    <row r="2687" spans="13:13" x14ac:dyDescent="0.35">
      <c r="M2687" s="14"/>
    </row>
    <row r="2688" spans="13:13" x14ac:dyDescent="0.35">
      <c r="M2688" s="14"/>
    </row>
    <row r="2689" spans="13:13" x14ac:dyDescent="0.35">
      <c r="M2689" s="14"/>
    </row>
    <row r="2690" spans="13:13" x14ac:dyDescent="0.35">
      <c r="M2690" s="14"/>
    </row>
    <row r="2691" spans="13:13" x14ac:dyDescent="0.35">
      <c r="M2691" s="14"/>
    </row>
    <row r="2692" spans="13:13" x14ac:dyDescent="0.35">
      <c r="M2692" s="14"/>
    </row>
    <row r="2693" spans="13:13" x14ac:dyDescent="0.35">
      <c r="M2693" s="14"/>
    </row>
    <row r="2694" spans="13:13" x14ac:dyDescent="0.35">
      <c r="M2694" s="14"/>
    </row>
    <row r="2695" spans="13:13" x14ac:dyDescent="0.35">
      <c r="M2695" s="14"/>
    </row>
    <row r="2696" spans="13:13" x14ac:dyDescent="0.35">
      <c r="M2696" s="14"/>
    </row>
    <row r="2697" spans="13:13" x14ac:dyDescent="0.35">
      <c r="M2697" s="14"/>
    </row>
    <row r="2698" spans="13:13" x14ac:dyDescent="0.35">
      <c r="M2698" s="14"/>
    </row>
    <row r="2699" spans="13:13" x14ac:dyDescent="0.35">
      <c r="M2699" s="14"/>
    </row>
    <row r="2700" spans="13:13" x14ac:dyDescent="0.35">
      <c r="M2700" s="14"/>
    </row>
    <row r="2701" spans="13:13" x14ac:dyDescent="0.35">
      <c r="M2701" s="14"/>
    </row>
    <row r="2702" spans="13:13" x14ac:dyDescent="0.35">
      <c r="M2702" s="14"/>
    </row>
    <row r="2703" spans="13:13" x14ac:dyDescent="0.35">
      <c r="M2703" s="14"/>
    </row>
    <row r="2704" spans="13:13" x14ac:dyDescent="0.35">
      <c r="M2704" s="14"/>
    </row>
    <row r="2705" spans="13:13" x14ac:dyDescent="0.35">
      <c r="M2705" s="14"/>
    </row>
    <row r="2706" spans="13:13" x14ac:dyDescent="0.35">
      <c r="M2706" s="14"/>
    </row>
    <row r="2707" spans="13:13" x14ac:dyDescent="0.35">
      <c r="M2707" s="14"/>
    </row>
    <row r="2708" spans="13:13" x14ac:dyDescent="0.35">
      <c r="M2708" s="14"/>
    </row>
    <row r="2709" spans="13:13" x14ac:dyDescent="0.35">
      <c r="M2709" s="14"/>
    </row>
    <row r="2710" spans="13:13" x14ac:dyDescent="0.35">
      <c r="M2710" s="14"/>
    </row>
    <row r="2711" spans="13:13" x14ac:dyDescent="0.35">
      <c r="M2711" s="14"/>
    </row>
    <row r="2712" spans="13:13" x14ac:dyDescent="0.35">
      <c r="M2712" s="14"/>
    </row>
    <row r="2713" spans="13:13" x14ac:dyDescent="0.35">
      <c r="M2713" s="14"/>
    </row>
    <row r="2714" spans="13:13" x14ac:dyDescent="0.35">
      <c r="M2714" s="14"/>
    </row>
    <row r="2715" spans="13:13" x14ac:dyDescent="0.35">
      <c r="M2715" s="14"/>
    </row>
    <row r="2716" spans="13:13" x14ac:dyDescent="0.35">
      <c r="M2716" s="14"/>
    </row>
    <row r="2717" spans="13:13" x14ac:dyDescent="0.35">
      <c r="M2717" s="14"/>
    </row>
    <row r="2718" spans="13:13" x14ac:dyDescent="0.35">
      <c r="M2718" s="14"/>
    </row>
    <row r="2719" spans="13:13" x14ac:dyDescent="0.35">
      <c r="M2719" s="14"/>
    </row>
    <row r="2720" spans="13:13" x14ac:dyDescent="0.35">
      <c r="M2720" s="14"/>
    </row>
    <row r="2721" spans="13:13" x14ac:dyDescent="0.35">
      <c r="M2721" s="14"/>
    </row>
    <row r="2722" spans="13:13" x14ac:dyDescent="0.35">
      <c r="M2722" s="14"/>
    </row>
    <row r="2723" spans="13:13" x14ac:dyDescent="0.35">
      <c r="M2723" s="14"/>
    </row>
    <row r="2724" spans="13:13" x14ac:dyDescent="0.35">
      <c r="M2724" s="14"/>
    </row>
    <row r="2725" spans="13:13" x14ac:dyDescent="0.35">
      <c r="M2725" s="14"/>
    </row>
    <row r="2726" spans="13:13" x14ac:dyDescent="0.35">
      <c r="M2726" s="14"/>
    </row>
    <row r="2727" spans="13:13" x14ac:dyDescent="0.35">
      <c r="M2727" s="14"/>
    </row>
    <row r="2728" spans="13:13" x14ac:dyDescent="0.35">
      <c r="M2728" s="14"/>
    </row>
    <row r="2729" spans="13:13" x14ac:dyDescent="0.35">
      <c r="M2729" s="14"/>
    </row>
    <row r="2730" spans="13:13" x14ac:dyDescent="0.35">
      <c r="M2730" s="14"/>
    </row>
    <row r="2731" spans="13:13" x14ac:dyDescent="0.35">
      <c r="M2731" s="14"/>
    </row>
    <row r="2732" spans="13:13" x14ac:dyDescent="0.35">
      <c r="M2732" s="14"/>
    </row>
    <row r="2733" spans="13:13" x14ac:dyDescent="0.35">
      <c r="M2733" s="14"/>
    </row>
    <row r="2734" spans="13:13" x14ac:dyDescent="0.35">
      <c r="M2734" s="14"/>
    </row>
    <row r="2735" spans="13:13" x14ac:dyDescent="0.35">
      <c r="M2735" s="14"/>
    </row>
    <row r="2736" spans="13:13" x14ac:dyDescent="0.35">
      <c r="M2736" s="14"/>
    </row>
    <row r="2737" spans="13:13" x14ac:dyDescent="0.35">
      <c r="M2737" s="14"/>
    </row>
    <row r="2738" spans="13:13" x14ac:dyDescent="0.35">
      <c r="M2738" s="14"/>
    </row>
    <row r="2739" spans="13:13" x14ac:dyDescent="0.35">
      <c r="M2739" s="14"/>
    </row>
    <row r="2740" spans="13:13" x14ac:dyDescent="0.35">
      <c r="M2740" s="14"/>
    </row>
    <row r="2741" spans="13:13" x14ac:dyDescent="0.35">
      <c r="M2741" s="14"/>
    </row>
    <row r="2742" spans="13:13" x14ac:dyDescent="0.35">
      <c r="M2742" s="14"/>
    </row>
    <row r="2743" spans="13:13" x14ac:dyDescent="0.35">
      <c r="M2743" s="14"/>
    </row>
    <row r="2744" spans="13:13" x14ac:dyDescent="0.35">
      <c r="M2744" s="14"/>
    </row>
    <row r="2745" spans="13:13" x14ac:dyDescent="0.35">
      <c r="M2745" s="14"/>
    </row>
    <row r="2746" spans="13:13" x14ac:dyDescent="0.35">
      <c r="M2746" s="14"/>
    </row>
    <row r="2747" spans="13:13" x14ac:dyDescent="0.35">
      <c r="M2747" s="14"/>
    </row>
    <row r="2748" spans="13:13" x14ac:dyDescent="0.35">
      <c r="M2748" s="14"/>
    </row>
    <row r="2749" spans="13:13" x14ac:dyDescent="0.35">
      <c r="M2749" s="14"/>
    </row>
    <row r="2750" spans="13:13" x14ac:dyDescent="0.35">
      <c r="M2750" s="14"/>
    </row>
    <row r="2751" spans="13:13" x14ac:dyDescent="0.35">
      <c r="M2751" s="14"/>
    </row>
    <row r="2752" spans="13:13" x14ac:dyDescent="0.35">
      <c r="M2752" s="14"/>
    </row>
    <row r="2753" spans="13:13" x14ac:dyDescent="0.35">
      <c r="M2753" s="14"/>
    </row>
    <row r="2754" spans="13:13" x14ac:dyDescent="0.35">
      <c r="M2754" s="14"/>
    </row>
    <row r="2755" spans="13:13" x14ac:dyDescent="0.35">
      <c r="M2755" s="14"/>
    </row>
    <row r="2756" spans="13:13" x14ac:dyDescent="0.35">
      <c r="M2756" s="14"/>
    </row>
    <row r="2757" spans="13:13" x14ac:dyDescent="0.35">
      <c r="M2757" s="14"/>
    </row>
    <row r="2758" spans="13:13" x14ac:dyDescent="0.35">
      <c r="M2758" s="14"/>
    </row>
    <row r="2759" spans="13:13" x14ac:dyDescent="0.35">
      <c r="M2759" s="14"/>
    </row>
    <row r="2760" spans="13:13" x14ac:dyDescent="0.35">
      <c r="M2760" s="14"/>
    </row>
    <row r="2761" spans="13:13" x14ac:dyDescent="0.35">
      <c r="M2761" s="14"/>
    </row>
    <row r="2762" spans="13:13" x14ac:dyDescent="0.35">
      <c r="M2762" s="14"/>
    </row>
    <row r="2763" spans="13:13" x14ac:dyDescent="0.35">
      <c r="M2763" s="14"/>
    </row>
    <row r="2764" spans="13:13" x14ac:dyDescent="0.35">
      <c r="M2764" s="14"/>
    </row>
    <row r="2765" spans="13:13" x14ac:dyDescent="0.35">
      <c r="M2765" s="14"/>
    </row>
    <row r="2766" spans="13:13" x14ac:dyDescent="0.35">
      <c r="M2766" s="14"/>
    </row>
    <row r="2767" spans="13:13" x14ac:dyDescent="0.35">
      <c r="M2767" s="14"/>
    </row>
    <row r="2768" spans="13:13" x14ac:dyDescent="0.35">
      <c r="M2768" s="14"/>
    </row>
    <row r="2769" spans="13:13" x14ac:dyDescent="0.35">
      <c r="M2769" s="14"/>
    </row>
    <row r="2770" spans="13:13" x14ac:dyDescent="0.35">
      <c r="M2770" s="14"/>
    </row>
    <row r="2771" spans="13:13" x14ac:dyDescent="0.35">
      <c r="M2771" s="14"/>
    </row>
    <row r="2772" spans="13:13" x14ac:dyDescent="0.35">
      <c r="M2772" s="14"/>
    </row>
    <row r="2773" spans="13:13" x14ac:dyDescent="0.35">
      <c r="M2773" s="14"/>
    </row>
    <row r="2774" spans="13:13" x14ac:dyDescent="0.35">
      <c r="M2774" s="14"/>
    </row>
    <row r="2775" spans="13:13" x14ac:dyDescent="0.35">
      <c r="M2775" s="14"/>
    </row>
    <row r="2776" spans="13:13" x14ac:dyDescent="0.35">
      <c r="M2776" s="14"/>
    </row>
    <row r="2777" spans="13:13" x14ac:dyDescent="0.35">
      <c r="M2777" s="14"/>
    </row>
    <row r="2778" spans="13:13" x14ac:dyDescent="0.35">
      <c r="M2778" s="14"/>
    </row>
    <row r="2779" spans="13:13" x14ac:dyDescent="0.35">
      <c r="M2779" s="14"/>
    </row>
    <row r="2780" spans="13:13" x14ac:dyDescent="0.35">
      <c r="M2780" s="14"/>
    </row>
    <row r="2781" spans="13:13" x14ac:dyDescent="0.35">
      <c r="M2781" s="14"/>
    </row>
    <row r="2782" spans="13:13" x14ac:dyDescent="0.35">
      <c r="M2782" s="14"/>
    </row>
    <row r="2783" spans="13:13" x14ac:dyDescent="0.35">
      <c r="M2783" s="14"/>
    </row>
    <row r="2784" spans="13:13" x14ac:dyDescent="0.35">
      <c r="M2784" s="14"/>
    </row>
    <row r="2785" spans="13:13" x14ac:dyDescent="0.35">
      <c r="M2785" s="14"/>
    </row>
    <row r="2786" spans="13:13" x14ac:dyDescent="0.35">
      <c r="M2786" s="14"/>
    </row>
    <row r="2787" spans="13:13" x14ac:dyDescent="0.35">
      <c r="M2787" s="14"/>
    </row>
    <row r="2788" spans="13:13" x14ac:dyDescent="0.35">
      <c r="M2788" s="14"/>
    </row>
    <row r="2789" spans="13:13" x14ac:dyDescent="0.35">
      <c r="M2789" s="14"/>
    </row>
    <row r="2790" spans="13:13" x14ac:dyDescent="0.35">
      <c r="M2790" s="14"/>
    </row>
    <row r="2791" spans="13:13" x14ac:dyDescent="0.35">
      <c r="M2791" s="14"/>
    </row>
    <row r="2792" spans="13:13" x14ac:dyDescent="0.35">
      <c r="M2792" s="14"/>
    </row>
    <row r="2793" spans="13:13" x14ac:dyDescent="0.35">
      <c r="M2793" s="14"/>
    </row>
    <row r="2794" spans="13:13" x14ac:dyDescent="0.35">
      <c r="M2794" s="14"/>
    </row>
    <row r="2795" spans="13:13" x14ac:dyDescent="0.35">
      <c r="M2795" s="14"/>
    </row>
    <row r="2796" spans="13:13" x14ac:dyDescent="0.35">
      <c r="M2796" s="14"/>
    </row>
    <row r="2797" spans="13:13" x14ac:dyDescent="0.35">
      <c r="M2797" s="14"/>
    </row>
    <row r="2798" spans="13:13" x14ac:dyDescent="0.35">
      <c r="M2798" s="14"/>
    </row>
    <row r="2799" spans="13:13" x14ac:dyDescent="0.35">
      <c r="M2799" s="14"/>
    </row>
    <row r="2800" spans="13:13" x14ac:dyDescent="0.35">
      <c r="M2800" s="14"/>
    </row>
    <row r="2801" spans="13:13" x14ac:dyDescent="0.35">
      <c r="M2801" s="14"/>
    </row>
    <row r="2802" spans="13:13" x14ac:dyDescent="0.35">
      <c r="M2802" s="14"/>
    </row>
    <row r="2803" spans="13:13" x14ac:dyDescent="0.35">
      <c r="M2803" s="14"/>
    </row>
    <row r="2804" spans="13:13" x14ac:dyDescent="0.35">
      <c r="M2804" s="14"/>
    </row>
    <row r="2805" spans="13:13" x14ac:dyDescent="0.35">
      <c r="M2805" s="14"/>
    </row>
    <row r="2806" spans="13:13" x14ac:dyDescent="0.35">
      <c r="M2806" s="14"/>
    </row>
    <row r="2807" spans="13:13" x14ac:dyDescent="0.35">
      <c r="M2807" s="14"/>
    </row>
    <row r="2808" spans="13:13" x14ac:dyDescent="0.35">
      <c r="M2808" s="14"/>
    </row>
    <row r="2809" spans="13:13" x14ac:dyDescent="0.35">
      <c r="M2809" s="14"/>
    </row>
    <row r="2810" spans="13:13" x14ac:dyDescent="0.35">
      <c r="M2810" s="14"/>
    </row>
    <row r="2811" spans="13:13" x14ac:dyDescent="0.35">
      <c r="M2811" s="14"/>
    </row>
    <row r="2812" spans="13:13" x14ac:dyDescent="0.35">
      <c r="M2812" s="14"/>
    </row>
    <row r="2813" spans="13:13" x14ac:dyDescent="0.35">
      <c r="M2813" s="14"/>
    </row>
    <row r="2814" spans="13:13" x14ac:dyDescent="0.35">
      <c r="M2814" s="14"/>
    </row>
    <row r="2815" spans="13:13" x14ac:dyDescent="0.35">
      <c r="M2815" s="14"/>
    </row>
    <row r="2816" spans="13:13" x14ac:dyDescent="0.35">
      <c r="M2816" s="14"/>
    </row>
    <row r="2817" spans="13:13" x14ac:dyDescent="0.35">
      <c r="M2817" s="14"/>
    </row>
    <row r="2818" spans="13:13" x14ac:dyDescent="0.35">
      <c r="M2818" s="14"/>
    </row>
    <row r="2819" spans="13:13" x14ac:dyDescent="0.35">
      <c r="M2819" s="14"/>
    </row>
    <row r="2820" spans="13:13" x14ac:dyDescent="0.35">
      <c r="M2820" s="14"/>
    </row>
    <row r="2821" spans="13:13" x14ac:dyDescent="0.35">
      <c r="M2821" s="14"/>
    </row>
    <row r="2822" spans="13:13" x14ac:dyDescent="0.35">
      <c r="M2822" s="14"/>
    </row>
    <row r="2823" spans="13:13" x14ac:dyDescent="0.35">
      <c r="M2823" s="14"/>
    </row>
    <row r="2824" spans="13:13" x14ac:dyDescent="0.35">
      <c r="M2824" s="14"/>
    </row>
    <row r="2825" spans="13:13" x14ac:dyDescent="0.35">
      <c r="M2825" s="14"/>
    </row>
    <row r="2826" spans="13:13" x14ac:dyDescent="0.35">
      <c r="M2826" s="14"/>
    </row>
    <row r="2827" spans="13:13" x14ac:dyDescent="0.35">
      <c r="M2827" s="14"/>
    </row>
    <row r="2828" spans="13:13" x14ac:dyDescent="0.35">
      <c r="M2828" s="14"/>
    </row>
    <row r="2829" spans="13:13" x14ac:dyDescent="0.35">
      <c r="M2829" s="14"/>
    </row>
    <row r="2830" spans="13:13" x14ac:dyDescent="0.35">
      <c r="M2830" s="14"/>
    </row>
    <row r="2831" spans="13:13" x14ac:dyDescent="0.35">
      <c r="M2831" s="14"/>
    </row>
    <row r="2832" spans="13:13" x14ac:dyDescent="0.35">
      <c r="M2832" s="14"/>
    </row>
    <row r="2833" spans="13:13" x14ac:dyDescent="0.35">
      <c r="M2833" s="14"/>
    </row>
    <row r="2834" spans="13:13" x14ac:dyDescent="0.35">
      <c r="M2834" s="14"/>
    </row>
    <row r="2835" spans="13:13" x14ac:dyDescent="0.35">
      <c r="M2835" s="14"/>
    </row>
    <row r="2836" spans="13:13" x14ac:dyDescent="0.35">
      <c r="M2836" s="14"/>
    </row>
    <row r="2837" spans="13:13" x14ac:dyDescent="0.35">
      <c r="M2837" s="14"/>
    </row>
    <row r="2838" spans="13:13" x14ac:dyDescent="0.35">
      <c r="M2838" s="14"/>
    </row>
    <row r="2839" spans="13:13" x14ac:dyDescent="0.35">
      <c r="M2839" s="14"/>
    </row>
    <row r="2840" spans="13:13" x14ac:dyDescent="0.35">
      <c r="M2840" s="14"/>
    </row>
    <row r="2841" spans="13:13" x14ac:dyDescent="0.35">
      <c r="M2841" s="14"/>
    </row>
    <row r="2842" spans="13:13" x14ac:dyDescent="0.35">
      <c r="M2842" s="14"/>
    </row>
    <row r="2843" spans="13:13" x14ac:dyDescent="0.35">
      <c r="M2843" s="14"/>
    </row>
    <row r="2844" spans="13:13" x14ac:dyDescent="0.35">
      <c r="M2844" s="14"/>
    </row>
    <row r="2845" spans="13:13" x14ac:dyDescent="0.35">
      <c r="M2845" s="14"/>
    </row>
    <row r="2846" spans="13:13" x14ac:dyDescent="0.35">
      <c r="M2846" s="14"/>
    </row>
    <row r="2847" spans="13:13" x14ac:dyDescent="0.35">
      <c r="M2847" s="14"/>
    </row>
    <row r="2848" spans="13:13" x14ac:dyDescent="0.35">
      <c r="M2848" s="14"/>
    </row>
    <row r="2849" spans="13:13" x14ac:dyDescent="0.35">
      <c r="M2849" s="14"/>
    </row>
    <row r="2850" spans="13:13" x14ac:dyDescent="0.35">
      <c r="M2850" s="14"/>
    </row>
    <row r="2851" spans="13:13" x14ac:dyDescent="0.35">
      <c r="M2851" s="14"/>
    </row>
    <row r="2852" spans="13:13" x14ac:dyDescent="0.35">
      <c r="M2852" s="14"/>
    </row>
    <row r="2853" spans="13:13" x14ac:dyDescent="0.35">
      <c r="M2853" s="14"/>
    </row>
    <row r="2854" spans="13:13" x14ac:dyDescent="0.35">
      <c r="M2854" s="14"/>
    </row>
    <row r="2855" spans="13:13" x14ac:dyDescent="0.35">
      <c r="M2855" s="14"/>
    </row>
    <row r="2856" spans="13:13" x14ac:dyDescent="0.35">
      <c r="M2856" s="14"/>
    </row>
    <row r="2857" spans="13:13" x14ac:dyDescent="0.35">
      <c r="M2857" s="14"/>
    </row>
    <row r="2858" spans="13:13" x14ac:dyDescent="0.35">
      <c r="M2858" s="14"/>
    </row>
    <row r="2859" spans="13:13" x14ac:dyDescent="0.35">
      <c r="M2859" s="14"/>
    </row>
    <row r="2860" spans="13:13" x14ac:dyDescent="0.35">
      <c r="M2860" s="14"/>
    </row>
    <row r="2861" spans="13:13" x14ac:dyDescent="0.35">
      <c r="M2861" s="14"/>
    </row>
    <row r="2862" spans="13:13" x14ac:dyDescent="0.35">
      <c r="M2862" s="14"/>
    </row>
    <row r="2863" spans="13:13" x14ac:dyDescent="0.35">
      <c r="M2863" s="14"/>
    </row>
    <row r="2864" spans="13:13" x14ac:dyDescent="0.35">
      <c r="M2864" s="14"/>
    </row>
    <row r="2865" spans="13:13" x14ac:dyDescent="0.35">
      <c r="M2865" s="14"/>
    </row>
    <row r="2866" spans="13:13" x14ac:dyDescent="0.35">
      <c r="M2866" s="14"/>
    </row>
    <row r="2867" spans="13:13" x14ac:dyDescent="0.35">
      <c r="M2867" s="14"/>
    </row>
    <row r="2868" spans="13:13" x14ac:dyDescent="0.35">
      <c r="M2868" s="14"/>
    </row>
    <row r="2869" spans="13:13" x14ac:dyDescent="0.35">
      <c r="M2869" s="14"/>
    </row>
    <row r="2870" spans="13:13" x14ac:dyDescent="0.35">
      <c r="M2870" s="14"/>
    </row>
    <row r="2871" spans="13:13" x14ac:dyDescent="0.35">
      <c r="M2871" s="14"/>
    </row>
    <row r="2872" spans="13:13" x14ac:dyDescent="0.35">
      <c r="M2872" s="14"/>
    </row>
    <row r="2873" spans="13:13" x14ac:dyDescent="0.35">
      <c r="M2873" s="14"/>
    </row>
    <row r="2874" spans="13:13" x14ac:dyDescent="0.35">
      <c r="M2874" s="14"/>
    </row>
    <row r="2875" spans="13:13" x14ac:dyDescent="0.35">
      <c r="M2875" s="14"/>
    </row>
    <row r="2876" spans="13:13" x14ac:dyDescent="0.35">
      <c r="M2876" s="14"/>
    </row>
    <row r="2877" spans="13:13" x14ac:dyDescent="0.35">
      <c r="M2877" s="14"/>
    </row>
    <row r="2878" spans="13:13" x14ac:dyDescent="0.35">
      <c r="M2878" s="14"/>
    </row>
    <row r="2879" spans="13:13" x14ac:dyDescent="0.35">
      <c r="M2879" s="14"/>
    </row>
    <row r="2880" spans="13:13" x14ac:dyDescent="0.35">
      <c r="M2880" s="14"/>
    </row>
    <row r="2881" spans="13:13" x14ac:dyDescent="0.35">
      <c r="M2881" s="14"/>
    </row>
    <row r="2882" spans="13:13" x14ac:dyDescent="0.35">
      <c r="M2882" s="14"/>
    </row>
    <row r="2883" spans="13:13" x14ac:dyDescent="0.35">
      <c r="M2883" s="14"/>
    </row>
    <row r="2884" spans="13:13" x14ac:dyDescent="0.35">
      <c r="M2884" s="14"/>
    </row>
    <row r="2885" spans="13:13" x14ac:dyDescent="0.35">
      <c r="M2885" s="14"/>
    </row>
    <row r="2886" spans="13:13" x14ac:dyDescent="0.35">
      <c r="M2886" s="14"/>
    </row>
    <row r="2887" spans="13:13" x14ac:dyDescent="0.35">
      <c r="M2887" s="14"/>
    </row>
    <row r="2888" spans="13:13" x14ac:dyDescent="0.35">
      <c r="M2888" s="14"/>
    </row>
    <row r="2889" spans="13:13" x14ac:dyDescent="0.35">
      <c r="M2889" s="14"/>
    </row>
    <row r="2890" spans="13:13" x14ac:dyDescent="0.35">
      <c r="M2890" s="14"/>
    </row>
    <row r="2891" spans="13:13" x14ac:dyDescent="0.35">
      <c r="M2891" s="14"/>
    </row>
    <row r="2892" spans="13:13" x14ac:dyDescent="0.35">
      <c r="M2892" s="14"/>
    </row>
    <row r="2893" spans="13:13" x14ac:dyDescent="0.35">
      <c r="M2893" s="14"/>
    </row>
    <row r="2894" spans="13:13" x14ac:dyDescent="0.35">
      <c r="M2894" s="14"/>
    </row>
    <row r="2895" spans="13:13" x14ac:dyDescent="0.35">
      <c r="M2895" s="14"/>
    </row>
    <row r="2896" spans="13:13" x14ac:dyDescent="0.35">
      <c r="M2896" s="14"/>
    </row>
    <row r="2897" spans="13:13" x14ac:dyDescent="0.35">
      <c r="M2897" s="14"/>
    </row>
    <row r="2898" spans="13:13" x14ac:dyDescent="0.35">
      <c r="M2898" s="14"/>
    </row>
    <row r="2899" spans="13:13" x14ac:dyDescent="0.35">
      <c r="M2899" s="14"/>
    </row>
    <row r="2900" spans="13:13" x14ac:dyDescent="0.35">
      <c r="M2900" s="14"/>
    </row>
    <row r="2901" spans="13:13" x14ac:dyDescent="0.35">
      <c r="M2901" s="14"/>
    </row>
    <row r="2902" spans="13:13" x14ac:dyDescent="0.35">
      <c r="M2902" s="14"/>
    </row>
    <row r="2903" spans="13:13" x14ac:dyDescent="0.35">
      <c r="M2903" s="14"/>
    </row>
    <row r="2904" spans="13:13" x14ac:dyDescent="0.35">
      <c r="M2904" s="14"/>
    </row>
    <row r="2905" spans="13:13" x14ac:dyDescent="0.35">
      <c r="M2905" s="14"/>
    </row>
    <row r="2906" spans="13:13" x14ac:dyDescent="0.35">
      <c r="M2906" s="14"/>
    </row>
    <row r="2907" spans="13:13" x14ac:dyDescent="0.35">
      <c r="M2907" s="14"/>
    </row>
    <row r="2908" spans="13:13" x14ac:dyDescent="0.35">
      <c r="M2908" s="14"/>
    </row>
    <row r="2909" spans="13:13" x14ac:dyDescent="0.35">
      <c r="M2909" s="14"/>
    </row>
    <row r="2910" spans="13:13" x14ac:dyDescent="0.35">
      <c r="M2910" s="14"/>
    </row>
    <row r="2911" spans="13:13" x14ac:dyDescent="0.35">
      <c r="M2911" s="14"/>
    </row>
    <row r="2912" spans="13:13" x14ac:dyDescent="0.35">
      <c r="M2912" s="14"/>
    </row>
    <row r="2913" spans="13:13" x14ac:dyDescent="0.35">
      <c r="M2913" s="14"/>
    </row>
    <row r="2914" spans="13:13" x14ac:dyDescent="0.35">
      <c r="M2914" s="14"/>
    </row>
    <row r="2915" spans="13:13" x14ac:dyDescent="0.35">
      <c r="M2915" s="14"/>
    </row>
    <row r="2916" spans="13:13" x14ac:dyDescent="0.35">
      <c r="M2916" s="14"/>
    </row>
    <row r="2917" spans="13:13" x14ac:dyDescent="0.35">
      <c r="M2917" s="14"/>
    </row>
    <row r="2918" spans="13:13" x14ac:dyDescent="0.35">
      <c r="M2918" s="14"/>
    </row>
    <row r="2919" spans="13:13" x14ac:dyDescent="0.35">
      <c r="M2919" s="14"/>
    </row>
    <row r="2920" spans="13:13" x14ac:dyDescent="0.35">
      <c r="M2920" s="14"/>
    </row>
    <row r="2921" spans="13:13" x14ac:dyDescent="0.35">
      <c r="M2921" s="14"/>
    </row>
    <row r="2922" spans="13:13" x14ac:dyDescent="0.35">
      <c r="M2922" s="14"/>
    </row>
    <row r="2923" spans="13:13" x14ac:dyDescent="0.35">
      <c r="M2923" s="14"/>
    </row>
    <row r="2924" spans="13:13" x14ac:dyDescent="0.35">
      <c r="M2924" s="14"/>
    </row>
    <row r="2925" spans="13:13" x14ac:dyDescent="0.35">
      <c r="M2925" s="14"/>
    </row>
    <row r="2926" spans="13:13" x14ac:dyDescent="0.35">
      <c r="M2926" s="14"/>
    </row>
    <row r="2927" spans="13:13" x14ac:dyDescent="0.35">
      <c r="M2927" s="14"/>
    </row>
    <row r="2928" spans="13:13" x14ac:dyDescent="0.35">
      <c r="M2928" s="14"/>
    </row>
    <row r="2929" spans="13:13" x14ac:dyDescent="0.35">
      <c r="M2929" s="14"/>
    </row>
    <row r="2930" spans="13:13" x14ac:dyDescent="0.35">
      <c r="M2930" s="14"/>
    </row>
    <row r="2931" spans="13:13" x14ac:dyDescent="0.35">
      <c r="M2931" s="14"/>
    </row>
    <row r="2932" spans="13:13" x14ac:dyDescent="0.35">
      <c r="M2932" s="14"/>
    </row>
    <row r="2933" spans="13:13" x14ac:dyDescent="0.35">
      <c r="M2933" s="14"/>
    </row>
    <row r="2934" spans="13:13" x14ac:dyDescent="0.35">
      <c r="M2934" s="14"/>
    </row>
    <row r="2935" spans="13:13" x14ac:dyDescent="0.35">
      <c r="M2935" s="14"/>
    </row>
    <row r="2936" spans="13:13" x14ac:dyDescent="0.35">
      <c r="M2936" s="14"/>
    </row>
    <row r="2937" spans="13:13" x14ac:dyDescent="0.35">
      <c r="M2937" s="14"/>
    </row>
    <row r="2938" spans="13:13" x14ac:dyDescent="0.35">
      <c r="M2938" s="14"/>
    </row>
    <row r="2939" spans="13:13" x14ac:dyDescent="0.35">
      <c r="M2939" s="14"/>
    </row>
    <row r="2940" spans="13:13" x14ac:dyDescent="0.35">
      <c r="M2940" s="14"/>
    </row>
    <row r="2941" spans="13:13" x14ac:dyDescent="0.35">
      <c r="M2941" s="14"/>
    </row>
    <row r="2942" spans="13:13" x14ac:dyDescent="0.35">
      <c r="M2942" s="14"/>
    </row>
    <row r="2943" spans="13:13" x14ac:dyDescent="0.35">
      <c r="M2943" s="14"/>
    </row>
    <row r="2944" spans="13:13" x14ac:dyDescent="0.35">
      <c r="M2944" s="14"/>
    </row>
    <row r="2945" spans="13:13" x14ac:dyDescent="0.35">
      <c r="M2945" s="14"/>
    </row>
    <row r="2946" spans="13:13" x14ac:dyDescent="0.35">
      <c r="M2946" s="14"/>
    </row>
    <row r="2947" spans="13:13" x14ac:dyDescent="0.35">
      <c r="M2947" s="14"/>
    </row>
    <row r="2948" spans="13:13" x14ac:dyDescent="0.35">
      <c r="M2948" s="14"/>
    </row>
    <row r="2949" spans="13:13" x14ac:dyDescent="0.35">
      <c r="M2949" s="14"/>
    </row>
    <row r="2950" spans="13:13" x14ac:dyDescent="0.35">
      <c r="M2950" s="14"/>
    </row>
    <row r="2951" spans="13:13" x14ac:dyDescent="0.35">
      <c r="M2951" s="14"/>
    </row>
    <row r="2952" spans="13:13" x14ac:dyDescent="0.35">
      <c r="M2952" s="14"/>
    </row>
    <row r="2953" spans="13:13" x14ac:dyDescent="0.35">
      <c r="M2953" s="14"/>
    </row>
    <row r="2954" spans="13:13" x14ac:dyDescent="0.35">
      <c r="M2954" s="14"/>
    </row>
    <row r="2955" spans="13:13" x14ac:dyDescent="0.35">
      <c r="M2955" s="14"/>
    </row>
    <row r="2956" spans="13:13" x14ac:dyDescent="0.35">
      <c r="M2956" s="14"/>
    </row>
    <row r="2957" spans="13:13" x14ac:dyDescent="0.35">
      <c r="M2957" s="14"/>
    </row>
    <row r="2958" spans="13:13" x14ac:dyDescent="0.35">
      <c r="M2958" s="14"/>
    </row>
    <row r="2959" spans="13:13" x14ac:dyDescent="0.35">
      <c r="M2959" s="14"/>
    </row>
    <row r="2960" spans="13:13" x14ac:dyDescent="0.35">
      <c r="M2960" s="14"/>
    </row>
    <row r="2961" spans="13:13" x14ac:dyDescent="0.35">
      <c r="M2961" s="14"/>
    </row>
    <row r="2962" spans="13:13" x14ac:dyDescent="0.35">
      <c r="M2962" s="14"/>
    </row>
    <row r="2963" spans="13:13" x14ac:dyDescent="0.35">
      <c r="M2963" s="14"/>
    </row>
    <row r="2964" spans="13:13" x14ac:dyDescent="0.35">
      <c r="M2964" s="14"/>
    </row>
    <row r="2965" spans="13:13" x14ac:dyDescent="0.35">
      <c r="M2965" s="14"/>
    </row>
    <row r="2966" spans="13:13" x14ac:dyDescent="0.35">
      <c r="M2966" s="14"/>
    </row>
    <row r="2967" spans="13:13" x14ac:dyDescent="0.35">
      <c r="M2967" s="14"/>
    </row>
    <row r="2968" spans="13:13" x14ac:dyDescent="0.35">
      <c r="M2968" s="14"/>
    </row>
    <row r="2969" spans="13:13" x14ac:dyDescent="0.35">
      <c r="M2969" s="14"/>
    </row>
    <row r="2970" spans="13:13" x14ac:dyDescent="0.35">
      <c r="M2970" s="14"/>
    </row>
    <row r="2971" spans="13:13" x14ac:dyDescent="0.35">
      <c r="M2971" s="14"/>
    </row>
    <row r="2972" spans="13:13" x14ac:dyDescent="0.35">
      <c r="M2972" s="14"/>
    </row>
    <row r="2973" spans="13:13" x14ac:dyDescent="0.35">
      <c r="M2973" s="14"/>
    </row>
    <row r="2974" spans="13:13" x14ac:dyDescent="0.35">
      <c r="M2974" s="14"/>
    </row>
    <row r="2975" spans="13:13" x14ac:dyDescent="0.35">
      <c r="M2975" s="14"/>
    </row>
    <row r="2976" spans="13:13" x14ac:dyDescent="0.35">
      <c r="M2976" s="14"/>
    </row>
    <row r="2977" spans="13:13" x14ac:dyDescent="0.35">
      <c r="M2977" s="14"/>
    </row>
    <row r="2978" spans="13:13" x14ac:dyDescent="0.35">
      <c r="M2978" s="14"/>
    </row>
    <row r="2979" spans="13:13" x14ac:dyDescent="0.35">
      <c r="M2979" s="14"/>
    </row>
    <row r="2980" spans="13:13" x14ac:dyDescent="0.35">
      <c r="M2980" s="14"/>
    </row>
    <row r="2981" spans="13:13" x14ac:dyDescent="0.35">
      <c r="M2981" s="14"/>
    </row>
    <row r="2982" spans="13:13" x14ac:dyDescent="0.35">
      <c r="M2982" s="14"/>
    </row>
    <row r="2983" spans="13:13" x14ac:dyDescent="0.35">
      <c r="M2983" s="14"/>
    </row>
    <row r="2984" spans="13:13" x14ac:dyDescent="0.35">
      <c r="M2984" s="14"/>
    </row>
    <row r="2985" spans="13:13" x14ac:dyDescent="0.35">
      <c r="M2985" s="14"/>
    </row>
    <row r="2986" spans="13:13" x14ac:dyDescent="0.35">
      <c r="M2986" s="14"/>
    </row>
    <row r="2987" spans="13:13" x14ac:dyDescent="0.35">
      <c r="M2987" s="14"/>
    </row>
    <row r="2988" spans="13:13" x14ac:dyDescent="0.35">
      <c r="M2988" s="14"/>
    </row>
    <row r="2989" spans="13:13" x14ac:dyDescent="0.35">
      <c r="M2989" s="14"/>
    </row>
    <row r="2990" spans="13:13" x14ac:dyDescent="0.35">
      <c r="M2990" s="14"/>
    </row>
    <row r="2991" spans="13:13" x14ac:dyDescent="0.35">
      <c r="M2991" s="14"/>
    </row>
    <row r="2992" spans="13:13" x14ac:dyDescent="0.35">
      <c r="M2992" s="14"/>
    </row>
    <row r="2993" spans="13:13" x14ac:dyDescent="0.35">
      <c r="M2993" s="14"/>
    </row>
    <row r="2994" spans="13:13" x14ac:dyDescent="0.35">
      <c r="M2994" s="14"/>
    </row>
    <row r="2995" spans="13:13" x14ac:dyDescent="0.35">
      <c r="M2995" s="14"/>
    </row>
    <row r="2996" spans="13:13" x14ac:dyDescent="0.35">
      <c r="M2996" s="14"/>
    </row>
    <row r="2997" spans="13:13" x14ac:dyDescent="0.35">
      <c r="M2997" s="14"/>
    </row>
    <row r="2998" spans="13:13" x14ac:dyDescent="0.35">
      <c r="M2998" s="14"/>
    </row>
    <row r="2999" spans="13:13" x14ac:dyDescent="0.35">
      <c r="M2999" s="14"/>
    </row>
    <row r="3000" spans="13:13" x14ac:dyDescent="0.35">
      <c r="M3000" s="14"/>
    </row>
    <row r="3001" spans="13:13" x14ac:dyDescent="0.35">
      <c r="M3001" s="14"/>
    </row>
    <row r="3002" spans="13:13" x14ac:dyDescent="0.35">
      <c r="M3002" s="14"/>
    </row>
    <row r="3003" spans="13:13" x14ac:dyDescent="0.35">
      <c r="M3003" s="14"/>
    </row>
    <row r="3004" spans="13:13" x14ac:dyDescent="0.35">
      <c r="M3004" s="14"/>
    </row>
    <row r="3005" spans="13:13" x14ac:dyDescent="0.35">
      <c r="M3005" s="14"/>
    </row>
    <row r="3006" spans="13:13" x14ac:dyDescent="0.35">
      <c r="M3006" s="14"/>
    </row>
    <row r="3007" spans="13:13" x14ac:dyDescent="0.35">
      <c r="M3007" s="14"/>
    </row>
    <row r="3008" spans="13:13" x14ac:dyDescent="0.35">
      <c r="M3008" s="14"/>
    </row>
    <row r="3009" spans="13:13" x14ac:dyDescent="0.35">
      <c r="M3009" s="14"/>
    </row>
    <row r="3010" spans="13:13" x14ac:dyDescent="0.35">
      <c r="M3010" s="14"/>
    </row>
    <row r="3011" spans="13:13" x14ac:dyDescent="0.35">
      <c r="M3011" s="14"/>
    </row>
    <row r="3012" spans="13:13" x14ac:dyDescent="0.35">
      <c r="M3012" s="14"/>
    </row>
    <row r="3013" spans="13:13" x14ac:dyDescent="0.35">
      <c r="M3013" s="14"/>
    </row>
    <row r="3014" spans="13:13" x14ac:dyDescent="0.35">
      <c r="M3014" s="14"/>
    </row>
    <row r="3015" spans="13:13" x14ac:dyDescent="0.35">
      <c r="M3015" s="14"/>
    </row>
    <row r="3016" spans="13:13" x14ac:dyDescent="0.35">
      <c r="M3016" s="14"/>
    </row>
    <row r="3017" spans="13:13" x14ac:dyDescent="0.35">
      <c r="M3017" s="14"/>
    </row>
    <row r="3018" spans="13:13" x14ac:dyDescent="0.35">
      <c r="M3018" s="14"/>
    </row>
    <row r="3019" spans="13:13" x14ac:dyDescent="0.35">
      <c r="M3019" s="14"/>
    </row>
    <row r="3020" spans="13:13" x14ac:dyDescent="0.35">
      <c r="M3020" s="14"/>
    </row>
    <row r="3021" spans="13:13" x14ac:dyDescent="0.35">
      <c r="M3021" s="14"/>
    </row>
    <row r="3022" spans="13:13" x14ac:dyDescent="0.35">
      <c r="M3022" s="14"/>
    </row>
    <row r="3023" spans="13:13" x14ac:dyDescent="0.35">
      <c r="M3023" s="14"/>
    </row>
    <row r="3024" spans="13:13" x14ac:dyDescent="0.35">
      <c r="M3024" s="14"/>
    </row>
    <row r="3025" spans="13:13" x14ac:dyDescent="0.35">
      <c r="M3025" s="14"/>
    </row>
    <row r="3026" spans="13:13" x14ac:dyDescent="0.35">
      <c r="M3026" s="14"/>
    </row>
    <row r="3027" spans="13:13" x14ac:dyDescent="0.35">
      <c r="M3027" s="14"/>
    </row>
    <row r="3028" spans="13:13" x14ac:dyDescent="0.35">
      <c r="M3028" s="14"/>
    </row>
    <row r="3029" spans="13:13" x14ac:dyDescent="0.35">
      <c r="M3029" s="14"/>
    </row>
    <row r="3030" spans="13:13" x14ac:dyDescent="0.35">
      <c r="M3030" s="14"/>
    </row>
    <row r="3031" spans="13:13" x14ac:dyDescent="0.35">
      <c r="M3031" s="14"/>
    </row>
    <row r="3032" spans="13:13" x14ac:dyDescent="0.35">
      <c r="M3032" s="14"/>
    </row>
    <row r="3033" spans="13:13" x14ac:dyDescent="0.35">
      <c r="M3033" s="14"/>
    </row>
    <row r="3034" spans="13:13" x14ac:dyDescent="0.35">
      <c r="M3034" s="14"/>
    </row>
    <row r="3035" spans="13:13" x14ac:dyDescent="0.35">
      <c r="M3035" s="14"/>
    </row>
    <row r="3036" spans="13:13" x14ac:dyDescent="0.35">
      <c r="M3036" s="14"/>
    </row>
    <row r="3037" spans="13:13" x14ac:dyDescent="0.35">
      <c r="M3037" s="14"/>
    </row>
    <row r="3038" spans="13:13" x14ac:dyDescent="0.35">
      <c r="M3038" s="14"/>
    </row>
    <row r="3039" spans="13:13" x14ac:dyDescent="0.35">
      <c r="M3039" s="14"/>
    </row>
    <row r="3040" spans="13:13" x14ac:dyDescent="0.35">
      <c r="M3040" s="14"/>
    </row>
    <row r="3041" spans="13:13" x14ac:dyDescent="0.35">
      <c r="M3041" s="14"/>
    </row>
    <row r="3042" spans="13:13" x14ac:dyDescent="0.35">
      <c r="M3042" s="14"/>
    </row>
    <row r="3043" spans="13:13" x14ac:dyDescent="0.35">
      <c r="M3043" s="14"/>
    </row>
    <row r="3044" spans="13:13" x14ac:dyDescent="0.35">
      <c r="M3044" s="14"/>
    </row>
    <row r="3045" spans="13:13" x14ac:dyDescent="0.35">
      <c r="M3045" s="14"/>
    </row>
    <row r="3046" spans="13:13" x14ac:dyDescent="0.35">
      <c r="M3046" s="14"/>
    </row>
    <row r="3047" spans="13:13" x14ac:dyDescent="0.35">
      <c r="M3047" s="14"/>
    </row>
    <row r="3048" spans="13:13" x14ac:dyDescent="0.35">
      <c r="M3048" s="14"/>
    </row>
    <row r="3049" spans="13:13" x14ac:dyDescent="0.35">
      <c r="M3049" s="14"/>
    </row>
    <row r="3050" spans="13:13" x14ac:dyDescent="0.35">
      <c r="M3050" s="14"/>
    </row>
    <row r="3051" spans="13:13" x14ac:dyDescent="0.35">
      <c r="M3051" s="14"/>
    </row>
    <row r="3052" spans="13:13" x14ac:dyDescent="0.35">
      <c r="M3052" s="14"/>
    </row>
    <row r="3053" spans="13:13" x14ac:dyDescent="0.35">
      <c r="M3053" s="14"/>
    </row>
    <row r="3054" spans="13:13" x14ac:dyDescent="0.35">
      <c r="M3054" s="14"/>
    </row>
    <row r="3055" spans="13:13" x14ac:dyDescent="0.35">
      <c r="M3055" s="14"/>
    </row>
    <row r="3056" spans="13:13" x14ac:dyDescent="0.35">
      <c r="M3056" s="14"/>
    </row>
    <row r="3057" spans="13:13" x14ac:dyDescent="0.35">
      <c r="M3057" s="14"/>
    </row>
    <row r="3058" spans="13:13" x14ac:dyDescent="0.35">
      <c r="M3058" s="14"/>
    </row>
    <row r="3059" spans="13:13" x14ac:dyDescent="0.35">
      <c r="M3059" s="14"/>
    </row>
    <row r="3060" spans="13:13" x14ac:dyDescent="0.35">
      <c r="M3060" s="14"/>
    </row>
    <row r="3061" spans="13:13" x14ac:dyDescent="0.35">
      <c r="M3061" s="14"/>
    </row>
    <row r="3062" spans="13:13" x14ac:dyDescent="0.35">
      <c r="M3062" s="14"/>
    </row>
    <row r="3063" spans="13:13" x14ac:dyDescent="0.35">
      <c r="M3063" s="14"/>
    </row>
    <row r="3064" spans="13:13" x14ac:dyDescent="0.35">
      <c r="M3064" s="14"/>
    </row>
    <row r="3065" spans="13:13" x14ac:dyDescent="0.35">
      <c r="M3065" s="14"/>
    </row>
    <row r="3066" spans="13:13" x14ac:dyDescent="0.35">
      <c r="M3066" s="14"/>
    </row>
    <row r="3067" spans="13:13" x14ac:dyDescent="0.35">
      <c r="M3067" s="14"/>
    </row>
    <row r="3068" spans="13:13" x14ac:dyDescent="0.35">
      <c r="M3068" s="14"/>
    </row>
    <row r="3069" spans="13:13" x14ac:dyDescent="0.35">
      <c r="M3069" s="14"/>
    </row>
    <row r="3070" spans="13:13" x14ac:dyDescent="0.35">
      <c r="M3070" s="14"/>
    </row>
    <row r="3071" spans="13:13" x14ac:dyDescent="0.35">
      <c r="M3071" s="14"/>
    </row>
    <row r="3072" spans="13:13" x14ac:dyDescent="0.35">
      <c r="M3072" s="14"/>
    </row>
    <row r="3073" spans="13:13" x14ac:dyDescent="0.35">
      <c r="M3073" s="14"/>
    </row>
    <row r="3074" spans="13:13" x14ac:dyDescent="0.35">
      <c r="M3074" s="14"/>
    </row>
    <row r="3075" spans="13:13" x14ac:dyDescent="0.35">
      <c r="M3075" s="14"/>
    </row>
    <row r="3076" spans="13:13" x14ac:dyDescent="0.35">
      <c r="M3076" s="14"/>
    </row>
    <row r="3077" spans="13:13" x14ac:dyDescent="0.35">
      <c r="M3077" s="14"/>
    </row>
    <row r="3078" spans="13:13" x14ac:dyDescent="0.35">
      <c r="M3078" s="14"/>
    </row>
    <row r="3079" spans="13:13" x14ac:dyDescent="0.35">
      <c r="M3079" s="14"/>
    </row>
    <row r="3080" spans="13:13" x14ac:dyDescent="0.35">
      <c r="M3080" s="14"/>
    </row>
    <row r="3081" spans="13:13" x14ac:dyDescent="0.35">
      <c r="M3081" s="14"/>
    </row>
    <row r="3082" spans="13:13" x14ac:dyDescent="0.35">
      <c r="M3082" s="14"/>
    </row>
    <row r="3083" spans="13:13" x14ac:dyDescent="0.35">
      <c r="M3083" s="14"/>
    </row>
    <row r="3084" spans="13:13" x14ac:dyDescent="0.35">
      <c r="M3084" s="14"/>
    </row>
    <row r="3085" spans="13:13" x14ac:dyDescent="0.35">
      <c r="M3085" s="14"/>
    </row>
    <row r="3086" spans="13:13" x14ac:dyDescent="0.35">
      <c r="M3086" s="14"/>
    </row>
    <row r="3087" spans="13:13" x14ac:dyDescent="0.35">
      <c r="M3087" s="14"/>
    </row>
    <row r="3088" spans="13:13" x14ac:dyDescent="0.35">
      <c r="M3088" s="14"/>
    </row>
    <row r="3089" spans="13:13" x14ac:dyDescent="0.35">
      <c r="M3089" s="14"/>
    </row>
    <row r="3090" spans="13:13" x14ac:dyDescent="0.35">
      <c r="M3090" s="14"/>
    </row>
    <row r="3091" spans="13:13" x14ac:dyDescent="0.35">
      <c r="M3091" s="14"/>
    </row>
    <row r="3092" spans="13:13" x14ac:dyDescent="0.35">
      <c r="M3092" s="14"/>
    </row>
    <row r="3093" spans="13:13" x14ac:dyDescent="0.35">
      <c r="M3093" s="14"/>
    </row>
    <row r="3094" spans="13:13" x14ac:dyDescent="0.35">
      <c r="M3094" s="14"/>
    </row>
    <row r="3095" spans="13:13" x14ac:dyDescent="0.35">
      <c r="M3095" s="14"/>
    </row>
    <row r="3096" spans="13:13" x14ac:dyDescent="0.35">
      <c r="M3096" s="14"/>
    </row>
    <row r="3097" spans="13:13" x14ac:dyDescent="0.35">
      <c r="M3097" s="14"/>
    </row>
    <row r="3098" spans="13:13" x14ac:dyDescent="0.35">
      <c r="M3098" s="14"/>
    </row>
    <row r="3099" spans="13:13" x14ac:dyDescent="0.35">
      <c r="M3099" s="14"/>
    </row>
    <row r="3100" spans="13:13" x14ac:dyDescent="0.35">
      <c r="M3100" s="14"/>
    </row>
    <row r="3101" spans="13:13" x14ac:dyDescent="0.35">
      <c r="M3101" s="14"/>
    </row>
    <row r="3102" spans="13:13" x14ac:dyDescent="0.35">
      <c r="M3102" s="14"/>
    </row>
    <row r="3103" spans="13:13" x14ac:dyDescent="0.35">
      <c r="M3103" s="14"/>
    </row>
    <row r="3104" spans="13:13" x14ac:dyDescent="0.35">
      <c r="M3104" s="14"/>
    </row>
    <row r="3105" spans="13:13" x14ac:dyDescent="0.35">
      <c r="M3105" s="14"/>
    </row>
    <row r="3106" spans="13:13" x14ac:dyDescent="0.35">
      <c r="M3106" s="14"/>
    </row>
    <row r="3107" spans="13:13" x14ac:dyDescent="0.35">
      <c r="M3107" s="14"/>
    </row>
    <row r="3108" spans="13:13" x14ac:dyDescent="0.35">
      <c r="M3108" s="14"/>
    </row>
    <row r="3109" spans="13:13" x14ac:dyDescent="0.35">
      <c r="M3109" s="14"/>
    </row>
    <row r="3110" spans="13:13" x14ac:dyDescent="0.35">
      <c r="M3110" s="14"/>
    </row>
    <row r="3111" spans="13:13" x14ac:dyDescent="0.35">
      <c r="M3111" s="14"/>
    </row>
    <row r="3112" spans="13:13" x14ac:dyDescent="0.35">
      <c r="M3112" s="14"/>
    </row>
    <row r="3113" spans="13:13" x14ac:dyDescent="0.35">
      <c r="M3113" s="14"/>
    </row>
    <row r="3114" spans="13:13" x14ac:dyDescent="0.35">
      <c r="M3114" s="14"/>
    </row>
    <row r="3115" spans="13:13" x14ac:dyDescent="0.35">
      <c r="M3115" s="14"/>
    </row>
    <row r="3116" spans="13:13" x14ac:dyDescent="0.35">
      <c r="M3116" s="14"/>
    </row>
    <row r="3117" spans="13:13" x14ac:dyDescent="0.35">
      <c r="M3117" s="14"/>
    </row>
    <row r="3118" spans="13:13" x14ac:dyDescent="0.35">
      <c r="M3118" s="14"/>
    </row>
    <row r="3119" spans="13:13" x14ac:dyDescent="0.35">
      <c r="M3119" s="14"/>
    </row>
    <row r="3120" spans="13:13" x14ac:dyDescent="0.35">
      <c r="M3120" s="14"/>
    </row>
    <row r="3121" spans="13:13" x14ac:dyDescent="0.35">
      <c r="M3121" s="14"/>
    </row>
    <row r="3122" spans="13:13" x14ac:dyDescent="0.35">
      <c r="M3122" s="14"/>
    </row>
    <row r="3123" spans="13:13" x14ac:dyDescent="0.35">
      <c r="M3123" s="14"/>
    </row>
    <row r="3124" spans="13:13" x14ac:dyDescent="0.35">
      <c r="M3124" s="14"/>
    </row>
    <row r="3125" spans="13:13" x14ac:dyDescent="0.35">
      <c r="M3125" s="14"/>
    </row>
    <row r="3126" spans="13:13" x14ac:dyDescent="0.35">
      <c r="M3126" s="14"/>
    </row>
    <row r="3127" spans="13:13" x14ac:dyDescent="0.35">
      <c r="M3127" s="14"/>
    </row>
    <row r="3128" spans="13:13" x14ac:dyDescent="0.35">
      <c r="M3128" s="14"/>
    </row>
    <row r="3129" spans="13:13" x14ac:dyDescent="0.35">
      <c r="M3129" s="14"/>
    </row>
    <row r="3130" spans="13:13" x14ac:dyDescent="0.35">
      <c r="M3130" s="14"/>
    </row>
    <row r="3131" spans="13:13" x14ac:dyDescent="0.35">
      <c r="M3131" s="14"/>
    </row>
    <row r="3132" spans="13:13" x14ac:dyDescent="0.35">
      <c r="M3132" s="14"/>
    </row>
    <row r="3133" spans="13:13" x14ac:dyDescent="0.35">
      <c r="M3133" s="14"/>
    </row>
    <row r="3134" spans="13:13" x14ac:dyDescent="0.35">
      <c r="M3134" s="14"/>
    </row>
    <row r="3135" spans="13:13" x14ac:dyDescent="0.35">
      <c r="M3135" s="14"/>
    </row>
    <row r="3136" spans="13:13" x14ac:dyDescent="0.35">
      <c r="M3136" s="14"/>
    </row>
    <row r="3137" spans="13:13" x14ac:dyDescent="0.35">
      <c r="M3137" s="14"/>
    </row>
    <row r="3138" spans="13:13" x14ac:dyDescent="0.35">
      <c r="M3138" s="14"/>
    </row>
    <row r="3139" spans="13:13" x14ac:dyDescent="0.35">
      <c r="M3139" s="14"/>
    </row>
    <row r="3140" spans="13:13" x14ac:dyDescent="0.35">
      <c r="M3140" s="14"/>
    </row>
    <row r="3141" spans="13:13" x14ac:dyDescent="0.35">
      <c r="M3141" s="14"/>
    </row>
    <row r="3142" spans="13:13" x14ac:dyDescent="0.35">
      <c r="M3142" s="14"/>
    </row>
    <row r="3143" spans="13:13" x14ac:dyDescent="0.35">
      <c r="M3143" s="14"/>
    </row>
    <row r="3144" spans="13:13" x14ac:dyDescent="0.35">
      <c r="M3144" s="14"/>
    </row>
    <row r="3145" spans="13:13" x14ac:dyDescent="0.35">
      <c r="M3145" s="14"/>
    </row>
    <row r="3146" spans="13:13" x14ac:dyDescent="0.35">
      <c r="M3146" s="14"/>
    </row>
    <row r="3147" spans="13:13" x14ac:dyDescent="0.35">
      <c r="M3147" s="14"/>
    </row>
    <row r="3148" spans="13:13" x14ac:dyDescent="0.35">
      <c r="M3148" s="14"/>
    </row>
    <row r="3149" spans="13:13" x14ac:dyDescent="0.35">
      <c r="M3149" s="14"/>
    </row>
    <row r="3150" spans="13:13" x14ac:dyDescent="0.35">
      <c r="M3150" s="14"/>
    </row>
    <row r="3151" spans="13:13" x14ac:dyDescent="0.35">
      <c r="M3151" s="14"/>
    </row>
    <row r="3152" spans="13:13" x14ac:dyDescent="0.35">
      <c r="M3152" s="14"/>
    </row>
    <row r="3153" spans="13:13" x14ac:dyDescent="0.35">
      <c r="M3153" s="14"/>
    </row>
    <row r="3154" spans="13:13" x14ac:dyDescent="0.35">
      <c r="M3154" s="14"/>
    </row>
    <row r="3155" spans="13:13" x14ac:dyDescent="0.35">
      <c r="M3155" s="14"/>
    </row>
    <row r="3156" spans="13:13" x14ac:dyDescent="0.35">
      <c r="M3156" s="14"/>
    </row>
    <row r="3157" spans="13:13" x14ac:dyDescent="0.35">
      <c r="M3157" s="14"/>
    </row>
    <row r="3158" spans="13:13" x14ac:dyDescent="0.35">
      <c r="M3158" s="14"/>
    </row>
    <row r="3159" spans="13:13" x14ac:dyDescent="0.35">
      <c r="M3159" s="14"/>
    </row>
    <row r="3160" spans="13:13" x14ac:dyDescent="0.35">
      <c r="M3160" s="14"/>
    </row>
    <row r="3161" spans="13:13" x14ac:dyDescent="0.35">
      <c r="M3161" s="14"/>
    </row>
    <row r="3162" spans="13:13" x14ac:dyDescent="0.35">
      <c r="M3162" s="14"/>
    </row>
    <row r="3163" spans="13:13" x14ac:dyDescent="0.35">
      <c r="M3163" s="14"/>
    </row>
    <row r="3164" spans="13:13" x14ac:dyDescent="0.35">
      <c r="M3164" s="14"/>
    </row>
    <row r="3165" spans="13:13" x14ac:dyDescent="0.35">
      <c r="M3165" s="14"/>
    </row>
    <row r="3166" spans="13:13" x14ac:dyDescent="0.35">
      <c r="M3166" s="14"/>
    </row>
    <row r="3167" spans="13:13" x14ac:dyDescent="0.35">
      <c r="M3167" s="14"/>
    </row>
    <row r="3168" spans="13:13" x14ac:dyDescent="0.35">
      <c r="M3168" s="14"/>
    </row>
    <row r="3169" spans="13:13" x14ac:dyDescent="0.35">
      <c r="M3169" s="14"/>
    </row>
    <row r="3170" spans="13:13" x14ac:dyDescent="0.35">
      <c r="M3170" s="14"/>
    </row>
    <row r="3171" spans="13:13" x14ac:dyDescent="0.35">
      <c r="M3171" s="14"/>
    </row>
    <row r="3172" spans="13:13" x14ac:dyDescent="0.35">
      <c r="M3172" s="14"/>
    </row>
    <row r="3173" spans="13:13" x14ac:dyDescent="0.35">
      <c r="M3173" s="14"/>
    </row>
    <row r="3174" spans="13:13" x14ac:dyDescent="0.35">
      <c r="M3174" s="14"/>
    </row>
    <row r="3175" spans="13:13" x14ac:dyDescent="0.35">
      <c r="M3175" s="14"/>
    </row>
    <row r="3176" spans="13:13" x14ac:dyDescent="0.35">
      <c r="M3176" s="14"/>
    </row>
    <row r="3177" spans="13:13" x14ac:dyDescent="0.35">
      <c r="M3177" s="14"/>
    </row>
    <row r="3178" spans="13:13" x14ac:dyDescent="0.35">
      <c r="M3178" s="14"/>
    </row>
    <row r="3179" spans="13:13" x14ac:dyDescent="0.35">
      <c r="M3179" s="14"/>
    </row>
    <row r="3180" spans="13:13" x14ac:dyDescent="0.35">
      <c r="M3180" s="14"/>
    </row>
    <row r="3181" spans="13:13" x14ac:dyDescent="0.35">
      <c r="M3181" s="14"/>
    </row>
    <row r="3182" spans="13:13" x14ac:dyDescent="0.35">
      <c r="M3182" s="14"/>
    </row>
    <row r="3183" spans="13:13" x14ac:dyDescent="0.35">
      <c r="M3183" s="14"/>
    </row>
    <row r="3184" spans="13:13" x14ac:dyDescent="0.35">
      <c r="M3184" s="14"/>
    </row>
    <row r="3185" spans="13:13" x14ac:dyDescent="0.35">
      <c r="M3185" s="14"/>
    </row>
    <row r="3186" spans="13:13" x14ac:dyDescent="0.35">
      <c r="M3186" s="14"/>
    </row>
    <row r="3187" spans="13:13" x14ac:dyDescent="0.35">
      <c r="M3187" s="14"/>
    </row>
    <row r="3188" spans="13:13" x14ac:dyDescent="0.35">
      <c r="M3188" s="14"/>
    </row>
    <row r="3189" spans="13:13" x14ac:dyDescent="0.35">
      <c r="M3189" s="14"/>
    </row>
    <row r="3190" spans="13:13" x14ac:dyDescent="0.35">
      <c r="M3190" s="14"/>
    </row>
    <row r="3191" spans="13:13" x14ac:dyDescent="0.35">
      <c r="M3191" s="14"/>
    </row>
    <row r="3192" spans="13:13" x14ac:dyDescent="0.35">
      <c r="M3192" s="14"/>
    </row>
    <row r="3193" spans="13:13" x14ac:dyDescent="0.35">
      <c r="M3193" s="14"/>
    </row>
    <row r="3194" spans="13:13" x14ac:dyDescent="0.35">
      <c r="M3194" s="14"/>
    </row>
    <row r="3195" spans="13:13" x14ac:dyDescent="0.35">
      <c r="M3195" s="14"/>
    </row>
    <row r="3196" spans="13:13" x14ac:dyDescent="0.35">
      <c r="M3196" s="14"/>
    </row>
    <row r="3197" spans="13:13" x14ac:dyDescent="0.35">
      <c r="M3197" s="14"/>
    </row>
    <row r="3198" spans="13:13" x14ac:dyDescent="0.35">
      <c r="M3198" s="14"/>
    </row>
    <row r="3199" spans="13:13" x14ac:dyDescent="0.35">
      <c r="M3199" s="14"/>
    </row>
    <row r="3200" spans="13:13" x14ac:dyDescent="0.35">
      <c r="M3200" s="14"/>
    </row>
    <row r="3201" spans="13:13" x14ac:dyDescent="0.35">
      <c r="M3201" s="14"/>
    </row>
    <row r="3202" spans="13:13" x14ac:dyDescent="0.35">
      <c r="M3202" s="14"/>
    </row>
    <row r="3203" spans="13:13" x14ac:dyDescent="0.35">
      <c r="M3203" s="14"/>
    </row>
    <row r="3204" spans="13:13" x14ac:dyDescent="0.35">
      <c r="M3204" s="14"/>
    </row>
    <row r="3205" spans="13:13" x14ac:dyDescent="0.35">
      <c r="M3205" s="14"/>
    </row>
    <row r="3206" spans="13:13" x14ac:dyDescent="0.35">
      <c r="M3206" s="14"/>
    </row>
    <row r="3207" spans="13:13" x14ac:dyDescent="0.35">
      <c r="M3207" s="14"/>
    </row>
    <row r="3208" spans="13:13" x14ac:dyDescent="0.35">
      <c r="M3208" s="14"/>
    </row>
    <row r="3209" spans="13:13" x14ac:dyDescent="0.35">
      <c r="M3209" s="14"/>
    </row>
    <row r="3210" spans="13:13" x14ac:dyDescent="0.35">
      <c r="M3210" s="14"/>
    </row>
    <row r="3211" spans="13:13" x14ac:dyDescent="0.35">
      <c r="M3211" s="14"/>
    </row>
    <row r="3212" spans="13:13" x14ac:dyDescent="0.35">
      <c r="M3212" s="14"/>
    </row>
    <row r="3213" spans="13:13" x14ac:dyDescent="0.35">
      <c r="M3213" s="14"/>
    </row>
    <row r="3214" spans="13:13" x14ac:dyDescent="0.35">
      <c r="M3214" s="14"/>
    </row>
    <row r="3215" spans="13:13" x14ac:dyDescent="0.35">
      <c r="M3215" s="14"/>
    </row>
    <row r="3216" spans="13:13" x14ac:dyDescent="0.35">
      <c r="M3216" s="14"/>
    </row>
    <row r="3217" spans="13:13" x14ac:dyDescent="0.35">
      <c r="M3217" s="14"/>
    </row>
    <row r="3218" spans="13:13" x14ac:dyDescent="0.35">
      <c r="M3218" s="14"/>
    </row>
    <row r="3219" spans="13:13" x14ac:dyDescent="0.35">
      <c r="M3219" s="14"/>
    </row>
    <row r="3220" spans="13:13" x14ac:dyDescent="0.35">
      <c r="M3220" s="14"/>
    </row>
    <row r="3221" spans="13:13" x14ac:dyDescent="0.35">
      <c r="M3221" s="14"/>
    </row>
    <row r="3222" spans="13:13" x14ac:dyDescent="0.35">
      <c r="M3222" s="14"/>
    </row>
    <row r="3223" spans="13:13" x14ac:dyDescent="0.35">
      <c r="M3223" s="14"/>
    </row>
    <row r="3224" spans="13:13" x14ac:dyDescent="0.35">
      <c r="M3224" s="14"/>
    </row>
    <row r="3225" spans="13:13" x14ac:dyDescent="0.35">
      <c r="M3225" s="14"/>
    </row>
    <row r="3226" spans="13:13" x14ac:dyDescent="0.35">
      <c r="M3226" s="14"/>
    </row>
    <row r="3227" spans="13:13" x14ac:dyDescent="0.35">
      <c r="M3227" s="14"/>
    </row>
    <row r="3228" spans="13:13" x14ac:dyDescent="0.35">
      <c r="M3228" s="14"/>
    </row>
    <row r="3229" spans="13:13" x14ac:dyDescent="0.35">
      <c r="M3229" s="14"/>
    </row>
    <row r="3230" spans="13:13" x14ac:dyDescent="0.35">
      <c r="M3230" s="14"/>
    </row>
    <row r="3231" spans="13:13" x14ac:dyDescent="0.35">
      <c r="M3231" s="14"/>
    </row>
    <row r="3232" spans="13:13" x14ac:dyDescent="0.35">
      <c r="M3232" s="14"/>
    </row>
    <row r="3233" spans="13:13" x14ac:dyDescent="0.35">
      <c r="M3233" s="14"/>
    </row>
    <row r="3234" spans="13:13" x14ac:dyDescent="0.35">
      <c r="M3234" s="14"/>
    </row>
    <row r="3235" spans="13:13" x14ac:dyDescent="0.35">
      <c r="M3235" s="14"/>
    </row>
    <row r="3236" spans="13:13" x14ac:dyDescent="0.35">
      <c r="M3236" s="14"/>
    </row>
    <row r="3237" spans="13:13" x14ac:dyDescent="0.35">
      <c r="M3237" s="14"/>
    </row>
    <row r="3238" spans="13:13" x14ac:dyDescent="0.35">
      <c r="M3238" s="14"/>
    </row>
    <row r="3239" spans="13:13" x14ac:dyDescent="0.35">
      <c r="M3239" s="14"/>
    </row>
    <row r="3240" spans="13:13" x14ac:dyDescent="0.35">
      <c r="M3240" s="14"/>
    </row>
    <row r="3241" spans="13:13" x14ac:dyDescent="0.35">
      <c r="M3241" s="14"/>
    </row>
    <row r="3242" spans="13:13" x14ac:dyDescent="0.35">
      <c r="M3242" s="14"/>
    </row>
    <row r="3243" spans="13:13" x14ac:dyDescent="0.35">
      <c r="M3243" s="14"/>
    </row>
    <row r="3244" spans="13:13" x14ac:dyDescent="0.35">
      <c r="M3244" s="14"/>
    </row>
    <row r="3245" spans="13:13" x14ac:dyDescent="0.35">
      <c r="M3245" s="14"/>
    </row>
    <row r="3246" spans="13:13" x14ac:dyDescent="0.35">
      <c r="M3246" s="14"/>
    </row>
    <row r="3247" spans="13:13" x14ac:dyDescent="0.35">
      <c r="M3247" s="14"/>
    </row>
    <row r="3248" spans="13:13" x14ac:dyDescent="0.35">
      <c r="M3248" s="14"/>
    </row>
    <row r="3249" spans="13:13" x14ac:dyDescent="0.35">
      <c r="M3249" s="14"/>
    </row>
    <row r="3250" spans="13:13" x14ac:dyDescent="0.35">
      <c r="M3250" s="14"/>
    </row>
    <row r="3251" spans="13:13" x14ac:dyDescent="0.35">
      <c r="M3251" s="14"/>
    </row>
    <row r="3252" spans="13:13" x14ac:dyDescent="0.35">
      <c r="M3252" s="14"/>
    </row>
  </sheetData>
  <autoFilter ref="A3:CT55" xr:uid="{00000000-0001-0000-0200-000000000000}"/>
  <mergeCells count="18">
    <mergeCell ref="C39:C55"/>
    <mergeCell ref="C13:C17"/>
    <mergeCell ref="C18:C23"/>
    <mergeCell ref="C26:C28"/>
    <mergeCell ref="C30:C32"/>
    <mergeCell ref="C37:C38"/>
    <mergeCell ref="C33:C35"/>
    <mergeCell ref="H37:H38"/>
    <mergeCell ref="H26:H28"/>
    <mergeCell ref="H42:H44"/>
    <mergeCell ref="H50:H52"/>
    <mergeCell ref="D1:Q1"/>
    <mergeCell ref="H14:H17"/>
    <mergeCell ref="I2:L2"/>
    <mergeCell ref="M2:O2"/>
    <mergeCell ref="H19:H23"/>
    <mergeCell ref="H31:H32"/>
    <mergeCell ref="H33:H35"/>
  </mergeCells>
  <phoneticPr fontId="31" type="noConversion"/>
  <conditionalFormatting sqref="R3">
    <cfRule type="iconSet" priority="6454">
      <iconSet iconSet="5Rating">
        <cfvo type="percent" val="0"/>
        <cfvo type="percent" val="20"/>
        <cfvo type="percent" val="40"/>
        <cfvo type="percent" val="60"/>
        <cfvo type="percent" val="80"/>
      </iconSet>
    </cfRule>
    <cfRule type="iconSet" priority="6455">
      <iconSet iconSet="4Rating">
        <cfvo type="percent" val="0"/>
        <cfvo type="percent" val="25"/>
        <cfvo type="percent" val="50"/>
        <cfvo type="percent" val="75"/>
      </iconSet>
    </cfRule>
    <cfRule type="iconSet" priority="6456">
      <iconSet iconSet="5Rating">
        <cfvo type="percent" val="0"/>
        <cfvo type="percent" val="20"/>
        <cfvo type="percent" val="40"/>
        <cfvo type="percent" val="60"/>
        <cfvo type="percent" val="80"/>
      </iconSet>
    </cfRule>
  </conditionalFormatting>
  <conditionalFormatting sqref="R4:R1048576 R1">
    <cfRule type="containsText" dxfId="105" priority="6995" operator="containsText" text="RILASCIATO IN ESERCIZIO">
      <formula>NOT(ISERROR(SEARCH("RILASCIATO IN ESERCIZIO",R1)))</formula>
    </cfRule>
  </conditionalFormatting>
  <conditionalFormatting sqref="R5:R9 R11:R33 R36:R39 R48:R1048576">
    <cfRule type="containsText" dxfId="104" priority="13532" operator="containsText" text="RILASCIATO IN COLLAUDO">
      <formula>NOT(ISERROR(SEARCH("RILASCIATO IN COLLAUDO",R5)))</formula>
    </cfRule>
  </conditionalFormatting>
  <conditionalFormatting sqref="R14">
    <cfRule type="containsText" dxfId="103" priority="42" operator="containsText" text="RILASCIATO IN COLLAUDO">
      <formula>NOT(ISERROR(SEARCH("RILASCIATO IN COLLAUDO",#REF!)))</formula>
    </cfRule>
    <cfRule type="cellIs" dxfId="102" priority="43" operator="equal">
      <formula>"IN CORSO"</formula>
    </cfRule>
    <cfRule type="cellIs" dxfId="101" priority="44" operator="equal">
      <formula>"PIANIFICATO"</formula>
    </cfRule>
    <cfRule type="cellIs" dxfId="100" priority="45" operator="equal">
      <formula>"COMPLETATO"</formula>
    </cfRule>
    <cfRule type="cellIs" dxfId="99" priority="46" operator="equal">
      <formula>"DA RIPIANIFICARE"</formula>
    </cfRule>
    <cfRule type="cellIs" dxfId="98" priority="47" operator="equal">
      <formula>"CANCELLATO"</formula>
    </cfRule>
    <cfRule type="containsText" dxfId="97" priority="48" operator="containsText" text="RILASCIATO IN COLLAUDO">
      <formula>NOT(ISERROR(SEARCH("RILASCIATO IN COLLAUDO",#REF!)))</formula>
    </cfRule>
  </conditionalFormatting>
  <conditionalFormatting sqref="R14:R17">
    <cfRule type="containsText" dxfId="96" priority="23" operator="containsText" text="RILASCIATO IN COLLAUDO">
      <formula>NOT(ISERROR(SEARCH("RILASCIATO IN COLLAUDO",R14)))</formula>
    </cfRule>
    <cfRule type="cellIs" dxfId="95" priority="30" operator="equal">
      <formula>"IN CORSO"</formula>
    </cfRule>
    <cfRule type="cellIs" dxfId="94" priority="31" operator="equal">
      <formula>"PIANIFICATO"</formula>
    </cfRule>
    <cfRule type="cellIs" dxfId="93" priority="32" operator="equal">
      <formula>"COMPLETATO"</formula>
    </cfRule>
    <cfRule type="cellIs" dxfId="92" priority="33" operator="equal">
      <formula>"DA RIPIANIFICARE"</formula>
    </cfRule>
    <cfRule type="cellIs" dxfId="91" priority="34" operator="equal">
      <formula>"CANCELLATO"</formula>
    </cfRule>
  </conditionalFormatting>
  <conditionalFormatting sqref="R15">
    <cfRule type="cellIs" dxfId="90" priority="24" operator="equal">
      <formula>"IN CORSO"</formula>
    </cfRule>
    <cfRule type="cellIs" dxfId="89" priority="25" operator="equal">
      <formula>"PIANIFICATO"</formula>
    </cfRule>
    <cfRule type="cellIs" dxfId="88" priority="26" operator="equal">
      <formula>"COMPLETATO"</formula>
    </cfRule>
    <cfRule type="cellIs" dxfId="87" priority="27" operator="equal">
      <formula>"DA RIPIANIFICARE"</formula>
    </cfRule>
    <cfRule type="cellIs" dxfId="86" priority="28" operator="equal">
      <formula>"CANCELLATO"</formula>
    </cfRule>
    <cfRule type="containsText" dxfId="85" priority="29" operator="containsText" text="RILASCIATO IN COLLAUDO">
      <formula>NOT(ISERROR(SEARCH("RILASCIATO IN COLLAUDO",#REF!)))</formula>
    </cfRule>
    <cfRule type="containsText" dxfId="84" priority="35" operator="containsText" text="RILASCIATO IN COLLAUDO">
      <formula>NOT(ISERROR(SEARCH("RILASCIATO IN COLLAUDO",#REF!)))</formula>
    </cfRule>
  </conditionalFormatting>
  <conditionalFormatting sqref="R16:R17">
    <cfRule type="containsText" dxfId="83" priority="55" operator="containsText" text="RILASCIATO IN COLLAUDO">
      <formula>NOT(ISERROR(SEARCH("RILASCIATO IN COLLAUDO",#REF!)))</formula>
    </cfRule>
    <cfRule type="cellIs" dxfId="82" priority="56" operator="equal">
      <formula>"IN CORSO"</formula>
    </cfRule>
    <cfRule type="cellIs" dxfId="81" priority="57" operator="equal">
      <formula>"PIANIFICATO"</formula>
    </cfRule>
    <cfRule type="cellIs" dxfId="80" priority="58" operator="equal">
      <formula>"COMPLETATO"</formula>
    </cfRule>
    <cfRule type="cellIs" dxfId="79" priority="59" operator="equal">
      <formula>"DA RIPIANIFICARE"</formula>
    </cfRule>
    <cfRule type="cellIs" dxfId="78" priority="60" operator="equal">
      <formula>"CANCELLATO"</formula>
    </cfRule>
    <cfRule type="containsText" dxfId="77" priority="61" operator="containsText" text="RILASCIATO IN COLLAUDO">
      <formula>NOT(ISERROR(SEARCH("RILASCIATO IN COLLAUDO",#REF!)))</formula>
    </cfRule>
  </conditionalFormatting>
  <conditionalFormatting sqref="R23:R24">
    <cfRule type="containsText" dxfId="76" priority="91" operator="containsText" text="RILASCIATO IN COLLAUDO">
      <formula>NOT(ISERROR(SEARCH("RILASCIATO IN COLLAUDO",R23)))</formula>
    </cfRule>
    <cfRule type="cellIs" dxfId="75" priority="93" operator="equal">
      <formula>"IN CORSO"</formula>
    </cfRule>
    <cfRule type="cellIs" dxfId="74" priority="94" operator="equal">
      <formula>"PIANIFICATO"</formula>
    </cfRule>
    <cfRule type="cellIs" dxfId="73" priority="95" operator="equal">
      <formula>"COMPLETATO"</formula>
    </cfRule>
    <cfRule type="cellIs" dxfId="72" priority="96" operator="equal">
      <formula>"DA RIPIANIFICARE"</formula>
    </cfRule>
    <cfRule type="cellIs" dxfId="71" priority="97" operator="equal">
      <formula>"CANCELLATO"</formula>
    </cfRule>
    <cfRule type="containsText" dxfId="70" priority="98" operator="containsText" text="RILASCIATO IN COLLAUDO">
      <formula>NOT(ISERROR(SEARCH("RILASCIATO IN COLLAUDO",#REF!)))</formula>
    </cfRule>
    <cfRule type="cellIs" dxfId="69" priority="99" operator="equal">
      <formula>"IN CORSO"</formula>
    </cfRule>
    <cfRule type="cellIs" dxfId="68" priority="100" operator="equal">
      <formula>"PIANIFICATO"</formula>
    </cfRule>
    <cfRule type="cellIs" dxfId="67" priority="101" operator="equal">
      <formula>"COMPLETATO"</formula>
    </cfRule>
    <cfRule type="cellIs" dxfId="66" priority="102" operator="equal">
      <formula>"DA RIPIANIFICARE"</formula>
    </cfRule>
    <cfRule type="cellIs" dxfId="65" priority="103" operator="equal">
      <formula>"CANCELLATO"</formula>
    </cfRule>
    <cfRule type="containsText" dxfId="64" priority="104" operator="containsText" text="RILASCIATO IN COLLAUDO">
      <formula>NOT(ISERROR(SEARCH("RILASCIATO IN COLLAUDO",#REF!)))</formula>
    </cfRule>
  </conditionalFormatting>
  <conditionalFormatting sqref="R27:R28">
    <cfRule type="containsText" dxfId="63" priority="77" operator="containsText" text="RILASCIATO IN COLLAUDO">
      <formula>NOT(ISERROR(SEARCH("RILASCIATO IN COLLAUDO",R27)))</formula>
    </cfRule>
    <cfRule type="cellIs" dxfId="62" priority="79" operator="equal">
      <formula>"IN CORSO"</formula>
    </cfRule>
    <cfRule type="cellIs" dxfId="61" priority="80" operator="equal">
      <formula>"PIANIFICATO"</formula>
    </cfRule>
    <cfRule type="cellIs" dxfId="60" priority="81" operator="equal">
      <formula>"COMPLETATO"</formula>
    </cfRule>
    <cfRule type="cellIs" dxfId="59" priority="82" operator="equal">
      <formula>"DA RIPIANIFICARE"</formula>
    </cfRule>
    <cfRule type="cellIs" dxfId="58" priority="83" operator="equal">
      <formula>"CANCELLATO"</formula>
    </cfRule>
    <cfRule type="containsText" dxfId="57" priority="84" operator="containsText" text="RILASCIATO IN COLLAUDO">
      <formula>NOT(ISERROR(SEARCH("RILASCIATO IN COLLAUDO",#REF!)))</formula>
    </cfRule>
    <cfRule type="cellIs" dxfId="56" priority="85" operator="equal">
      <formula>"IN CORSO"</formula>
    </cfRule>
    <cfRule type="cellIs" dxfId="55" priority="86" operator="equal">
      <formula>"PIANIFICATO"</formula>
    </cfRule>
    <cfRule type="cellIs" dxfId="54" priority="87" operator="equal">
      <formula>"COMPLETATO"</formula>
    </cfRule>
    <cfRule type="cellIs" dxfId="53" priority="88" operator="equal">
      <formula>"DA RIPIANIFICARE"</formula>
    </cfRule>
    <cfRule type="cellIs" dxfId="52" priority="89" operator="equal">
      <formula>"CANCELLATO"</formula>
    </cfRule>
    <cfRule type="containsText" dxfId="51" priority="90" operator="containsText" text="RILASCIATO IN COLLAUDO">
      <formula>NOT(ISERROR(SEARCH("RILASCIATO IN COLLAUDO",#REF!)))</formula>
    </cfRule>
  </conditionalFormatting>
  <conditionalFormatting sqref="R31:R39">
    <cfRule type="containsText" dxfId="50" priority="105" operator="containsText" text="RILASCIATO IN COLLAUDO">
      <formula>NOT(ISERROR(SEARCH("RILASCIATO IN COLLAUDO",R31)))</formula>
    </cfRule>
    <cfRule type="cellIs" dxfId="49" priority="110" operator="equal">
      <formula>"IN CORSO"</formula>
    </cfRule>
    <cfRule type="cellIs" dxfId="48" priority="111" operator="equal">
      <formula>"PIANIFICATO"</formula>
    </cfRule>
    <cfRule type="cellIs" dxfId="47" priority="112" operator="equal">
      <formula>"COMPLETATO"</formula>
    </cfRule>
    <cfRule type="cellIs" dxfId="46" priority="113" operator="equal">
      <formula>"DA RIPIANIFICARE"</formula>
    </cfRule>
    <cfRule type="cellIs" dxfId="45" priority="114" operator="equal">
      <formula>"CANCELLATO"</formula>
    </cfRule>
    <cfRule type="containsText" dxfId="44" priority="115" operator="containsText" text="RILASCIATO IN COLLAUDO">
      <formula>NOT(ISERROR(SEARCH("RILASCIATO IN COLLAUDO",#REF!)))</formula>
    </cfRule>
    <cfRule type="cellIs" dxfId="43" priority="116" operator="equal">
      <formula>"IN CORSO"</formula>
    </cfRule>
    <cfRule type="cellIs" dxfId="42" priority="117" operator="equal">
      <formula>"PIANIFICATO"</formula>
    </cfRule>
    <cfRule type="cellIs" dxfId="41" priority="118" operator="equal">
      <formula>"COMPLETATO"</formula>
    </cfRule>
    <cfRule type="cellIs" dxfId="40" priority="119" operator="equal">
      <formula>"DA RIPIANIFICARE"</formula>
    </cfRule>
    <cfRule type="cellIs" dxfId="39" priority="120" operator="equal">
      <formula>"CANCELLATO"</formula>
    </cfRule>
    <cfRule type="containsText" dxfId="38" priority="121" operator="containsText" text="RILASCIATO IN COLLAUDO">
      <formula>NOT(ISERROR(SEARCH("RILASCIATO IN COLLAUDO",#REF!)))</formula>
    </cfRule>
  </conditionalFormatting>
  <conditionalFormatting sqref="R35:R39">
    <cfRule type="containsText" dxfId="37" priority="109" operator="containsText" text="RILASCIATO IN COLLAUDO">
      <formula>NOT(ISERROR(SEARCH("RILASCIATO IN COLLAUDO",#REF!)))</formula>
    </cfRule>
  </conditionalFormatting>
  <conditionalFormatting sqref="R39 R41:R44 R46:R55">
    <cfRule type="containsText" dxfId="36" priority="509" operator="containsText" text="RILASCIATO IN COLLAUDO">
      <formula>NOT(ISERROR(SEARCH("RILASCIATO IN COLLAUDO",#REF!)))</formula>
    </cfRule>
  </conditionalFormatting>
  <conditionalFormatting sqref="R39 R48">
    <cfRule type="containsText" dxfId="35" priority="75" operator="containsText" text="RILASCIATO IN COLLAUDO">
      <formula>NOT(ISERROR(SEARCH("RILASCIATO IN COLLAUDO",#REF!)))</formula>
    </cfRule>
  </conditionalFormatting>
  <conditionalFormatting sqref="R39:R48">
    <cfRule type="cellIs" dxfId="34" priority="369" operator="equal">
      <formula>"IN CORSO"</formula>
    </cfRule>
    <cfRule type="cellIs" dxfId="33" priority="370" operator="equal">
      <formula>"PIANIFICATO"</formula>
    </cfRule>
    <cfRule type="cellIs" dxfId="32" priority="371" operator="equal">
      <formula>"COMPLETATO"</formula>
    </cfRule>
    <cfRule type="cellIs" dxfId="31" priority="372" operator="equal">
      <formula>"DA RIPIANIFICARE"</formula>
    </cfRule>
    <cfRule type="cellIs" dxfId="30" priority="373" operator="equal">
      <formula>"CANCELLATO"</formula>
    </cfRule>
  </conditionalFormatting>
  <conditionalFormatting sqref="R39:R55">
    <cfRule type="containsText" dxfId="29" priority="127" operator="containsText" text="RILASCIATO IN COLLAUDO">
      <formula>NOT(ISERROR(SEARCH("RILASCIATO IN COLLAUDO",#REF!)))</formula>
    </cfRule>
  </conditionalFormatting>
  <conditionalFormatting sqref="R45">
    <cfRule type="containsText" dxfId="28" priority="8" operator="containsText" text="RILASCIATO IN COLLAUDO">
      <formula>NOT(ISERROR(SEARCH("RILASCIATO IN COLLAUDO",R45)))</formula>
    </cfRule>
    <cfRule type="containsText" dxfId="27" priority="9" operator="containsText" text="RILASCIATO IN COLLAUDO">
      <formula>NOT(ISERROR(SEARCH("RILASCIATO IN COLLAUDO",#REF!)))</formula>
    </cfRule>
    <cfRule type="cellIs" dxfId="26" priority="10" operator="equal">
      <formula>"IN CORSO"</formula>
    </cfRule>
    <cfRule type="cellIs" dxfId="25" priority="11" operator="equal">
      <formula>"PIANIFICATO"</formula>
    </cfRule>
    <cfRule type="cellIs" dxfId="24" priority="12" operator="equal">
      <formula>"COMPLETATO"</formula>
    </cfRule>
    <cfRule type="cellIs" dxfId="23" priority="13" operator="equal">
      <formula>"DA RIPIANIFICARE"</formula>
    </cfRule>
    <cfRule type="cellIs" dxfId="22" priority="14" operator="equal">
      <formula>"CANCELLATO"</formula>
    </cfRule>
    <cfRule type="containsText" dxfId="21" priority="15" operator="containsText" text="RILASCIATO IN COLLAUDO">
      <formula>NOT(ISERROR(SEARCH("RILASCIATO IN COLLAUDO",#REF!)))</formula>
    </cfRule>
    <cfRule type="cellIs" dxfId="20" priority="16" operator="equal">
      <formula>"IN CORSO"</formula>
    </cfRule>
    <cfRule type="cellIs" dxfId="19" priority="17" operator="equal">
      <formula>"PIANIFICATO"</formula>
    </cfRule>
    <cfRule type="cellIs" dxfId="18" priority="18" operator="equal">
      <formula>"COMPLETATO"</formula>
    </cfRule>
    <cfRule type="cellIs" dxfId="17" priority="19" operator="equal">
      <formula>"DA RIPIANIFICARE"</formula>
    </cfRule>
    <cfRule type="cellIs" dxfId="16" priority="20" operator="equal">
      <formula>"CANCELLATO"</formula>
    </cfRule>
    <cfRule type="containsText" dxfId="15" priority="21" operator="containsText" text="RILASCIATO IN COLLAUDO">
      <formula>NOT(ISERROR(SEARCH("RILASCIATO IN COLLAUDO",#REF!)))</formula>
    </cfRule>
    <cfRule type="containsText" dxfId="14" priority="22" operator="containsText" text="RILASCIATO IN COLLAUDO">
      <formula>NOT(ISERROR(SEARCH("RILASCIATO IN COLLAUDO",R45)))</formula>
    </cfRule>
  </conditionalFormatting>
  <conditionalFormatting sqref="R47">
    <cfRule type="containsText" dxfId="13" priority="76" operator="containsText" text="RILASCIATO IN COLLAUDO">
      <formula>NOT(ISERROR(SEARCH("RILASCIATO IN COLLAUDO",#REF!)))</formula>
    </cfRule>
  </conditionalFormatting>
  <conditionalFormatting sqref="R50:R55">
    <cfRule type="containsText" dxfId="12" priority="62" operator="containsText" text="RILASCIATO IN COLLAUDO">
      <formula>NOT(ISERROR(SEARCH("RILASCIATO IN COLLAUDO",#REF!)))</formula>
    </cfRule>
    <cfRule type="cellIs" dxfId="11" priority="63" operator="equal">
      <formula>"IN CORSO"</formula>
    </cfRule>
    <cfRule type="cellIs" dxfId="10" priority="64" operator="equal">
      <formula>"PIANIFICATO"</formula>
    </cfRule>
    <cfRule type="cellIs" dxfId="9" priority="65" operator="equal">
      <formula>"COMPLETATO"</formula>
    </cfRule>
    <cfRule type="cellIs" dxfId="8" priority="66" operator="equal">
      <formula>"DA RIPIANIFICARE"</formula>
    </cfRule>
    <cfRule type="cellIs" dxfId="7" priority="67" operator="equal">
      <formula>"CANCELLATO"</formula>
    </cfRule>
  </conditionalFormatting>
  <conditionalFormatting sqref="R53:R55">
    <cfRule type="containsText" dxfId="6" priority="1" operator="containsText" text="RILASCIATO IN COLLAUDO">
      <formula>NOT(ISERROR(SEARCH("RILASCIATO IN COLLAUDO",#REF!)))</formula>
    </cfRule>
    <cfRule type="containsText" dxfId="5" priority="2" operator="containsText" text="RILASCIATO IN COLLAUDO">
      <formula>NOT(ISERROR(SEARCH("RILASCIATO IN COLLAUDO",#REF!)))</formula>
    </cfRule>
    <cfRule type="cellIs" dxfId="4" priority="3" operator="equal">
      <formula>"IN CORSO"</formula>
    </cfRule>
    <cfRule type="cellIs" dxfId="3" priority="4" operator="equal">
      <formula>"PIANIFICATO"</formula>
    </cfRule>
    <cfRule type="cellIs" dxfId="2" priority="5" operator="equal">
      <formula>"COMPLETATO"</formula>
    </cfRule>
    <cfRule type="cellIs" dxfId="1" priority="6" operator="equal">
      <formula>"DA RIPIANIFICARE"</formula>
    </cfRule>
    <cfRule type="cellIs" dxfId="0" priority="7" operator="equal">
      <formula>"CANCELLATO"</formula>
    </cfRule>
  </conditionalFormatting>
  <conditionalFormatting sqref="T1 T3:T1048576">
    <cfRule type="iconSet" priority="17442">
      <iconSet iconSet="4Rating">
        <cfvo type="percent" val="0"/>
        <cfvo type="percent" val="25"/>
        <cfvo type="percent" val="50"/>
        <cfvo type="percent" val="75"/>
      </iconSet>
    </cfRule>
    <cfRule type="iconSet" priority="17443">
      <iconSet iconSet="5Rating">
        <cfvo type="percent" val="0"/>
        <cfvo type="percent" val="20"/>
        <cfvo type="percent" val="40"/>
        <cfvo type="percent" val="60"/>
        <cfvo type="percent" val="80"/>
      </iconSet>
    </cfRule>
  </conditionalFormatting>
  <conditionalFormatting sqref="T49:T1048576 T1 T3:T9 T11:T38 T40:T47">
    <cfRule type="iconSet" priority="17423">
      <iconSet iconSet="5Rating">
        <cfvo type="percent" val="0"/>
        <cfvo type="percent" val="20"/>
        <cfvo type="percent" val="40"/>
        <cfvo type="percent" val="60"/>
        <cfvo type="percent" val="80"/>
      </iconSet>
    </cfRule>
  </conditionalFormatting>
  <pageMargins left="0.7" right="0.7" top="0.75" bottom="0.75" header="0.3" footer="0.3"/>
  <pageSetup paperSize="9" orientation="portrait" horizontalDpi="90" verticalDpi="90" r:id="rId1"/>
  <headerFooter>
    <oddFooter>&amp;C&amp;1#&amp;"Calibri"&amp;10&amp;K000000Company General Use</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0000000}">
          <x14:formula1>
            <xm:f>'Valori per liste a discesa'!$C$2:$C$12</xm:f>
          </x14:formula1>
          <xm:sqref>R1 R4:R1048576</xm:sqref>
        </x14:dataValidation>
        <x14:dataValidation type="list" allowBlank="1" showInputMessage="1" showErrorMessage="1" xr:uid="{9E8DECF3-A306-4D37-BACB-1205812C0A0A}">
          <x14:formula1>
            <xm:f>Legende!$A$9:$A$14</xm:f>
          </x14:formula1>
          <xm:sqref>N4:N55</xm:sqref>
        </x14:dataValidation>
        <x14:dataValidation type="list" allowBlank="1" showInputMessage="1" showErrorMessage="1" xr:uid="{EDAE1A4D-DA9E-403B-A274-1E15EC12F351}">
          <x14:formula1>
            <xm:f>Legende!$A$17:$A$26</xm:f>
          </x14:formula1>
          <xm:sqref>O4:O55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H12"/>
  <sheetViews>
    <sheetView zoomScale="70" workbookViewId="0">
      <selection activeCell="H38" sqref="H38"/>
    </sheetView>
  </sheetViews>
  <sheetFormatPr defaultColWidth="19.42578125" defaultRowHeight="15.75" x14ac:dyDescent="0.25"/>
  <cols>
    <col min="3" max="7" width="38.85546875" style="11" customWidth="1"/>
    <col min="8" max="8" width="35.42578125" bestFit="1" customWidth="1"/>
  </cols>
  <sheetData>
    <row r="1" spans="3:8" x14ac:dyDescent="0.25">
      <c r="C1" s="20" t="s">
        <v>30</v>
      </c>
      <c r="D1" s="20" t="s">
        <v>31</v>
      </c>
      <c r="E1" s="21" t="s">
        <v>32</v>
      </c>
      <c r="F1" s="22" t="s">
        <v>33</v>
      </c>
      <c r="G1" s="20" t="s">
        <v>34</v>
      </c>
      <c r="H1" s="20" t="s">
        <v>12</v>
      </c>
    </row>
    <row r="2" spans="3:8" x14ac:dyDescent="0.25">
      <c r="C2" s="23" t="s">
        <v>35</v>
      </c>
      <c r="D2" s="24" t="s">
        <v>36</v>
      </c>
      <c r="E2" s="24"/>
      <c r="F2" s="17"/>
      <c r="G2" s="24" t="s">
        <v>37</v>
      </c>
      <c r="H2" s="16" t="s">
        <v>38</v>
      </c>
    </row>
    <row r="3" spans="3:8" x14ac:dyDescent="0.25">
      <c r="C3" s="23" t="s">
        <v>22</v>
      </c>
      <c r="D3" s="24" t="s">
        <v>39</v>
      </c>
      <c r="E3" s="24"/>
      <c r="F3" s="25"/>
      <c r="G3" s="24" t="s">
        <v>40</v>
      </c>
      <c r="H3" s="16"/>
    </row>
    <row r="4" spans="3:8" x14ac:dyDescent="0.25">
      <c r="C4" s="23" t="s">
        <v>23</v>
      </c>
      <c r="D4" s="24" t="s">
        <v>41</v>
      </c>
      <c r="E4" s="24"/>
      <c r="F4" s="17"/>
      <c r="G4" s="12"/>
      <c r="H4" s="16"/>
    </row>
    <row r="5" spans="3:8" x14ac:dyDescent="0.25">
      <c r="C5" s="23" t="s">
        <v>26</v>
      </c>
      <c r="D5" s="24"/>
      <c r="E5" s="24"/>
      <c r="F5" s="17"/>
      <c r="G5" s="12"/>
      <c r="H5" s="16"/>
    </row>
    <row r="6" spans="3:8" x14ac:dyDescent="0.25">
      <c r="C6" s="23" t="s">
        <v>42</v>
      </c>
      <c r="D6" s="24"/>
      <c r="E6" s="24"/>
      <c r="F6" s="17"/>
      <c r="G6" s="12"/>
      <c r="H6" s="16"/>
    </row>
    <row r="7" spans="3:8" ht="31.5" x14ac:dyDescent="0.25">
      <c r="C7" s="23" t="s">
        <v>43</v>
      </c>
      <c r="D7" s="24"/>
      <c r="E7" s="24"/>
      <c r="F7" s="17"/>
      <c r="G7" s="12"/>
      <c r="H7" s="16"/>
    </row>
    <row r="8" spans="3:8" x14ac:dyDescent="0.25">
      <c r="C8" s="23" t="s">
        <v>44</v>
      </c>
      <c r="D8" s="12"/>
      <c r="E8" s="24"/>
      <c r="F8" s="17"/>
      <c r="G8" s="12"/>
      <c r="H8" s="16"/>
    </row>
    <row r="9" spans="3:8" x14ac:dyDescent="0.25">
      <c r="C9" s="23" t="s">
        <v>18</v>
      </c>
      <c r="D9" s="12"/>
      <c r="E9" s="24"/>
      <c r="F9" s="17"/>
      <c r="G9" s="12"/>
      <c r="H9" s="16"/>
    </row>
    <row r="10" spans="3:8" x14ac:dyDescent="0.25">
      <c r="C10" s="23" t="s">
        <v>45</v>
      </c>
      <c r="D10" s="12"/>
      <c r="E10" s="24"/>
      <c r="F10" s="17"/>
      <c r="G10" s="12"/>
      <c r="H10" s="16"/>
    </row>
    <row r="11" spans="3:8" x14ac:dyDescent="0.25">
      <c r="C11" s="23" t="s">
        <v>46</v>
      </c>
      <c r="D11" s="12"/>
      <c r="E11" s="24"/>
      <c r="F11" s="17"/>
      <c r="G11" s="12"/>
      <c r="H11" s="16"/>
    </row>
    <row r="12" spans="3:8" x14ac:dyDescent="0.25">
      <c r="C12" s="23" t="s">
        <v>21</v>
      </c>
      <c r="D12" s="12"/>
      <c r="E12" s="12"/>
      <c r="F12" s="17"/>
      <c r="G12" s="12"/>
      <c r="H12" s="16"/>
    </row>
  </sheetData>
  <sheetProtection algorithmName="SHA-512" hashValue="PZJUpa8r4HqhmbvTInu7lo0oXmwzhKBHEKoqIilrpF5H2shpuKxKpAM9xtp7XcRQxHJfpW9Y6V9HTdfmOiEQ2g==" saltValue="8hPaKTEey6KKtWTholTqDw==" spinCount="100000" sheet="1" objects="1" scenarios="1"/>
  <pageMargins left="0.7" right="0.7" top="0.75" bottom="0.75" header="0.3" footer="0.3"/>
  <pageSetup paperSize="9" orientation="portrait" horizontalDpi="90" verticalDpi="90" r:id="rId1"/>
  <headerFooter>
    <oddFooter>&amp;C&amp;1#&amp;"Calibri"&amp;10&amp;K000000Company General Use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9"/>
  <sheetViews>
    <sheetView zoomScale="80" workbookViewId="0">
      <pane ySplit="1" topLeftCell="A2" activePane="bottomLeft" state="frozen"/>
      <selection pane="bottomLeft"/>
    </sheetView>
  </sheetViews>
  <sheetFormatPr defaultColWidth="8.5703125" defaultRowHeight="15" x14ac:dyDescent="0.25"/>
  <cols>
    <col min="1" max="1" width="11.42578125" customWidth="1"/>
    <col min="2" max="2" width="152.85546875" bestFit="1" customWidth="1"/>
  </cols>
  <sheetData>
    <row r="1" spans="1:2" ht="45" x14ac:dyDescent="0.25">
      <c r="A1" s="26" t="s">
        <v>47</v>
      </c>
      <c r="B1" s="27" t="s">
        <v>48</v>
      </c>
    </row>
    <row r="2" spans="1:2" x14ac:dyDescent="0.25">
      <c r="A2" s="28" t="s">
        <v>49</v>
      </c>
      <c r="B2" s="16" t="s">
        <v>50</v>
      </c>
    </row>
    <row r="3" spans="1:2" x14ac:dyDescent="0.25">
      <c r="A3" s="28" t="s">
        <v>51</v>
      </c>
      <c r="B3" s="16" t="s">
        <v>52</v>
      </c>
    </row>
    <row r="4" spans="1:2" x14ac:dyDescent="0.25">
      <c r="A4" s="28" t="s">
        <v>53</v>
      </c>
      <c r="B4" s="16" t="s">
        <v>54</v>
      </c>
    </row>
    <row r="5" spans="1:2" x14ac:dyDescent="0.25">
      <c r="A5" s="28" t="s">
        <v>55</v>
      </c>
      <c r="B5" s="16" t="s">
        <v>56</v>
      </c>
    </row>
    <row r="6" spans="1:2" x14ac:dyDescent="0.25">
      <c r="A6" s="28" t="s">
        <v>57</v>
      </c>
      <c r="B6" s="16" t="s">
        <v>58</v>
      </c>
    </row>
    <row r="7" spans="1:2" x14ac:dyDescent="0.25">
      <c r="A7" s="28" t="s">
        <v>59</v>
      </c>
      <c r="B7" s="16" t="s">
        <v>60</v>
      </c>
    </row>
    <row r="8" spans="1:2" x14ac:dyDescent="0.25">
      <c r="A8" s="28" t="s">
        <v>61</v>
      </c>
      <c r="B8" s="16" t="s">
        <v>62</v>
      </c>
    </row>
    <row r="9" spans="1:2" x14ac:dyDescent="0.25">
      <c r="A9" s="28" t="s">
        <v>63</v>
      </c>
      <c r="B9" s="16" t="s">
        <v>64</v>
      </c>
    </row>
    <row r="10" spans="1:2" x14ac:dyDescent="0.25">
      <c r="A10" s="28" t="s">
        <v>65</v>
      </c>
      <c r="B10" s="16" t="s">
        <v>66</v>
      </c>
    </row>
    <row r="11" spans="1:2" x14ac:dyDescent="0.25">
      <c r="A11" s="28" t="s">
        <v>67</v>
      </c>
      <c r="B11" s="16" t="s">
        <v>68</v>
      </c>
    </row>
    <row r="12" spans="1:2" x14ac:dyDescent="0.25">
      <c r="A12" s="28" t="s">
        <v>69</v>
      </c>
      <c r="B12" s="16" t="s">
        <v>70</v>
      </c>
    </row>
    <row r="13" spans="1:2" x14ac:dyDescent="0.25">
      <c r="A13" s="28" t="s">
        <v>71</v>
      </c>
      <c r="B13" s="16" t="s">
        <v>72</v>
      </c>
    </row>
    <row r="14" spans="1:2" x14ac:dyDescent="0.25">
      <c r="A14" s="28" t="s">
        <v>73</v>
      </c>
      <c r="B14" s="16" t="s">
        <v>74</v>
      </c>
    </row>
    <row r="15" spans="1:2" x14ac:dyDescent="0.25">
      <c r="A15" s="29" t="s">
        <v>75</v>
      </c>
      <c r="B15" s="16" t="s">
        <v>76</v>
      </c>
    </row>
    <row r="16" spans="1:2" x14ac:dyDescent="0.25">
      <c r="A16" s="28" t="s">
        <v>77</v>
      </c>
      <c r="B16" s="16" t="s">
        <v>78</v>
      </c>
    </row>
    <row r="17" spans="1:2" x14ac:dyDescent="0.25">
      <c r="A17" s="28" t="s">
        <v>79</v>
      </c>
      <c r="B17" s="16" t="s">
        <v>80</v>
      </c>
    </row>
    <row r="18" spans="1:2" x14ac:dyDescent="0.25">
      <c r="A18" s="28" t="s">
        <v>81</v>
      </c>
      <c r="B18" s="16" t="s">
        <v>82</v>
      </c>
    </row>
    <row r="19" spans="1:2" x14ac:dyDescent="0.25">
      <c r="A19" s="28" t="s">
        <v>83</v>
      </c>
      <c r="B19" s="16" t="s">
        <v>84</v>
      </c>
    </row>
    <row r="20" spans="1:2" x14ac:dyDescent="0.25">
      <c r="A20" s="28" t="s">
        <v>85</v>
      </c>
      <c r="B20" s="30" t="s">
        <v>86</v>
      </c>
    </row>
    <row r="21" spans="1:2" x14ac:dyDescent="0.25">
      <c r="A21" s="28" t="s">
        <v>87</v>
      </c>
      <c r="B21" s="16" t="s">
        <v>88</v>
      </c>
    </row>
    <row r="22" spans="1:2" x14ac:dyDescent="0.25">
      <c r="A22" s="28" t="s">
        <v>89</v>
      </c>
      <c r="B22" s="16" t="s">
        <v>90</v>
      </c>
    </row>
    <row r="23" spans="1:2" x14ac:dyDescent="0.25">
      <c r="A23" s="28" t="s">
        <v>91</v>
      </c>
      <c r="B23" s="16" t="s">
        <v>92</v>
      </c>
    </row>
    <row r="24" spans="1:2" x14ac:dyDescent="0.25">
      <c r="A24" s="28" t="s">
        <v>93</v>
      </c>
      <c r="B24" s="31" t="s">
        <v>94</v>
      </c>
    </row>
    <row r="25" spans="1:2" x14ac:dyDescent="0.25">
      <c r="A25" s="28" t="s">
        <v>95</v>
      </c>
      <c r="B25" s="16" t="s">
        <v>96</v>
      </c>
    </row>
    <row r="26" spans="1:2" x14ac:dyDescent="0.25">
      <c r="A26" s="28" t="s">
        <v>97</v>
      </c>
      <c r="B26" s="16" t="s">
        <v>98</v>
      </c>
    </row>
    <row r="27" spans="1:2" x14ac:dyDescent="0.25">
      <c r="A27" s="28" t="s">
        <v>99</v>
      </c>
      <c r="B27" s="16" t="s">
        <v>100</v>
      </c>
    </row>
    <row r="28" spans="1:2" x14ac:dyDescent="0.25">
      <c r="A28" s="28" t="s">
        <v>101</v>
      </c>
      <c r="B28" s="31" t="s">
        <v>102</v>
      </c>
    </row>
    <row r="29" spans="1:2" x14ac:dyDescent="0.25">
      <c r="A29" s="28" t="s">
        <v>103</v>
      </c>
      <c r="B29" s="16" t="s">
        <v>104</v>
      </c>
    </row>
    <row r="30" spans="1:2" x14ac:dyDescent="0.25">
      <c r="A30" s="28" t="s">
        <v>105</v>
      </c>
      <c r="B30" s="16" t="s">
        <v>106</v>
      </c>
    </row>
    <row r="31" spans="1:2" x14ac:dyDescent="0.25">
      <c r="A31" s="28" t="s">
        <v>107</v>
      </c>
      <c r="B31" s="16" t="s">
        <v>108</v>
      </c>
    </row>
    <row r="32" spans="1:2" x14ac:dyDescent="0.25">
      <c r="A32" s="28" t="s">
        <v>109</v>
      </c>
      <c r="B32" s="16" t="s">
        <v>110</v>
      </c>
    </row>
    <row r="33" spans="1:2" x14ac:dyDescent="0.25">
      <c r="A33" s="28" t="s">
        <v>111</v>
      </c>
      <c r="B33" s="31" t="s">
        <v>112</v>
      </c>
    </row>
    <row r="34" spans="1:2" x14ac:dyDescent="0.25">
      <c r="A34" s="28" t="s">
        <v>113</v>
      </c>
      <c r="B34" s="16" t="s">
        <v>114</v>
      </c>
    </row>
    <row r="35" spans="1:2" x14ac:dyDescent="0.25">
      <c r="A35" s="28" t="s">
        <v>115</v>
      </c>
      <c r="B35" s="16" t="s">
        <v>116</v>
      </c>
    </row>
    <row r="36" spans="1:2" x14ac:dyDescent="0.25">
      <c r="A36" s="28" t="s">
        <v>117</v>
      </c>
      <c r="B36" s="16" t="s">
        <v>118</v>
      </c>
    </row>
    <row r="37" spans="1:2" x14ac:dyDescent="0.25">
      <c r="A37" s="28" t="s">
        <v>119</v>
      </c>
      <c r="B37" s="31" t="s">
        <v>120</v>
      </c>
    </row>
    <row r="38" spans="1:2" x14ac:dyDescent="0.25">
      <c r="A38" s="28" t="s">
        <v>121</v>
      </c>
      <c r="B38" s="16" t="s">
        <v>122</v>
      </c>
    </row>
    <row r="39" spans="1:2" x14ac:dyDescent="0.25">
      <c r="A39" s="28" t="s">
        <v>123</v>
      </c>
      <c r="B39" s="16" t="s">
        <v>124</v>
      </c>
    </row>
    <row r="40" spans="1:2" x14ac:dyDescent="0.25">
      <c r="A40" s="28" t="s">
        <v>125</v>
      </c>
      <c r="B40" s="16" t="s">
        <v>126</v>
      </c>
    </row>
    <row r="41" spans="1:2" x14ac:dyDescent="0.25">
      <c r="A41" s="28" t="s">
        <v>127</v>
      </c>
      <c r="B41" s="16" t="s">
        <v>128</v>
      </c>
    </row>
    <row r="42" spans="1:2" x14ac:dyDescent="0.25">
      <c r="A42" s="28" t="s">
        <v>129</v>
      </c>
      <c r="B42" s="16" t="s">
        <v>130</v>
      </c>
    </row>
    <row r="43" spans="1:2" x14ac:dyDescent="0.25">
      <c r="A43" s="28" t="s">
        <v>131</v>
      </c>
      <c r="B43" s="16" t="s">
        <v>132</v>
      </c>
    </row>
    <row r="44" spans="1:2" x14ac:dyDescent="0.25">
      <c r="A44" s="29" t="s">
        <v>133</v>
      </c>
      <c r="B44" s="30" t="s">
        <v>134</v>
      </c>
    </row>
    <row r="45" spans="1:2" x14ac:dyDescent="0.25">
      <c r="A45" s="28" t="s">
        <v>135</v>
      </c>
      <c r="B45" s="16" t="s">
        <v>136</v>
      </c>
    </row>
    <row r="46" spans="1:2" x14ac:dyDescent="0.25">
      <c r="A46" s="28" t="s">
        <v>137</v>
      </c>
      <c r="B46" s="16" t="s">
        <v>138</v>
      </c>
    </row>
    <row r="47" spans="1:2" x14ac:dyDescent="0.25">
      <c r="A47" s="28" t="s">
        <v>139</v>
      </c>
      <c r="B47" s="31" t="s">
        <v>140</v>
      </c>
    </row>
    <row r="48" spans="1:2" x14ac:dyDescent="0.25">
      <c r="A48" s="28" t="s">
        <v>141</v>
      </c>
      <c r="B48" s="16" t="s">
        <v>142</v>
      </c>
    </row>
    <row r="49" spans="1:2" x14ac:dyDescent="0.25">
      <c r="A49" s="28" t="s">
        <v>143</v>
      </c>
      <c r="B49" s="30" t="s">
        <v>144</v>
      </c>
    </row>
    <row r="50" spans="1:2" x14ac:dyDescent="0.25">
      <c r="A50" s="16" t="s">
        <v>145</v>
      </c>
      <c r="B50" s="16" t="s">
        <v>146</v>
      </c>
    </row>
    <row r="51" spans="1:2" x14ac:dyDescent="0.25">
      <c r="A51" s="16" t="s">
        <v>147</v>
      </c>
      <c r="B51" s="16" t="s">
        <v>148</v>
      </c>
    </row>
    <row r="52" spans="1:2" x14ac:dyDescent="0.25">
      <c r="A52" s="16" t="s">
        <v>149</v>
      </c>
      <c r="B52" s="16" t="s">
        <v>150</v>
      </c>
    </row>
    <row r="53" spans="1:2" x14ac:dyDescent="0.25">
      <c r="A53" s="28" t="s">
        <v>151</v>
      </c>
      <c r="B53" s="16" t="s">
        <v>152</v>
      </c>
    </row>
    <row r="54" spans="1:2" x14ac:dyDescent="0.25">
      <c r="A54" s="28" t="s">
        <v>153</v>
      </c>
      <c r="B54" s="16" t="s">
        <v>154</v>
      </c>
    </row>
    <row r="55" spans="1:2" x14ac:dyDescent="0.25">
      <c r="A55" s="28" t="s">
        <v>155</v>
      </c>
      <c r="B55" s="16" t="s">
        <v>156</v>
      </c>
    </row>
    <row r="56" spans="1:2" x14ac:dyDescent="0.25">
      <c r="A56" s="28" t="s">
        <v>157</v>
      </c>
      <c r="B56" s="16" t="s">
        <v>158</v>
      </c>
    </row>
    <row r="57" spans="1:2" x14ac:dyDescent="0.25">
      <c r="A57" s="28" t="s">
        <v>159</v>
      </c>
      <c r="B57" s="16" t="s">
        <v>160</v>
      </c>
    </row>
    <row r="58" spans="1:2" x14ac:dyDescent="0.25">
      <c r="A58" s="28" t="s">
        <v>161</v>
      </c>
      <c r="B58" s="16" t="s">
        <v>162</v>
      </c>
    </row>
    <row r="59" spans="1:2" x14ac:dyDescent="0.25">
      <c r="A59" s="28" t="s">
        <v>163</v>
      </c>
      <c r="B59" s="16" t="s">
        <v>164</v>
      </c>
    </row>
    <row r="60" spans="1:2" x14ac:dyDescent="0.25">
      <c r="A60" s="28" t="s">
        <v>165</v>
      </c>
      <c r="B60" s="16" t="s">
        <v>166</v>
      </c>
    </row>
    <row r="61" spans="1:2" x14ac:dyDescent="0.25">
      <c r="A61" s="28" t="s">
        <v>167</v>
      </c>
      <c r="B61" s="16" t="s">
        <v>168</v>
      </c>
    </row>
    <row r="62" spans="1:2" x14ac:dyDescent="0.25">
      <c r="A62" s="28" t="s">
        <v>169</v>
      </c>
      <c r="B62" s="16" t="s">
        <v>170</v>
      </c>
    </row>
    <row r="63" spans="1:2" x14ac:dyDescent="0.25">
      <c r="A63" s="28" t="s">
        <v>171</v>
      </c>
      <c r="B63" s="16" t="s">
        <v>172</v>
      </c>
    </row>
    <row r="64" spans="1:2" x14ac:dyDescent="0.25">
      <c r="A64" s="28" t="s">
        <v>173</v>
      </c>
      <c r="B64" s="16" t="s">
        <v>174</v>
      </c>
    </row>
    <row r="65" spans="1:2" x14ac:dyDescent="0.25">
      <c r="A65" s="28" t="s">
        <v>175</v>
      </c>
      <c r="B65" s="16" t="s">
        <v>176</v>
      </c>
    </row>
    <row r="66" spans="1:2" x14ac:dyDescent="0.25">
      <c r="A66" s="28" t="s">
        <v>177</v>
      </c>
      <c r="B66" s="16" t="s">
        <v>178</v>
      </c>
    </row>
    <row r="67" spans="1:2" x14ac:dyDescent="0.25">
      <c r="A67" s="28" t="s">
        <v>179</v>
      </c>
      <c r="B67" s="16" t="s">
        <v>180</v>
      </c>
    </row>
    <row r="68" spans="1:2" x14ac:dyDescent="0.25">
      <c r="A68" s="28" t="s">
        <v>181</v>
      </c>
      <c r="B68" s="16" t="s">
        <v>182</v>
      </c>
    </row>
    <row r="69" spans="1:2" x14ac:dyDescent="0.25">
      <c r="A69" s="28" t="s">
        <v>183</v>
      </c>
      <c r="B69" s="16" t="s">
        <v>184</v>
      </c>
    </row>
    <row r="70" spans="1:2" x14ac:dyDescent="0.25">
      <c r="A70" s="28" t="s">
        <v>185</v>
      </c>
      <c r="B70" s="16" t="s">
        <v>186</v>
      </c>
    </row>
    <row r="71" spans="1:2" x14ac:dyDescent="0.25">
      <c r="A71" s="28" t="s">
        <v>187</v>
      </c>
      <c r="B71" s="16" t="s">
        <v>188</v>
      </c>
    </row>
    <row r="72" spans="1:2" x14ac:dyDescent="0.25">
      <c r="A72" s="16" t="s">
        <v>189</v>
      </c>
      <c r="B72" s="16" t="s">
        <v>190</v>
      </c>
    </row>
    <row r="73" spans="1:2" x14ac:dyDescent="0.25">
      <c r="A73" s="28" t="s">
        <v>191</v>
      </c>
      <c r="B73" s="16" t="s">
        <v>192</v>
      </c>
    </row>
    <row r="74" spans="1:2" x14ac:dyDescent="0.25">
      <c r="A74" s="16" t="s">
        <v>193</v>
      </c>
      <c r="B74" s="16" t="s">
        <v>194</v>
      </c>
    </row>
    <row r="75" spans="1:2" x14ac:dyDescent="0.25">
      <c r="A75" s="28" t="s">
        <v>195</v>
      </c>
      <c r="B75" s="16" t="s">
        <v>196</v>
      </c>
    </row>
    <row r="76" spans="1:2" x14ac:dyDescent="0.25">
      <c r="A76" s="28" t="s">
        <v>197</v>
      </c>
      <c r="B76" s="16" t="s">
        <v>198</v>
      </c>
    </row>
    <row r="77" spans="1:2" x14ac:dyDescent="0.25">
      <c r="A77" s="28" t="s">
        <v>199</v>
      </c>
      <c r="B77" s="16" t="s">
        <v>200</v>
      </c>
    </row>
    <row r="78" spans="1:2" x14ac:dyDescent="0.25">
      <c r="A78" s="28" t="s">
        <v>201</v>
      </c>
      <c r="B78" s="16" t="s">
        <v>202</v>
      </c>
    </row>
    <row r="79" spans="1:2" x14ac:dyDescent="0.25">
      <c r="A79" s="28" t="s">
        <v>203</v>
      </c>
      <c r="B79" s="16" t="s">
        <v>204</v>
      </c>
    </row>
    <row r="80" spans="1:2" x14ac:dyDescent="0.25">
      <c r="A80" s="28" t="s">
        <v>205</v>
      </c>
      <c r="B80" s="16" t="s">
        <v>206</v>
      </c>
    </row>
    <row r="81" spans="1:2" x14ac:dyDescent="0.25">
      <c r="A81" s="28" t="s">
        <v>207</v>
      </c>
      <c r="B81" s="16" t="s">
        <v>208</v>
      </c>
    </row>
    <row r="82" spans="1:2" x14ac:dyDescent="0.25">
      <c r="A82" s="28" t="s">
        <v>209</v>
      </c>
      <c r="B82" s="16" t="s">
        <v>210</v>
      </c>
    </row>
    <row r="83" spans="1:2" x14ac:dyDescent="0.25">
      <c r="A83" s="28" t="s">
        <v>211</v>
      </c>
      <c r="B83" s="32" t="s">
        <v>212</v>
      </c>
    </row>
    <row r="84" spans="1:2" x14ac:dyDescent="0.25">
      <c r="A84" s="28" t="s">
        <v>213</v>
      </c>
      <c r="B84" s="33" t="s">
        <v>214</v>
      </c>
    </row>
    <row r="85" spans="1:2" x14ac:dyDescent="0.25">
      <c r="A85" s="34" t="s">
        <v>215</v>
      </c>
      <c r="B85" s="33" t="s">
        <v>216</v>
      </c>
    </row>
    <row r="86" spans="1:2" x14ac:dyDescent="0.25">
      <c r="A86" s="34" t="s">
        <v>217</v>
      </c>
      <c r="B86" s="33" t="s">
        <v>218</v>
      </c>
    </row>
    <row r="87" spans="1:2" x14ac:dyDescent="0.25">
      <c r="A87" s="34" t="s">
        <v>219</v>
      </c>
      <c r="B87" s="33" t="s">
        <v>220</v>
      </c>
    </row>
    <row r="89" spans="1:2" ht="45" x14ac:dyDescent="0.25">
      <c r="A89" s="35" t="s">
        <v>47</v>
      </c>
      <c r="B89" s="36" t="s">
        <v>221</v>
      </c>
    </row>
  </sheetData>
  <autoFilter ref="A1:B87" xr:uid="{00000000-0009-0000-0000-000004000000}"/>
  <pageMargins left="0.7" right="0.7" top="0.75" bottom="0.75" header="0.3" footer="0.3"/>
  <pageSetup paperSize="9" orientation="portrait" r:id="rId1"/>
  <headerFooter>
    <oddFooter>&amp;C&amp;1#&amp;"Calibri"&amp;10&amp;K000000Company General Use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6"/>
  <sheetViews>
    <sheetView workbookViewId="0">
      <selection activeCell="A9" sqref="A9"/>
    </sheetView>
  </sheetViews>
  <sheetFormatPr defaultRowHeight="15" x14ac:dyDescent="0.25"/>
  <cols>
    <col min="1" max="1" width="31" customWidth="1"/>
  </cols>
  <sheetData>
    <row r="1" spans="1:1" x14ac:dyDescent="0.25">
      <c r="A1" s="37" t="s">
        <v>35</v>
      </c>
    </row>
    <row r="2" spans="1:1" x14ac:dyDescent="0.25">
      <c r="A2" s="37" t="s">
        <v>22</v>
      </c>
    </row>
    <row r="3" spans="1:1" x14ac:dyDescent="0.25">
      <c r="A3" s="37" t="s">
        <v>23</v>
      </c>
    </row>
    <row r="4" spans="1:1" x14ac:dyDescent="0.25">
      <c r="A4" s="37" t="s">
        <v>26</v>
      </c>
    </row>
    <row r="5" spans="1:1" ht="30" x14ac:dyDescent="0.25">
      <c r="A5" s="37" t="s">
        <v>222</v>
      </c>
    </row>
    <row r="6" spans="1:1" x14ac:dyDescent="0.25">
      <c r="A6" s="37" t="s">
        <v>223</v>
      </c>
    </row>
    <row r="9" spans="1:1" ht="15.75" x14ac:dyDescent="0.25">
      <c r="A9" s="108"/>
    </row>
    <row r="10" spans="1:1" ht="15.75" x14ac:dyDescent="0.25">
      <c r="A10" s="108" t="s">
        <v>20</v>
      </c>
    </row>
    <row r="11" spans="1:1" x14ac:dyDescent="0.25">
      <c r="A11" s="162" t="s">
        <v>230</v>
      </c>
    </row>
    <row r="12" spans="1:1" x14ac:dyDescent="0.25">
      <c r="A12" s="162" t="s">
        <v>260</v>
      </c>
    </row>
    <row r="13" spans="1:1" x14ac:dyDescent="0.25">
      <c r="A13" t="s">
        <v>25</v>
      </c>
    </row>
    <row r="14" spans="1:1" x14ac:dyDescent="0.25">
      <c r="A14" t="s">
        <v>28</v>
      </c>
    </row>
    <row r="17" spans="1:1" x14ac:dyDescent="0.25">
      <c r="A17" s="191" t="s">
        <v>270</v>
      </c>
    </row>
    <row r="18" spans="1:1" x14ac:dyDescent="0.25">
      <c r="A18" s="191" t="s">
        <v>271</v>
      </c>
    </row>
    <row r="19" spans="1:1" x14ac:dyDescent="0.25">
      <c r="A19" s="110" t="s">
        <v>244</v>
      </c>
    </row>
    <row r="20" spans="1:1" x14ac:dyDescent="0.25">
      <c r="A20" s="110" t="s">
        <v>247</v>
      </c>
    </row>
    <row r="21" spans="1:1" x14ac:dyDescent="0.25">
      <c r="A21" s="110" t="s">
        <v>248</v>
      </c>
    </row>
    <row r="22" spans="1:1" x14ac:dyDescent="0.25">
      <c r="A22" s="110" t="s">
        <v>249</v>
      </c>
    </row>
    <row r="23" spans="1:1" x14ac:dyDescent="0.25">
      <c r="A23" s="110" t="s">
        <v>245</v>
      </c>
    </row>
    <row r="24" spans="1:1" x14ac:dyDescent="0.25">
      <c r="A24" s="110" t="s">
        <v>246</v>
      </c>
    </row>
    <row r="25" spans="1:1" x14ac:dyDescent="0.25">
      <c r="A25" s="110" t="s">
        <v>250</v>
      </c>
    </row>
    <row r="26" spans="1:1" x14ac:dyDescent="0.25">
      <c r="A26" s="110" t="s">
        <v>251</v>
      </c>
    </row>
  </sheetData>
  <phoneticPr fontId="31" type="noConversion"/>
  <pageMargins left="0.7" right="0.7" top="0.75" bottom="0.75" header="0.3" footer="0.3"/>
  <pageSetup paperSize="9" orientation="portrait" horizontalDpi="90" verticalDpi="90" r:id="rId1"/>
  <headerFooter>
    <oddFooter>&amp;C&amp;1#&amp;"Calibri"&amp;10&amp;K000000Company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51771794685574E87234A41619DEE98" ma:contentTypeVersion="4" ma:contentTypeDescription="Creare un nuovo documento." ma:contentTypeScope="" ma:versionID="6d21b4f6338d8fd7409827760f69a54e">
  <xsd:schema xmlns:xsd="http://www.w3.org/2001/XMLSchema" xmlns:xs="http://www.w3.org/2001/XMLSchema" xmlns:p="http://schemas.microsoft.com/office/2006/metadata/properties" xmlns:ns3="90620ce8-2463-454c-9e7c-47f2f673b7c2" targetNamespace="http://schemas.microsoft.com/office/2006/metadata/properties" ma:root="true" ma:fieldsID="c732fb9e0b9aac7fc6e0b1f9e6f0e90a" ns3:_="">
    <xsd:import namespace="90620ce8-2463-454c-9e7c-47f2f673b7c2"/>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620ce8-2463-454c-9e7c-47f2f673b7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48635D-EC3E-4D0F-8D2F-6703AB458B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620ce8-2463-454c-9e7c-47f2f673b7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6F1D70-707F-40A8-95B4-3F4B22DC0910}">
  <ds:schemaRefs>
    <ds:schemaRef ds:uri="http://schemas.microsoft.com/office/infopath/2007/PartnerControls"/>
    <ds:schemaRef ds:uri="http://purl.org/dc/term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90620ce8-2463-454c-9e7c-47f2f673b7c2"/>
    <ds:schemaRef ds:uri="http://www.w3.org/XML/1998/namespace"/>
    <ds:schemaRef ds:uri="http://purl.org/dc/dcmitype/"/>
  </ds:schemaRefs>
</ds:datastoreItem>
</file>

<file path=customXml/itemProps3.xml><?xml version="1.0" encoding="utf-8"?>
<ds:datastoreItem xmlns:ds="http://schemas.openxmlformats.org/officeDocument/2006/customXml" ds:itemID="{EEF80024-4477-4589-9AD8-EA2D9C095F0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7</vt:i4>
      </vt:variant>
      <vt:variant>
        <vt:lpstr>Intervalli denominati</vt:lpstr>
      </vt:variant>
      <vt:variant>
        <vt:i4>1</vt:i4>
      </vt:variant>
    </vt:vector>
  </HeadingPairs>
  <TitlesOfParts>
    <vt:vector size="8" baseType="lpstr">
      <vt:lpstr>Riepilogo Contratto</vt:lpstr>
      <vt:lpstr>Project Plan</vt:lpstr>
      <vt:lpstr>Sintesi Rendiconti</vt:lpstr>
      <vt:lpstr>Gantt</vt:lpstr>
      <vt:lpstr>Valori per liste a discesa</vt:lpstr>
      <vt:lpstr>Settore</vt:lpstr>
      <vt:lpstr>Legende</vt:lpstr>
      <vt:lpstr>'Project Plan'!prevWBS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Francesco Del Castello;Alessio Guerrieri</dc:creator>
  <cp:keywords/>
  <dc:description/>
  <cp:lastModifiedBy>Carlo Falcinelli</cp:lastModifiedBy>
  <cp:revision>8</cp:revision>
  <dcterms:created xsi:type="dcterms:W3CDTF">2023-02-18T15:56:20Z</dcterms:created>
  <dcterms:modified xsi:type="dcterms:W3CDTF">2024-11-13T12:57:07Z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0x010100051771794685574E87234A41619DEE98</vt:lpwstr>
  </property>
  <property fmtid="{D5CDD505-2E9C-101B-9397-08002B2CF9AE}" pid="3" name="MediaServiceImageTags">
    <vt:lpwstr/>
  </property>
  <property fmtid="{D5CDD505-2E9C-101B-9397-08002B2CF9AE}" pid="4" name="MSIP_Label_3bb4f5e6-4689-4e32-8ee0-7c59def9675b_Enabled">
    <vt:lpwstr>true</vt:lpwstr>
  </property>
  <property fmtid="{D5CDD505-2E9C-101B-9397-08002B2CF9AE}" pid="5" name="MSIP_Label_3bb4f5e6-4689-4e32-8ee0-7c59def9675b_SetDate">
    <vt:lpwstr>2024-11-12T09:22:02Z</vt:lpwstr>
  </property>
  <property fmtid="{D5CDD505-2E9C-101B-9397-08002B2CF9AE}" pid="6" name="MSIP_Label_3bb4f5e6-4689-4e32-8ee0-7c59def9675b_Method">
    <vt:lpwstr>Privileged</vt:lpwstr>
  </property>
  <property fmtid="{D5CDD505-2E9C-101B-9397-08002B2CF9AE}" pid="7" name="MSIP_Label_3bb4f5e6-4689-4e32-8ee0-7c59def9675b_Name">
    <vt:lpwstr>3bb4f5e6-4689-4e32-8ee0-7c59def9675b</vt:lpwstr>
  </property>
  <property fmtid="{D5CDD505-2E9C-101B-9397-08002B2CF9AE}" pid="8" name="MSIP_Label_3bb4f5e6-4689-4e32-8ee0-7c59def9675b_SiteId">
    <vt:lpwstr>31ae1cef-2393-4eb1-8962-4e4bbfccd663</vt:lpwstr>
  </property>
  <property fmtid="{D5CDD505-2E9C-101B-9397-08002B2CF9AE}" pid="9" name="MSIP_Label_3bb4f5e6-4689-4e32-8ee0-7c59def9675b_ActionId">
    <vt:lpwstr>40a346d5-c29e-4edd-be60-df8e0152e6f4</vt:lpwstr>
  </property>
  <property fmtid="{D5CDD505-2E9C-101B-9397-08002B2CF9AE}" pid="10" name="MSIP_Label_3bb4f5e6-4689-4e32-8ee0-7c59def9675b_ContentBits">
    <vt:lpwstr>2</vt:lpwstr>
  </property>
</Properties>
</file>