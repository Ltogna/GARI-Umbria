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Archivi\Regione\2023-2024\Agricoltura\Piano di lavoro generale RTI GARI\Documenti Secondo Piano di lavoro 2024 2025\"/>
    </mc:Choice>
  </mc:AlternateContent>
  <xr:revisionPtr revIDLastSave="0" documentId="13_ncr:1_{B20F4FE1-7F71-46F8-8BD0-2E58BCC13EAD}" xr6:coauthVersionLast="47" xr6:coauthVersionMax="47" xr10:uidLastSave="{00000000-0000-0000-0000-000000000000}"/>
  <bookViews>
    <workbookView xWindow="585" yWindow="465" windowWidth="27615" windowHeight="14295" tabRatio="743" activeTab="2" xr2:uid="{00000000-000D-0000-FFFF-FFFF00000000}"/>
  </bookViews>
  <sheets>
    <sheet name="Riepilogo Contratto" sheetId="1" r:id="rId1"/>
    <sheet name="Sintesi Rendiconti" sheetId="7" r:id="rId2"/>
    <sheet name="Gantt" sheetId="3" r:id="rId3"/>
    <sheet name="Valori per liste a discesa" sheetId="4" state="hidden" r:id="rId4"/>
    <sheet name="Settore" sheetId="5" state="hidden" r:id="rId5"/>
    <sheet name="Legende" sheetId="6" r:id="rId6"/>
    <sheet name="Richieste da Allocare" sheetId="12" r:id="rId7"/>
  </sheets>
  <definedNames>
    <definedName name="_xlnm._FilterDatabase" localSheetId="2" hidden="1">Gantt!$A$3:$CS$56</definedName>
    <definedName name="_xlnm._FilterDatabase" localSheetId="4" hidden="1">Settore!$A$1:$B$87</definedName>
    <definedName name="CEUmbria">#REF!</definedName>
    <definedName name="Inizio_progetto">#REF!</definedName>
    <definedName name="Visualizza_settimana">#REF!</definedName>
  </definedNames>
  <calcPr calcId="191029"/>
</workbook>
</file>

<file path=xl/calcChain.xml><?xml version="1.0" encoding="utf-8"?>
<calcChain xmlns="http://schemas.openxmlformats.org/spreadsheetml/2006/main">
  <c r="P56" i="3" l="1"/>
  <c r="P55" i="3"/>
  <c r="P53" i="3"/>
  <c r="P52" i="3"/>
  <c r="P51" i="3"/>
  <c r="P49" i="3"/>
  <c r="P48" i="3"/>
  <c r="P45" i="3"/>
  <c r="P44" i="3"/>
  <c r="P43" i="3"/>
  <c r="P39" i="3"/>
  <c r="P37" i="3"/>
  <c r="P36" i="3"/>
  <c r="P34" i="3"/>
  <c r="P33" i="3"/>
  <c r="P32" i="3"/>
  <c r="P25" i="3"/>
  <c r="P23" i="3"/>
  <c r="P22" i="3"/>
  <c r="P21" i="3"/>
  <c r="P20" i="3"/>
  <c r="P19" i="3"/>
  <c r="P17" i="3"/>
  <c r="P15" i="3"/>
  <c r="P14" i="3"/>
  <c r="P11" i="3"/>
  <c r="P6" i="3"/>
  <c r="P7" i="3"/>
  <c r="P8" i="3"/>
  <c r="P9" i="3"/>
  <c r="P5" i="3"/>
  <c r="J25" i="3"/>
  <c r="O25" i="3" s="1"/>
  <c r="J24" i="3" l="1"/>
  <c r="O24" i="3" s="1"/>
  <c r="H35" i="7" l="1"/>
  <c r="H27" i="7"/>
  <c r="H19" i="7"/>
  <c r="H45" i="7" l="1"/>
  <c r="B47" i="7"/>
  <c r="E47" i="7"/>
  <c r="D47" i="7"/>
  <c r="C47" i="7"/>
  <c r="H53" i="3" l="1"/>
  <c r="H52" i="3"/>
  <c r="H51" i="3"/>
  <c r="H45" i="3" l="1"/>
  <c r="H44" i="3"/>
  <c r="H43" i="3"/>
  <c r="J4" i="1" l="1"/>
  <c r="K57" i="3"/>
  <c r="J57" i="3"/>
  <c r="H57" i="3"/>
  <c r="G57" i="3"/>
  <c r="T44" i="3"/>
  <c r="T45" i="3" s="1"/>
  <c r="W44" i="3" s="1"/>
  <c r="T52" i="3"/>
  <c r="W51" i="3" s="1"/>
  <c r="T53" i="3" l="1"/>
  <c r="W43" i="3"/>
  <c r="T46" i="3"/>
  <c r="W52" i="3" l="1"/>
  <c r="T54" i="3"/>
  <c r="T55" i="3" s="1"/>
  <c r="W46" i="3"/>
  <c r="W45" i="3"/>
  <c r="W53" i="3" l="1"/>
  <c r="W54" i="3"/>
  <c r="T56" i="3"/>
  <c r="W55" i="3" l="1"/>
  <c r="W56" i="3"/>
  <c r="J32" i="3" l="1"/>
  <c r="J33" i="3"/>
  <c r="J34" i="3"/>
  <c r="J35" i="3"/>
  <c r="J36" i="3"/>
  <c r="J37" i="3"/>
  <c r="J38" i="3"/>
  <c r="J39" i="3"/>
  <c r="J28" i="3"/>
  <c r="J29" i="3"/>
  <c r="J20" i="3"/>
  <c r="J21" i="3"/>
  <c r="J22" i="3"/>
  <c r="J23" i="3"/>
  <c r="J11" i="3"/>
  <c r="F39" i="7" l="1"/>
  <c r="E39" i="7"/>
  <c r="D39" i="7"/>
  <c r="C39" i="7"/>
  <c r="F31" i="7"/>
  <c r="E31" i="7"/>
  <c r="D31" i="7"/>
  <c r="C31" i="7"/>
  <c r="J33" i="1"/>
  <c r="J32" i="1"/>
  <c r="J31" i="1"/>
  <c r="J30" i="1"/>
  <c r="I33" i="1"/>
  <c r="H34" i="1"/>
  <c r="G34" i="1"/>
  <c r="B37" i="7" s="1"/>
  <c r="H37" i="7" s="1"/>
  <c r="F34" i="1"/>
  <c r="B29" i="7" s="1"/>
  <c r="H29" i="7" s="1"/>
  <c r="E34" i="1"/>
  <c r="F33" i="1"/>
  <c r="B28" i="7" s="1"/>
  <c r="H28" i="7" s="1"/>
  <c r="E33" i="1"/>
  <c r="D34" i="1"/>
  <c r="I32" i="1"/>
  <c r="I31" i="1"/>
  <c r="I30" i="1"/>
  <c r="H32" i="1"/>
  <c r="G32" i="1"/>
  <c r="F32" i="1"/>
  <c r="E32" i="1"/>
  <c r="H31" i="1"/>
  <c r="G31" i="1"/>
  <c r="F31" i="1"/>
  <c r="E31" i="1"/>
  <c r="H30" i="1"/>
  <c r="G30" i="1"/>
  <c r="F30" i="1"/>
  <c r="D32" i="1"/>
  <c r="D31" i="1"/>
  <c r="D30" i="1"/>
  <c r="E30" i="1"/>
  <c r="K27" i="3"/>
  <c r="K20" i="3"/>
  <c r="B21" i="7"/>
  <c r="H21" i="7" s="1"/>
  <c r="B20" i="7"/>
  <c r="H20" i="7" s="1"/>
  <c r="E13" i="7"/>
  <c r="C13" i="7"/>
  <c r="E49" i="7"/>
  <c r="H44" i="7"/>
  <c r="H43" i="7"/>
  <c r="D23" i="7"/>
  <c r="C23" i="7"/>
  <c r="C49" i="7" s="1"/>
  <c r="E11" i="7"/>
  <c r="D11" i="7"/>
  <c r="D13" i="7" s="1"/>
  <c r="H7" i="7"/>
  <c r="D49" i="7" l="1"/>
  <c r="K19" i="3" l="1"/>
  <c r="K44" i="3"/>
  <c r="K43" i="3"/>
  <c r="K53" i="3"/>
  <c r="K52" i="3"/>
  <c r="K51" i="3"/>
  <c r="K50" i="3" l="1"/>
  <c r="J34" i="1"/>
  <c r="I34" i="1"/>
  <c r="H50" i="3"/>
  <c r="J54" i="3"/>
  <c r="J53" i="3"/>
  <c r="O53" i="3" s="1"/>
  <c r="J52" i="3"/>
  <c r="O52" i="3" s="1"/>
  <c r="J17" i="3"/>
  <c r="O17" i="3" s="1"/>
  <c r="J16" i="3"/>
  <c r="O16" i="3" s="1"/>
  <c r="J15" i="3"/>
  <c r="O15" i="3" s="1"/>
  <c r="J14" i="3"/>
  <c r="O14" i="3" s="1"/>
  <c r="J13" i="3"/>
  <c r="O13" i="3" s="1"/>
  <c r="O23" i="3"/>
  <c r="O20" i="3"/>
  <c r="J19" i="3"/>
  <c r="O19" i="3" s="1"/>
  <c r="O38" i="3"/>
  <c r="O37" i="3"/>
  <c r="O29" i="3"/>
  <c r="K22" i="3"/>
  <c r="K21" i="3"/>
  <c r="K39" i="3"/>
  <c r="K34" i="3"/>
  <c r="S31" i="3"/>
  <c r="J55" i="3" l="1"/>
  <c r="O55" i="3" s="1"/>
  <c r="J56" i="3"/>
  <c r="O56" i="3" s="1"/>
  <c r="O39" i="3"/>
  <c r="O21" i="3"/>
  <c r="O22" i="3"/>
  <c r="O28" i="3"/>
  <c r="H33" i="1"/>
  <c r="O35" i="3"/>
  <c r="H42" i="3" l="1"/>
  <c r="K45" i="3"/>
  <c r="G33" i="1"/>
  <c r="B36" i="7" s="1"/>
  <c r="H36" i="7" s="1"/>
  <c r="O36" i="3"/>
  <c r="G30" i="3"/>
  <c r="G26" i="3"/>
  <c r="G18" i="3"/>
  <c r="H12" i="3"/>
  <c r="G12" i="3"/>
  <c r="I12" i="3"/>
  <c r="F9" i="1"/>
  <c r="E9" i="1"/>
  <c r="D9" i="1"/>
  <c r="B9" i="7" s="1"/>
  <c r="F8" i="1"/>
  <c r="D8" i="1"/>
  <c r="B8" i="7" s="1"/>
  <c r="F7" i="1"/>
  <c r="D7" i="1"/>
  <c r="I29" i="1"/>
  <c r="G29" i="1"/>
  <c r="F29" i="1"/>
  <c r="J7" i="1"/>
  <c r="J11" i="1" s="1"/>
  <c r="F5" i="1"/>
  <c r="D5" i="1"/>
  <c r="E5" i="1"/>
  <c r="F6" i="1"/>
  <c r="E6" i="1"/>
  <c r="D6" i="1"/>
  <c r="K26" i="3"/>
  <c r="K30" i="3"/>
  <c r="K12" i="3"/>
  <c r="I26" i="3"/>
  <c r="H26" i="3"/>
  <c r="I30" i="3"/>
  <c r="I18" i="3"/>
  <c r="H18" i="3"/>
  <c r="S27" i="3"/>
  <c r="J27" i="3"/>
  <c r="O27" i="3" s="1"/>
  <c r="S13" i="3"/>
  <c r="J51" i="3"/>
  <c r="O51" i="3" s="1"/>
  <c r="H47" i="3"/>
  <c r="G47" i="3"/>
  <c r="I47" i="3"/>
  <c r="I42" i="3"/>
  <c r="G42" i="3"/>
  <c r="G50" i="3"/>
  <c r="I50" i="3"/>
  <c r="J45" i="3"/>
  <c r="O34" i="3"/>
  <c r="J49" i="3"/>
  <c r="J48" i="3"/>
  <c r="O48" i="3" s="1"/>
  <c r="J44" i="3"/>
  <c r="O44" i="3" s="1"/>
  <c r="J43" i="3"/>
  <c r="J31" i="3"/>
  <c r="O31" i="3" s="1"/>
  <c r="K11" i="3"/>
  <c r="O33" i="3"/>
  <c r="O32" i="3"/>
  <c r="N20" i="3"/>
  <c r="F24" i="1"/>
  <c r="E24" i="1"/>
  <c r="D24" i="1"/>
  <c r="H24" i="1" s="1"/>
  <c r="H22" i="1"/>
  <c r="H21" i="1"/>
  <c r="H20" i="1"/>
  <c r="H19" i="1"/>
  <c r="H18" i="1"/>
  <c r="H13" i="1"/>
  <c r="F36" i="1" l="1"/>
  <c r="I36" i="1"/>
  <c r="O45" i="3"/>
  <c r="B34" i="7"/>
  <c r="O49" i="3"/>
  <c r="J47" i="3"/>
  <c r="J42" i="3"/>
  <c r="D33" i="1"/>
  <c r="B26" i="7"/>
  <c r="G36" i="1"/>
  <c r="I10" i="3"/>
  <c r="I41" i="3"/>
  <c r="I40" i="3" s="1"/>
  <c r="H29" i="1"/>
  <c r="D4" i="1"/>
  <c r="J29" i="1"/>
  <c r="F4" i="1"/>
  <c r="F11" i="1" s="1"/>
  <c r="H8" i="7"/>
  <c r="B11" i="7"/>
  <c r="B13" i="7" s="1"/>
  <c r="G41" i="3"/>
  <c r="G40" i="3" s="1"/>
  <c r="O11" i="3"/>
  <c r="O43" i="3"/>
  <c r="S11" i="3"/>
  <c r="H30" i="3"/>
  <c r="H10" i="3" s="1"/>
  <c r="E8" i="1"/>
  <c r="H8" i="1" s="1"/>
  <c r="K8" i="1" s="1"/>
  <c r="D29" i="1"/>
  <c r="E7" i="1"/>
  <c r="E4" i="1" s="1"/>
  <c r="E29" i="1"/>
  <c r="J18" i="3"/>
  <c r="J46" i="3"/>
  <c r="J50" i="3"/>
  <c r="I60" i="3" s="1"/>
  <c r="H9" i="1"/>
  <c r="K9" i="1" s="1"/>
  <c r="I62" i="3" l="1"/>
  <c r="B39" i="7"/>
  <c r="H39" i="7" s="1"/>
  <c r="H34" i="7"/>
  <c r="B31" i="7"/>
  <c r="H31" i="7" s="1"/>
  <c r="H26" i="7"/>
  <c r="D36" i="1"/>
  <c r="E36" i="1"/>
  <c r="J36" i="1"/>
  <c r="H36" i="1"/>
  <c r="B18" i="7"/>
  <c r="E11" i="1"/>
  <c r="G10" i="3"/>
  <c r="G62" i="3" s="1"/>
  <c r="F6" i="7"/>
  <c r="D11" i="1"/>
  <c r="H41" i="3"/>
  <c r="H40" i="3" s="1"/>
  <c r="K42" i="3"/>
  <c r="K41" i="3" s="1"/>
  <c r="K40" i="3" s="1"/>
  <c r="J22" i="1"/>
  <c r="J21" i="1"/>
  <c r="J12" i="3"/>
  <c r="B23" i="7" l="1"/>
  <c r="H23" i="7" s="1"/>
  <c r="H18" i="7"/>
  <c r="F11" i="7"/>
  <c r="F13" i="7" s="1"/>
  <c r="F42" i="7"/>
  <c r="L36" i="1"/>
  <c r="H11" i="1"/>
  <c r="J12" i="1" s="1"/>
  <c r="J41" i="3"/>
  <c r="H6" i="7"/>
  <c r="H6" i="1"/>
  <c r="K6" i="1" s="1"/>
  <c r="B49" i="7" l="1"/>
  <c r="H11" i="7"/>
  <c r="H13" i="7" s="1"/>
  <c r="H42" i="7"/>
  <c r="H47" i="7" s="1"/>
  <c r="H49" i="7" s="1"/>
  <c r="F47" i="7"/>
  <c r="F49" i="7" s="1"/>
  <c r="J40" i="3"/>
  <c r="I59" i="3"/>
  <c r="J19" i="1"/>
  <c r="H5" i="1" l="1"/>
  <c r="K5" i="1" s="1"/>
  <c r="H7" i="1"/>
  <c r="K7" i="1" s="1"/>
  <c r="H4" i="1" l="1"/>
  <c r="J20" i="1"/>
  <c r="J18" i="1"/>
  <c r="S45" i="3" l="1"/>
  <c r="S44" i="3"/>
  <c r="J30" i="3"/>
  <c r="J26" i="3"/>
  <c r="H62" i="3" l="1"/>
  <c r="J10" i="3"/>
  <c r="I58" i="3" s="1"/>
  <c r="I57" i="3" l="1"/>
  <c r="J62" i="3"/>
  <c r="J6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</author>
  </authors>
  <commentList>
    <comment ref="H14" authorId="0" shapeId="0" xr:uid="{35D580DF-415A-480A-A3C1-0401747CEA32}">
      <text>
        <r>
          <rPr>
            <b/>
            <sz val="9"/>
            <color indexed="81"/>
            <rFont val="Tahoma"/>
            <family val="2"/>
          </rPr>
          <t>Carlo:</t>
        </r>
        <r>
          <rPr>
            <sz val="9"/>
            <color indexed="81"/>
            <rFont val="Tahoma"/>
            <family val="2"/>
          </rPr>
          <t xml:space="preserve">
Inserita attività ms di adeguamento GARI base per Uma  unificazione banche dati</t>
        </r>
      </text>
    </comment>
  </commentList>
</comments>
</file>

<file path=xl/sharedStrings.xml><?xml version="1.0" encoding="utf-8"?>
<sst xmlns="http://schemas.openxmlformats.org/spreadsheetml/2006/main" count="715" uniqueCount="432">
  <si>
    <t>TOTALE</t>
  </si>
  <si>
    <t>Servizi Applicativi</t>
  </si>
  <si>
    <t>MEV/MAD</t>
  </si>
  <si>
    <t xml:space="preserve">Supporto specialistico Applicativo </t>
  </si>
  <si>
    <t>Servizi di Call Center</t>
  </si>
  <si>
    <t>TOTALI DA PDF</t>
  </si>
  <si>
    <t>ID</t>
  </si>
  <si>
    <t>STATO</t>
  </si>
  <si>
    <t>Previsione di Spesa</t>
  </si>
  <si>
    <t>Riferimenti rendicontazione</t>
  </si>
  <si>
    <t>Titolo attività</t>
  </si>
  <si>
    <t>Rendicontato effettivo (consuntivo)</t>
  </si>
  <si>
    <t>Servizio</t>
  </si>
  <si>
    <t>Trimestre riferimento rendicontazione</t>
  </si>
  <si>
    <t>Percentuale rendicontazione</t>
  </si>
  <si>
    <t>Ownership</t>
  </si>
  <si>
    <t>% Completamento</t>
  </si>
  <si>
    <t>Note</t>
  </si>
  <si>
    <t>DA AVVIARE</t>
  </si>
  <si>
    <t>1.1</t>
  </si>
  <si>
    <t>Sviluppo software</t>
  </si>
  <si>
    <t>RILASCIATO IN ESERCIZIO</t>
  </si>
  <si>
    <t>IN CORSO</t>
  </si>
  <si>
    <t>COMPLETATO</t>
  </si>
  <si>
    <t>Leonardo</t>
  </si>
  <si>
    <t>Supp. Spec. App. (Consumo)</t>
  </si>
  <si>
    <t>CANCELLATO</t>
  </si>
  <si>
    <t>SERVIZI DI CALL CENTER</t>
  </si>
  <si>
    <t>Servizi Desk(Canone)</t>
  </si>
  <si>
    <t>SERVIZI DI SUPPORTO SPECIALISTICO APPLICATIVO</t>
  </si>
  <si>
    <t>Stati</t>
  </si>
  <si>
    <t>Priorità</t>
  </si>
  <si>
    <t>Attori</t>
  </si>
  <si>
    <t>Referenti</t>
  </si>
  <si>
    <t>Tipologia attività</t>
  </si>
  <si>
    <t>PIANIFICATO</t>
  </si>
  <si>
    <t>1-Alta</t>
  </si>
  <si>
    <t>Progettuale</t>
  </si>
  <si>
    <t>Supporto Specialistico (a consumo)</t>
  </si>
  <si>
    <t>2-Media</t>
  </si>
  <si>
    <t>Continuativa</t>
  </si>
  <si>
    <t>3-Bassa</t>
  </si>
  <si>
    <t>DA RIPIANIFICARE</t>
  </si>
  <si>
    <t>NECESSARI APPROFONDIMENTI PER AVVIO</t>
  </si>
  <si>
    <t>DA PIANIFICARE</t>
  </si>
  <si>
    <t>RILASCIATO IN COLLAUDO</t>
  </si>
  <si>
    <t>ESITO POSITIVO AL COLLAUDO</t>
  </si>
  <si>
    <t>CODICE PIANO LDCSIN / CODICE COMPUTO</t>
  </si>
  <si>
    <t>denominazione Piano / descrizione computo</t>
  </si>
  <si>
    <t>001</t>
  </si>
  <si>
    <t>Fascicolo Aziendale OC</t>
  </si>
  <si>
    <t>002</t>
  </si>
  <si>
    <t>Fascicolo Aziendale OP</t>
  </si>
  <si>
    <t>003</t>
  </si>
  <si>
    <t>Condizionalità (SICC - Sistema integrato di controllo e condizionalità)</t>
  </si>
  <si>
    <t>006</t>
  </si>
  <si>
    <t>Miele</t>
  </si>
  <si>
    <t>007</t>
  </si>
  <si>
    <t>Domanda Unica</t>
  </si>
  <si>
    <t>008</t>
  </si>
  <si>
    <t xml:space="preserve">Tabacco </t>
  </si>
  <si>
    <t>009</t>
  </si>
  <si>
    <t>Latte</t>
  </si>
  <si>
    <t>010</t>
  </si>
  <si>
    <t>Aiuti nazionali filiere zootecniche</t>
  </si>
  <si>
    <t>011</t>
  </si>
  <si>
    <t>Ortofrutta fresca (programmi operativi)</t>
  </si>
  <si>
    <t>012</t>
  </si>
  <si>
    <t>PIANO PER LA RIGENERAZIONE OLIVICOLA DELLA PUGLIA DM 2484/2020 -INTERVENTI COMPENSATIVI A FAVORE DEI FRANTOI OLEARI</t>
  </si>
  <si>
    <t>014</t>
  </si>
  <si>
    <t>Registro titoli</t>
  </si>
  <si>
    <t>015</t>
  </si>
  <si>
    <t>Servizi fitosanitari</t>
  </si>
  <si>
    <t>016</t>
  </si>
  <si>
    <t>VCM</t>
  </si>
  <si>
    <t>017</t>
  </si>
  <si>
    <t>Agricoltura Biologica /SIB - sistema informatico del biologico</t>
  </si>
  <si>
    <t>018</t>
  </si>
  <si>
    <t>Sviluppo rurale -aiuti a superfici</t>
  </si>
  <si>
    <t>019</t>
  </si>
  <si>
    <t>Set aside strutturale</t>
  </si>
  <si>
    <t>020</t>
  </si>
  <si>
    <t>Sviluppo Rurale - Aiuti a strutture</t>
  </si>
  <si>
    <t>021</t>
  </si>
  <si>
    <t>CAI/Condizionalità</t>
  </si>
  <si>
    <t>022</t>
  </si>
  <si>
    <t>Programmi di sostegno all'olio d'oliva</t>
  </si>
  <si>
    <t>023</t>
  </si>
  <si>
    <t>Produzione integrata</t>
  </si>
  <si>
    <t>024</t>
  </si>
  <si>
    <t>Vino - distillazione,  arricchimento e magazzinaggio</t>
  </si>
  <si>
    <t>025</t>
  </si>
  <si>
    <t>Controlli oggettivi software</t>
  </si>
  <si>
    <t>026</t>
  </si>
  <si>
    <t>Potenziale produttivo viticolo - settore</t>
  </si>
  <si>
    <t>027</t>
  </si>
  <si>
    <t>Estirpazione e ristrutturazione vigneti; Ristrutturazione e riconversione vigneti</t>
  </si>
  <si>
    <t>028</t>
  </si>
  <si>
    <t>PIANO PER LA RIGENERAZIONE OLIVICOLA DELLA PUGLIA DM 2484/2020 - REIMPIANTI OLIVI ZONA INFETTA e SALVAGUARDIA OLIVI SECOLARI E MONUMENTALI</t>
  </si>
  <si>
    <t>029</t>
  </si>
  <si>
    <t>Vino - raccolta/produzione e giacenza</t>
  </si>
  <si>
    <t>030</t>
  </si>
  <si>
    <t>Domande di aiuto nazionale al settore vitivinicolo (Contenimento delle rese e stoccaggio vini)</t>
  </si>
  <si>
    <t>031</t>
  </si>
  <si>
    <t>Ulteriori servizi a supporto per il coordinamento - Controlli CAA II Livello</t>
  </si>
  <si>
    <t>032</t>
  </si>
  <si>
    <t>Vendemmia verde</t>
  </si>
  <si>
    <t>033</t>
  </si>
  <si>
    <t>Registri di carico e scarico (DL 91/2014 - LEGGE 116 11/8/2014)</t>
  </si>
  <si>
    <t>034</t>
  </si>
  <si>
    <t>Portale</t>
  </si>
  <si>
    <t>035</t>
  </si>
  <si>
    <t>Gestione posizioni amministrative (esecuzione pagamenti)</t>
  </si>
  <si>
    <t>036</t>
  </si>
  <si>
    <t>Monitoraggio Spese e Tabella delle X (OP ed OC)</t>
  </si>
  <si>
    <t>037</t>
  </si>
  <si>
    <t>Ulteriori servizi a supporto per il coordinamento - Controlli ex-post Reg. 1306/2013</t>
  </si>
  <si>
    <t>038</t>
  </si>
  <si>
    <t>Interscambio</t>
  </si>
  <si>
    <t>039</t>
  </si>
  <si>
    <t>GEOTAG</t>
  </si>
  <si>
    <t>040</t>
  </si>
  <si>
    <t>Protocollo</t>
  </si>
  <si>
    <t>041</t>
  </si>
  <si>
    <t>Aiuti agli indigenti</t>
  </si>
  <si>
    <t>042</t>
  </si>
  <si>
    <t>Sistemi di supporto alle decisioni</t>
  </si>
  <si>
    <t>043</t>
  </si>
  <si>
    <t>Aiuti di stato (registro)</t>
  </si>
  <si>
    <t>044</t>
  </si>
  <si>
    <t>Registro nazionale operatori ortofrutticoli (rno)</t>
  </si>
  <si>
    <t>045</t>
  </si>
  <si>
    <t>Monitoraggio e supporto alle decisioni</t>
  </si>
  <si>
    <t>046</t>
  </si>
  <si>
    <t>GIS</t>
  </si>
  <si>
    <t>047</t>
  </si>
  <si>
    <t>Sgu - sistema gestione utenti</t>
  </si>
  <si>
    <t>048</t>
  </si>
  <si>
    <t>Crediti da Irregolarita', crediti settoriali, garanzie e pignoramenti</t>
  </si>
  <si>
    <t>049</t>
  </si>
  <si>
    <t>Contabilita'</t>
  </si>
  <si>
    <t>050</t>
  </si>
  <si>
    <t>Registro Nazionale Debiti</t>
  </si>
  <si>
    <t>051</t>
  </si>
  <si>
    <t>Vino - programmi di promozione</t>
  </si>
  <si>
    <t>052</t>
  </si>
  <si>
    <t>DM GELATE - Aiuto ai frantoi colpiti da gelate</t>
  </si>
  <si>
    <t>053</t>
  </si>
  <si>
    <t>DM 9361598 del 4/12/2020 - Aiuti IV Gamma e I Gamma evoluta</t>
  </si>
  <si>
    <t>054</t>
  </si>
  <si>
    <t>Olio - Interventi per la filiera olivicola – art. 1 Legge 30 dicembre 2020, n. 178</t>
  </si>
  <si>
    <t>060</t>
  </si>
  <si>
    <t>Oli vegetali puri</t>
  </si>
  <si>
    <t>061</t>
  </si>
  <si>
    <t>Vino - misura a investimenti</t>
  </si>
  <si>
    <t>062</t>
  </si>
  <si>
    <t>Pesca</t>
  </si>
  <si>
    <t>063</t>
  </si>
  <si>
    <t>Sistema di Monitoraggio PSR 2023-2027</t>
  </si>
  <si>
    <t>065</t>
  </si>
  <si>
    <t>Filiera olio:icqrf-tracciabilita' prodotto olio di oliva</t>
  </si>
  <si>
    <t>066</t>
  </si>
  <si>
    <t>Aiuti generalizzati e ulteriori servizi a supporto</t>
  </si>
  <si>
    <t>068</t>
  </si>
  <si>
    <t>MAIN-Pagamenti Pregressi</t>
  </si>
  <si>
    <t>069</t>
  </si>
  <si>
    <t xml:space="preserve">Aiuti nazionali alle superfici </t>
  </si>
  <si>
    <t>070</t>
  </si>
  <si>
    <t>APPLICAZIONI PER DISPOSITIVI MOBILI</t>
  </si>
  <si>
    <t>071</t>
  </si>
  <si>
    <t>Assicurazioni agricole agevolate M17.1 OI</t>
  </si>
  <si>
    <t>072</t>
  </si>
  <si>
    <t>Sistema di prevenzione delle frodi</t>
  </si>
  <si>
    <t>073</t>
  </si>
  <si>
    <t>Repository Unico dei Certificati</t>
  </si>
  <si>
    <t>074</t>
  </si>
  <si>
    <t xml:space="preserve">Monitoring sentinel (AMS Area Monitoring Sentinel) </t>
  </si>
  <si>
    <t>075</t>
  </si>
  <si>
    <t>Contabilità economica e controllo di gestione</t>
  </si>
  <si>
    <t>076</t>
  </si>
  <si>
    <t>Assicurazioni agricole agevolate M17.1 OP</t>
  </si>
  <si>
    <t>077</t>
  </si>
  <si>
    <t>Assicurazioni agricole agevolate nazionali</t>
  </si>
  <si>
    <t>078</t>
  </si>
  <si>
    <t>Assicurazioni agricole agevolate M17.2 OI</t>
  </si>
  <si>
    <t>079</t>
  </si>
  <si>
    <t>Assicurazioni agricole agevolate M17.2 OP</t>
  </si>
  <si>
    <t>080</t>
  </si>
  <si>
    <t>Infrastruttura tecnologica</t>
  </si>
  <si>
    <t>081</t>
  </si>
  <si>
    <t>Supporto Uffici Agea L4</t>
  </si>
  <si>
    <t>082</t>
  </si>
  <si>
    <t xml:space="preserve">Controlli amministrativi, in loco ed ex post per le domande di pagamento delle misure 10,2,1 4,3,1 20,1,1 20,2,1 e 16,2,1 del PSRN e RRN </t>
  </si>
  <si>
    <t>083</t>
  </si>
  <si>
    <t>Nuova PAC</t>
  </si>
  <si>
    <t>084</t>
  </si>
  <si>
    <t>Aiuti nazionali alle imprese di trasformazione zootecniche</t>
  </si>
  <si>
    <t>085</t>
  </si>
  <si>
    <t>Registro delle operazioni colturali (Adozione del quaderno di campagna elettronico)</t>
  </si>
  <si>
    <t>086</t>
  </si>
  <si>
    <t>Monitoraggio osservatorio agrometeorologico</t>
  </si>
  <si>
    <t>087</t>
  </si>
  <si>
    <t>Servizi on demand</t>
  </si>
  <si>
    <t>088</t>
  </si>
  <si>
    <t xml:space="preserve"> Zone agricole svantaggiate per l’agricoltura</t>
  </si>
  <si>
    <t>090</t>
  </si>
  <si>
    <t>Assicurazioni agricole agevolate M17.3 OI</t>
  </si>
  <si>
    <t>091</t>
  </si>
  <si>
    <t>Assicurazioni agricole agevolate M17.3 OP</t>
  </si>
  <si>
    <t>092</t>
  </si>
  <si>
    <t>Data Platform and Business Intelligence</t>
  </si>
  <si>
    <t>093</t>
  </si>
  <si>
    <t>Data Governance</t>
  </si>
  <si>
    <t>094</t>
  </si>
  <si>
    <t>PNRR – Innovazione e meccanizzazione</t>
  </si>
  <si>
    <t>095</t>
  </si>
  <si>
    <t>Interoperabilità</t>
  </si>
  <si>
    <t>096</t>
  </si>
  <si>
    <t>SCHEDARI</t>
  </si>
  <si>
    <t>097</t>
  </si>
  <si>
    <t>sistema di supporto all’Ufficio Tecnico</t>
  </si>
  <si>
    <t>SETTORI AGGIUNTI</t>
  </si>
  <si>
    <t>NECESSARI APPROFONDIMENTI PER L'AVVIO</t>
  </si>
  <si>
    <t>RIPIANIFICATA</t>
  </si>
  <si>
    <t>Definizione precondizioni operative</t>
  </si>
  <si>
    <t>PRESA IN CARICO</t>
  </si>
  <si>
    <t>Incontri con Amministrazione</t>
  </si>
  <si>
    <t>Consegna  e Convalida</t>
  </si>
  <si>
    <t>I SEM 2025</t>
  </si>
  <si>
    <t>IV TRIM 2023</t>
  </si>
  <si>
    <t>MEV</t>
  </si>
  <si>
    <t>Sviluppo</t>
  </si>
  <si>
    <t>Assistenza spec</t>
  </si>
  <si>
    <t>Call center</t>
  </si>
  <si>
    <t>Conduzione Applicativa</t>
  </si>
  <si>
    <t>3.2</t>
  </si>
  <si>
    <t>Sviluppo Software gg/persona</t>
  </si>
  <si>
    <t>PdF</t>
  </si>
  <si>
    <t>TOTALE 
PIANIFICATO</t>
  </si>
  <si>
    <t>3.1</t>
  </si>
  <si>
    <t>1.3</t>
  </si>
  <si>
    <t>Knowledge Transfer</t>
  </si>
  <si>
    <t>Abaco</t>
  </si>
  <si>
    <t>Anno rendicontazione</t>
  </si>
  <si>
    <t>I TRIMESTRE 2024</t>
  </si>
  <si>
    <t>I TRIMESTRE 2025</t>
  </si>
  <si>
    <t>II TRIMESTRE 2025</t>
  </si>
  <si>
    <t>II TRIMESTRE 2024</t>
  </si>
  <si>
    <t>III TRIMESTRE 2024</t>
  </si>
  <si>
    <t>IV TRIMESTRE 2024</t>
  </si>
  <si>
    <t>III TRIMESTRE 2025</t>
  </si>
  <si>
    <t>IV TRIMESTRE 2025</t>
  </si>
  <si>
    <t>1.4</t>
  </si>
  <si>
    <t>Data rilascio in Produzione</t>
  </si>
  <si>
    <t>1.2</t>
  </si>
  <si>
    <t>3.3</t>
  </si>
  <si>
    <t xml:space="preserve">RILASCIO 1 - Rif. Doc. fase unica PT000849TECH001 </t>
  </si>
  <si>
    <t xml:space="preserve">RILASCIO 2 - Rif. Doc. fase unica PT000849TECH001 </t>
  </si>
  <si>
    <t xml:space="preserve">RILASCIO 4 - Rif. Doc. fase unica PT000849TECH001 </t>
  </si>
  <si>
    <t xml:space="preserve">RILASCIO 5 - Rif. Doc. fase unica PT000849TECH001 </t>
  </si>
  <si>
    <t>Conduzione applicativa(Consumo)</t>
  </si>
  <si>
    <t>Totale Collaudato</t>
  </si>
  <si>
    <t>Pianificato</t>
  </si>
  <si>
    <t>Totale  Pianificato</t>
  </si>
  <si>
    <t>Disponibilità Piattaforma GARI BASE</t>
  </si>
  <si>
    <t>2024</t>
  </si>
  <si>
    <t>RILASCIO 3 - Rif. Doc. fase unica PT000849TECH001</t>
  </si>
  <si>
    <t>1.5</t>
  </si>
  <si>
    <t>2023</t>
  </si>
  <si>
    <t>III TRIMESTRE 2023</t>
  </si>
  <si>
    <t>IV TRIMESTRE 2023</t>
  </si>
  <si>
    <t>2025</t>
  </si>
  <si>
    <t>Supporto Specialistico  2024</t>
  </si>
  <si>
    <t>Supporto Specialistico - I TRIM 2024</t>
  </si>
  <si>
    <t>Supporto Specialistico - II TRIM 2024</t>
  </si>
  <si>
    <t>Supporto Specialistico - I TRIM 2025</t>
  </si>
  <si>
    <t>Supporto Specialistico - II TRIM 2025</t>
  </si>
  <si>
    <t>I TRIM 2024</t>
  </si>
  <si>
    <t>II TRIM 2024</t>
  </si>
  <si>
    <t>III TRIM 2024</t>
  </si>
  <si>
    <t>IV TRIM 2024</t>
  </si>
  <si>
    <t>I TRIM 2025</t>
  </si>
  <si>
    <t>II TRIM 2025</t>
  </si>
  <si>
    <t>MEV GARI-PA per porting (IV TRIM 23) su nuovo ambiente di tutti i moduli (BASE, PUA, QDCA, UMA)</t>
  </si>
  <si>
    <t>MEV - GARI QDCA - DSS - solo front-end (no algoritmi /API) + adeguamento salvataggio su GARI degli output relativi ai consigli dei Modelli Previsionali difesa e Irrigazione + Meteo (DSS)</t>
  </si>
  <si>
    <t>2.1</t>
  </si>
  <si>
    <t>2.2</t>
  </si>
  <si>
    <t>4.1</t>
  </si>
  <si>
    <t>4.2</t>
  </si>
  <si>
    <t>GARI - QDCA</t>
  </si>
  <si>
    <t>GARI BASE</t>
  </si>
  <si>
    <t>GARI PUA</t>
  </si>
  <si>
    <t>Report ARPA: dati di impiego dei prodotti fitosanitari</t>
  </si>
  <si>
    <t>2.3</t>
  </si>
  <si>
    <t>2.4</t>
  </si>
  <si>
    <t>2.5</t>
  </si>
  <si>
    <t>2.6</t>
  </si>
  <si>
    <t>GARI PA - UMA</t>
  </si>
  <si>
    <t>4.3</t>
  </si>
  <si>
    <t>4.4</t>
  </si>
  <si>
    <t>4.5</t>
  </si>
  <si>
    <t>4.6</t>
  </si>
  <si>
    <t>4.7</t>
  </si>
  <si>
    <t>4.8</t>
  </si>
  <si>
    <t>6.1</t>
  </si>
  <si>
    <t>6.2</t>
  </si>
  <si>
    <t>TOTALE 
PdF</t>
  </si>
  <si>
    <t>Data Ricezione Richiesta Intervento</t>
  </si>
  <si>
    <t>Supporto Specialistico -  III TRIM 2024</t>
  </si>
  <si>
    <t xml:space="preserve">Supporto Specialistico -  IV TRIM 2024 </t>
  </si>
  <si>
    <t xml:space="preserve">Sviluppo SW GARI - DSS per misure ACA </t>
  </si>
  <si>
    <t>Attivazione registri bio nel contesto del  QDCA GARI, setting, configurazioni, profilazioni utenti, ecc.</t>
  </si>
  <si>
    <t>4.9</t>
  </si>
  <si>
    <t>Previsto da Progetto dei Fabbisogni</t>
  </si>
  <si>
    <t>Scheda richiesta intervento 16_11_23 - GIAS-PA UMA-Rev.1.1 del 16/11/2023</t>
  </si>
  <si>
    <t>Scheda richiesta intervento GARI Umbria PUA-Rev.1.0 del 11/06/2024</t>
  </si>
  <si>
    <t>GARI Umbria - Intervento dati impiego fitosanitari - pec del 1/8/2024</t>
  </si>
  <si>
    <t>GARI-BASE Re-ingegnerizzazione della piattaforma GIAS per implementare la nuova piattaforma GARI su nuove tecnologie ( i.e  tecnologia Angular)</t>
  </si>
  <si>
    <t>Implementazione del Modulo di Gestione dei documenti funzionale ai moduli GARI (Evolutive, installazione, configurazione/setting e profilazione utenza)</t>
  </si>
  <si>
    <t>Sviluppo SW GARI - Misure ACA</t>
  </si>
  <si>
    <t>Previsto da Progetto dei Fabbisogni per quanto concerne il passaggio all'utilizzo del PCG.</t>
  </si>
  <si>
    <t xml:space="preserve">Sviluppo funzionalità di Interlavoro con il sistema SIAN per importare il Piano colturale Grafico AGEA, compendiato dagli attributi catastali alfanumerici e altre informazioni legate alle consistenze aziendali funzionali alla gestione GARI
Con acquisizione dei dati di fascicolo necessari ai procedimenti del GARI se e come esposti da AGEA. </t>
  </si>
  <si>
    <t>Acquisizione ,raccordo e verifica dei dati  Meteo/DSS da sorgenti esterne</t>
  </si>
  <si>
    <t>Acquisizione, raccordo e verifica dei dati  Meteo/DSS da sorgenti esterne</t>
  </si>
  <si>
    <t>Revisione dei moduli QUADERNO SQNPI e BIO  per essere utilizzabili e integrabili  sulle nuove tecnologie introdotte con il paradigma PCG</t>
  </si>
  <si>
    <t>GARI Umbria Interventi ACA rev 01.00 ( ricevuta via pec del 04/03/2024)</t>
  </si>
  <si>
    <t>Specifiche Progettazione RU-9992150707-BASE-SP-01.01 del 31/12/2023
Specifiche Progettazione RU-9992150707-UMA-SP-01.01 del 31/12/2023
Specifiche Progettazione RU-9992150707-PUA-SP-01.01 del 31/12/2023
Specifiche Progettazione RU-9992150707-QUAD-SP-01.01 del 31/12/2023</t>
  </si>
  <si>
    <t>Specifiche Progettazione RU-9992150707-BASE-SP-02.00</t>
  </si>
  <si>
    <t xml:space="preserve">Data Accettazione Documentazione </t>
  </si>
  <si>
    <t>Nuovi Sviluppi UMA - DOCUMENTAZIONE FASE UNICA Rev. 2.1 del 15/01/2024</t>
  </si>
  <si>
    <t>Nuovi Sviluppi UMA - DOCUMENTAZIONE FASE UNICA Rev. 2.3 del 23/02/2024</t>
  </si>
  <si>
    <t>Nuovi Sviluppi UMA - DOCUMENTAZIONE FASE UNICA Rev. 2.4 del 19/04/2024</t>
  </si>
  <si>
    <t>Nuovi Sviluppi UMA - DOCUMENTAZIONE FASE UNICA Rev. 2.5 del 07/06/2024</t>
  </si>
  <si>
    <t>Nuovi Sviluppi UMA - DOCUMENTAZIONE FASE UNICA Rev. 2.6</t>
  </si>
  <si>
    <t>Data Consegna Documentazione da parte RTI</t>
  </si>
  <si>
    <t>UMA  Re-ingegnerizzazione della piattaforma GIAS per implementare la nuova piattaforma GARI su nuove tecnologie introdotte con il paradigma PCG</t>
  </si>
  <si>
    <t>Documento di FASE UNICA RU-9992150707-PUA-Sviluppi-FU-01.00 del 24/07/2024</t>
  </si>
  <si>
    <t>GARI-PUA Re-ingegnerizzazione della piattaforma GIAS per implementare la nuova piattaforma GARI su nuove tecnologie ( i.e  tecnologia Angular)</t>
  </si>
  <si>
    <t>QCDA-Re-ingegnerizzazione della piattaforma GIAS per implementare la nuova piattaforma GARI su nuove tecnologie ( i.e  tecnologia Angular)</t>
  </si>
  <si>
    <t>Specifiche Progettazione RU-9992150707-PUA-SP-02.00</t>
  </si>
  <si>
    <t>Documento di FASE UNICA RU-9992150707-ACA-FU-01.02 del 01/08/2024</t>
  </si>
  <si>
    <t>Documento di FASE UNICA RU-9992150707-QUAD-Report_Fito-FU-01.00 del 28/08/2024</t>
  </si>
  <si>
    <t>Specifiche Progettazione RU-9992150707-QUAD-SP-02.00</t>
  </si>
  <si>
    <t>Implementazione del modulo GARI-GIS  per la gestione( nel contesto GIS) i dati importati dal SIAN relativi al PCG (nuovo sistema di riferimento wgs84)</t>
  </si>
  <si>
    <t>Gestione delle Anagrafiche (risorse , macchine, analisi terreno etc)</t>
  </si>
  <si>
    <t xml:space="preserve">Nuovo Modulo PUA incluso la interoperabilità con ACA per le 04 13 e 24 - Fase1 </t>
  </si>
  <si>
    <t>Nuovo Modulo PUA collegamento e funzionamento su base PCG - Fase2</t>
  </si>
  <si>
    <t>N.A.</t>
  </si>
  <si>
    <t>Documento in redazione</t>
  </si>
  <si>
    <t>Servizi call center - I TRIM 2024</t>
  </si>
  <si>
    <t>Servizi call center - II TRIM 2024</t>
  </si>
  <si>
    <t>Servizi call center - III TRIM 2024</t>
  </si>
  <si>
    <t>Servizi call center - IV TRIM 2024</t>
  </si>
  <si>
    <t>Servizi call center - I TRIM 2025</t>
  </si>
  <si>
    <t>Servizi call center - II TRIM 2025</t>
  </si>
  <si>
    <t>Piano Lavoro Obiettivo -GARI Umbria - Interventi ACA Rev.01.00</t>
  </si>
  <si>
    <t>Piano Lavoro Obiettivo - Gestione ACA DSS</t>
  </si>
  <si>
    <t>Piano Lavoro Obiettivo -  Gestione SRA ACA</t>
  </si>
  <si>
    <t>Piano Lavoro Obiettivo - Sviluppi PUA</t>
  </si>
  <si>
    <t>Piano Lavoro Obiettivo - Report Fitosanitari</t>
  </si>
  <si>
    <t>Piano Lavoro Obiettivo- Gestione UMA 1</t>
  </si>
  <si>
    <t>Piano Lavoro Obiettivo- Gestione UMA 2</t>
  </si>
  <si>
    <t>Piano Lavoro Obiettivo- Gestione UMA 3</t>
  </si>
  <si>
    <t>Piano Lavoro Obiettivo- Gestione UMA 4</t>
  </si>
  <si>
    <t>Piano Lavoro Obiettivo - Gestione UMA 5</t>
  </si>
  <si>
    <t>5.1</t>
  </si>
  <si>
    <t>5.1.1</t>
  </si>
  <si>
    <t>5.1.2</t>
  </si>
  <si>
    <t>5.1.3</t>
  </si>
  <si>
    <t>5.1.4</t>
  </si>
  <si>
    <t>5.2</t>
  </si>
  <si>
    <t>5.2.1</t>
  </si>
  <si>
    <t>5.2.2</t>
  </si>
  <si>
    <t>6.3</t>
  </si>
  <si>
    <t>6.4</t>
  </si>
  <si>
    <t>6.5</t>
  </si>
  <si>
    <t>6.6</t>
  </si>
  <si>
    <t>LEONARDO</t>
  </si>
  <si>
    <t>DXC</t>
  </si>
  <si>
    <t>ABACO</t>
  </si>
  <si>
    <t>E-GEOS</t>
  </si>
  <si>
    <t>GREEN-AUS</t>
  </si>
  <si>
    <t>ANNO 2023</t>
  </si>
  <si>
    <t>Servzi Infrastrutturali</t>
  </si>
  <si>
    <t>Servizi di supporto specialistico</t>
  </si>
  <si>
    <t>Call Center</t>
  </si>
  <si>
    <t>TOTALI</t>
  </si>
  <si>
    <t>IV Trimestre 2023</t>
  </si>
  <si>
    <t>TOTALE ANNO 2023</t>
  </si>
  <si>
    <t>ANNO 2024</t>
  </si>
  <si>
    <t>I Trimestre 2024</t>
  </si>
  <si>
    <t>II Trimestre 2024</t>
  </si>
  <si>
    <t>III Trimestre 2024</t>
  </si>
  <si>
    <t>TOTALE ANNO 2024</t>
  </si>
  <si>
    <t>SERVIZI APPLICATIVI - ATTIVITA' DI CARATTERE PROGETTUALE
(Sviluppo SW + MEV+Supporto Specialistico Operativo)</t>
  </si>
  <si>
    <t xml:space="preserve">ATTIVITA' DI CARATTERE CONTINUATIVO (NON PROGETTUALE)
</t>
  </si>
  <si>
    <t xml:space="preserve">Supporto Specialistico Applicativo </t>
  </si>
  <si>
    <t>Predecessore
/vincoli</t>
  </si>
  <si>
    <t>Deliverable Associato</t>
  </si>
  <si>
    <t>Piano di lavoro obiettivo</t>
  </si>
  <si>
    <t>Obiettivo/Intervento</t>
  </si>
  <si>
    <t>Data di pronti al Collaudo</t>
  </si>
  <si>
    <t>Documento di FASE UNICA RU-9992150707-ACA_DSS-FU-01.00 del 14/06/2024</t>
  </si>
  <si>
    <t xml:space="preserve">RESIDUI DA ALLOCARE
</t>
  </si>
  <si>
    <t>SERVIZI APPLICATIVI - Residuo</t>
  </si>
  <si>
    <t>SUPPORTO SPECIALISTICO APPLICATIVO - Residuo</t>
  </si>
  <si>
    <t>SERVIZIO DI CALL CENTER - Residuo</t>
  </si>
  <si>
    <t>Supporto Specialistico  2025</t>
  </si>
  <si>
    <t>2.7</t>
  </si>
  <si>
    <t>SAL</t>
  </si>
  <si>
    <t>FATTURA</t>
  </si>
  <si>
    <t>Da Fatturare</t>
  </si>
  <si>
    <t>Fatturazione Autorizzata</t>
  </si>
  <si>
    <t>DA AUTORIZZARE</t>
  </si>
  <si>
    <t>in attesa dati accesso centraline da RU</t>
  </si>
  <si>
    <t>UMA MEV 2025</t>
  </si>
  <si>
    <t>Piano di lavoro obiettivo-UMA MEV 1 v1.0
Piano di lavoro obiettivo-UMA MEV 2 v1.0
Piano di lavoro obiettivo-UMA MEV 3 v1.0
Piano di lavoro obiettivo-UMA MEV 4 v1.0
Piano di lavoro obiettivo-UMA MEV 5 v1.0</t>
  </si>
  <si>
    <t>Scheda richiesta intervento evoluzioni UMA-Rev.1.0 - REGIONE UMBRIA (dic 2024)</t>
  </si>
  <si>
    <t>include il 2.6</t>
  </si>
  <si>
    <t>Scheda Intervento</t>
  </si>
  <si>
    <t>Evolutive UMA Dicembre 2024</t>
  </si>
  <si>
    <t>Importo Stimato</t>
  </si>
  <si>
    <t>Evoluzioni UMA -Rev.x.0 - REGIONE UMBRIA</t>
  </si>
  <si>
    <t>RA_1</t>
  </si>
  <si>
    <t>RA_2</t>
  </si>
  <si>
    <t>Residuo da Allocare</t>
  </si>
  <si>
    <t>DA AUTORIZZARE è da inserire come contenuto nel Documento soluzione evoluzione NUOVO MODULO PUA</t>
  </si>
  <si>
    <t>AUTORIZZATO</t>
  </si>
  <si>
    <t>DA AUTORIZZARE è da inserire come contenuto nel Documento soluzione Nuovo quaderno di campagna</t>
  </si>
  <si>
    <t>IN ATTESA Rendincontazione</t>
  </si>
  <si>
    <t>DA RIVEDERE INTERVENTO PREVISTO Eventualmente rimodulare tra questa voce e quella del Gari BASE grafico (tolto 40.000 Euro sul valore totale proposto da RTI portato a 109.194,68 + 30.000 già previsti in precedenza)</t>
  </si>
  <si>
    <t>DA AUTORIZZARE va inserito nel documento del GARI grafico nella sezione di porting in grafica dei servizi verticali GARI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</si>
</sst>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[$-409]d\-mmm\-yy;@"/>
    <numFmt numFmtId="166" formatCode="ddd\,\ d/m/yyyy"/>
    <numFmt numFmtId="167" formatCode="#,##0.00\ &quot;€&quot;"/>
    <numFmt numFmtId="168" formatCode="dd/mm/yy;@"/>
    <numFmt numFmtId="169" formatCode="_([$€-2]\ * #,##0.00_);_([$€-2]\ * \(#,##0.00\);_([$€-2]\ * &quot;-&quot;??_);_(@_)"/>
    <numFmt numFmtId="170" formatCode="[$€-2]\ #,##0.00"/>
    <numFmt numFmtId="171" formatCode="_-[$€-2]\ * #,##0.00_-;\-[$€-2]\ * #,##0.00_-;_-[$€-2]\ * &quot;-&quot;??_-;_-@_-"/>
  </numFmts>
  <fonts count="7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indexed="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indexed="64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i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i/>
      <sz val="16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i/>
      <sz val="16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</font>
    <font>
      <i/>
      <sz val="16"/>
      <color theme="9" tint="-0.24997711111789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6"/>
      <color rgb="FFCCECFF"/>
      <name val="Calibri"/>
      <family val="2"/>
      <scheme val="minor"/>
    </font>
    <font>
      <i/>
      <sz val="16"/>
      <color rgb="FFFF0000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FF0000"/>
      <name val="Calibri"/>
      <family val="2"/>
    </font>
    <font>
      <b/>
      <sz val="16"/>
      <color rgb="FFFF0000"/>
      <name val="Calibri"/>
      <family val="2"/>
    </font>
    <font>
      <b/>
      <i/>
      <sz val="2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6">
    <fill>
      <patternFill patternType="none"/>
    </fill>
    <fill>
      <patternFill patternType="gray125"/>
    </fill>
    <fill>
      <patternFill patternType="solid">
        <fgColor theme="0" tint="-4.9989318521683403E-2"/>
        <bgColor theme="0" tint="-0.49998474074526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  <bgColor theme="0" tint="-4.9989318521683403E-2"/>
      </patternFill>
    </fill>
    <fill>
      <patternFill patternType="solid">
        <fgColor theme="0"/>
        <bgColor theme="0" tint="-4.9989318521683403E-2"/>
      </patternFill>
    </fill>
    <fill>
      <patternFill patternType="solid">
        <fgColor theme="0" tint="-0.499984740745262"/>
        <bgColor theme="0" tint="-4.9989318521683403E-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theme="3" tint="0.79998168889431442"/>
        <bgColor theme="0" tint="-0.49998474074526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 tint="-4.9989318521683403E-2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4" tint="0.79998168889431442"/>
        <bgColor indexed="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6" tint="0.79998168889431442"/>
      </patternFill>
    </fill>
    <fill>
      <patternFill patternType="solid">
        <fgColor theme="7" tint="0.39997558519241921"/>
        <bgColor theme="0" tint="-4.9989318521683403E-2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9" tint="0.39997558519241921"/>
        <bgColor theme="0" tint="-4.9989318521683403E-2"/>
      </patternFill>
    </fill>
    <fill>
      <patternFill patternType="solid">
        <fgColor theme="9" tint="0.39997558519241921"/>
        <bgColor theme="6" tint="0.79998168889431442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0.59999389629810485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theme="0" tint="-0.499984740745262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theme="4" tint="-0.249977111117893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theme="0" tint="-0.499984740745262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5">
    <xf numFmtId="0" fontId="0" fillId="0" borderId="0"/>
    <xf numFmtId="0" fontId="32" fillId="0" borderId="1" applyFill="0">
      <alignment horizontal="left" vertical="center" indent="2"/>
    </xf>
    <xf numFmtId="165" fontId="32" fillId="0" borderId="0" applyFont="0" applyFill="0" applyBorder="0"/>
    <xf numFmtId="165" fontId="32" fillId="0" borderId="0" applyFont="0" applyFill="0" applyBorder="0"/>
    <xf numFmtId="166" fontId="32" fillId="0" borderId="2">
      <alignment horizontal="center" vertical="center"/>
    </xf>
    <xf numFmtId="0" fontId="32" fillId="0" borderId="1" applyFill="0">
      <alignment horizontal="center" vertical="center"/>
    </xf>
    <xf numFmtId="0" fontId="32" fillId="0" borderId="0"/>
    <xf numFmtId="0" fontId="32" fillId="0" borderId="0"/>
    <xf numFmtId="9" fontId="32" fillId="0" borderId="0" applyFont="0" applyFill="0" applyBorder="0" applyProtection="0"/>
    <xf numFmtId="9" fontId="32" fillId="0" borderId="0" applyFont="0" applyFill="0" applyBorder="0" applyProtection="0"/>
    <xf numFmtId="0" fontId="9" fillId="0" borderId="0"/>
    <xf numFmtId="0" fontId="8" fillId="0" borderId="0"/>
    <xf numFmtId="0" fontId="42" fillId="0" borderId="0" applyNumberFormat="0" applyFill="0" applyBorder="0"/>
    <xf numFmtId="0" fontId="3" fillId="0" borderId="0"/>
    <xf numFmtId="9" fontId="3" fillId="0" borderId="0" applyFont="0" applyFill="0" applyBorder="0" applyAlignment="0" applyProtection="0"/>
  </cellStyleXfs>
  <cellXfs count="426">
    <xf numFmtId="0" fontId="0" fillId="0" borderId="0" xfId="0"/>
    <xf numFmtId="0" fontId="10" fillId="0" borderId="0" xfId="0" applyFont="1"/>
    <xf numFmtId="0" fontId="12" fillId="0" borderId="0" xfId="0" applyFont="1" applyAlignment="1">
      <alignment horizontal="right"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 vertical="top" wrapText="1"/>
    </xf>
    <xf numFmtId="0" fontId="16" fillId="0" borderId="0" xfId="0" applyFont="1"/>
    <xf numFmtId="0" fontId="16" fillId="0" borderId="3" xfId="0" applyFont="1" applyBorder="1"/>
    <xf numFmtId="167" fontId="12" fillId="0" borderId="0" xfId="0" applyNumberFormat="1" applyFont="1" applyAlignment="1">
      <alignment horizontal="right" vertical="top" wrapText="1"/>
    </xf>
    <xf numFmtId="167" fontId="15" fillId="0" borderId="0" xfId="0" applyNumberFormat="1" applyFont="1" applyAlignment="1">
      <alignment horizontal="right" vertical="top" wrapText="1"/>
    </xf>
    <xf numFmtId="0" fontId="0" fillId="0" borderId="3" xfId="0" applyBorder="1"/>
    <xf numFmtId="0" fontId="16" fillId="0" borderId="6" xfId="0" applyFont="1" applyBorder="1"/>
    <xf numFmtId="0" fontId="11" fillId="10" borderId="3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/>
    </xf>
    <xf numFmtId="0" fontId="26" fillId="14" borderId="8" xfId="0" applyFont="1" applyFill="1" applyBorder="1" applyAlignment="1">
      <alignment horizontal="center"/>
    </xf>
    <xf numFmtId="0" fontId="26" fillId="14" borderId="0" xfId="0" applyFont="1" applyFill="1" applyAlignment="1">
      <alignment horizontal="center"/>
    </xf>
    <xf numFmtId="0" fontId="27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8" fillId="15" borderId="3" xfId="0" applyFont="1" applyFill="1" applyBorder="1" applyAlignment="1">
      <alignment horizontal="center" vertical="center" wrapText="1"/>
    </xf>
    <xf numFmtId="0" fontId="28" fillId="15" borderId="3" xfId="0" applyFont="1" applyFill="1" applyBorder="1" applyAlignment="1">
      <alignment horizontal="center" vertical="center"/>
    </xf>
    <xf numFmtId="0" fontId="0" fillId="0" borderId="3" xfId="0" quotePrefix="1" applyBorder="1"/>
    <xf numFmtId="0" fontId="22" fillId="0" borderId="3" xfId="0" quotePrefix="1" applyFont="1" applyBorder="1"/>
    <xf numFmtId="0" fontId="22" fillId="0" borderId="3" xfId="0" applyFont="1" applyBorder="1"/>
    <xf numFmtId="0" fontId="29" fillId="0" borderId="3" xfId="0" applyFont="1" applyBorder="1"/>
    <xf numFmtId="0" fontId="30" fillId="0" borderId="3" xfId="0" applyFont="1" applyBorder="1"/>
    <xf numFmtId="0" fontId="31" fillId="0" borderId="3" xfId="0" applyFont="1" applyBorder="1"/>
    <xf numFmtId="0" fontId="31" fillId="0" borderId="3" xfId="0" quotePrefix="1" applyFont="1" applyBorder="1"/>
    <xf numFmtId="0" fontId="28" fillId="14" borderId="3" xfId="0" applyFont="1" applyFill="1" applyBorder="1" applyAlignment="1">
      <alignment horizontal="center" vertical="center" wrapText="1"/>
    </xf>
    <xf numFmtId="0" fontId="28" fillId="14" borderId="3" xfId="0" applyFont="1" applyFill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18" fillId="0" borderId="4" xfId="0" applyFont="1" applyBorder="1" applyAlignment="1">
      <alignment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2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5" fillId="4" borderId="3" xfId="0" applyFont="1" applyFill="1" applyBorder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167" fontId="25" fillId="5" borderId="3" xfId="0" applyNumberFormat="1" applyFont="1" applyFill="1" applyBorder="1" applyAlignment="1">
      <alignment horizontal="right" vertical="top" wrapText="1"/>
    </xf>
    <xf numFmtId="167" fontId="25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center"/>
    </xf>
    <xf numFmtId="167" fontId="37" fillId="0" borderId="0" xfId="0" applyNumberFormat="1" applyFont="1" applyAlignment="1">
      <alignment horizontal="right" vertical="top" wrapText="1"/>
    </xf>
    <xf numFmtId="167" fontId="34" fillId="7" borderId="3" xfId="0" applyNumberFormat="1" applyFont="1" applyFill="1" applyBorder="1" applyAlignment="1">
      <alignment horizontal="right" vertical="top" wrapText="1"/>
    </xf>
    <xf numFmtId="167" fontId="36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left" vertical="top" wrapText="1"/>
    </xf>
    <xf numFmtId="167" fontId="38" fillId="6" borderId="0" xfId="0" applyNumberFormat="1" applyFont="1" applyFill="1" applyAlignment="1">
      <alignment horizontal="right" vertical="top" wrapText="1"/>
    </xf>
    <xf numFmtId="167" fontId="35" fillId="6" borderId="0" xfId="0" applyNumberFormat="1" applyFont="1" applyFill="1" applyAlignment="1">
      <alignment horizontal="right" vertical="top" wrapText="1"/>
    </xf>
    <xf numFmtId="167" fontId="35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right" vertical="top"/>
    </xf>
    <xf numFmtId="167" fontId="34" fillId="0" borderId="0" xfId="0" applyNumberFormat="1" applyFont="1" applyAlignment="1">
      <alignment horizontal="right" vertical="top" wrapText="1"/>
    </xf>
    <xf numFmtId="167" fontId="0" fillId="0" borderId="0" xfId="0" applyNumberFormat="1"/>
    <xf numFmtId="0" fontId="36" fillId="0" borderId="3" xfId="0" applyFont="1" applyBorder="1" applyAlignment="1">
      <alignment horizontal="right" vertical="top" wrapText="1"/>
    </xf>
    <xf numFmtId="0" fontId="39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right" vertical="top" wrapText="1"/>
    </xf>
    <xf numFmtId="167" fontId="40" fillId="0" borderId="3" xfId="0" applyNumberFormat="1" applyFont="1" applyBorder="1" applyAlignment="1">
      <alignment horizontal="right" vertical="top" wrapText="1"/>
    </xf>
    <xf numFmtId="167" fontId="41" fillId="0" borderId="3" xfId="0" applyNumberFormat="1" applyFont="1" applyBorder="1" applyAlignment="1">
      <alignment horizontal="right" vertical="top" wrapText="1"/>
    </xf>
    <xf numFmtId="0" fontId="20" fillId="0" borderId="3" xfId="12" applyFont="1" applyFill="1" applyBorder="1" applyAlignment="1">
      <alignment horizontal="left" vertical="center" wrapText="1"/>
    </xf>
    <xf numFmtId="0" fontId="18" fillId="0" borderId="0" xfId="0" applyFont="1" applyAlignment="1">
      <alignment vertical="top" wrapText="1"/>
    </xf>
    <xf numFmtId="0" fontId="39" fillId="0" borderId="13" xfId="0" applyFont="1" applyBorder="1" applyAlignment="1">
      <alignment horizontal="center" vertical="center"/>
    </xf>
    <xf numFmtId="0" fontId="7" fillId="0" borderId="0" xfId="0" applyFont="1"/>
    <xf numFmtId="0" fontId="4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1" fillId="10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10" borderId="6" xfId="0" applyFont="1" applyFill="1" applyBorder="1" applyAlignment="1">
      <alignment horizontal="center" vertical="center" wrapText="1"/>
    </xf>
    <xf numFmtId="167" fontId="16" fillId="0" borderId="0" xfId="0" applyNumberFormat="1" applyFont="1"/>
    <xf numFmtId="0" fontId="27" fillId="0" borderId="3" xfId="0" applyFont="1" applyBorder="1" applyAlignment="1">
      <alignment horizontal="left" vertical="top" wrapText="1"/>
    </xf>
    <xf numFmtId="0" fontId="17" fillId="8" borderId="3" xfId="0" applyFont="1" applyFill="1" applyBorder="1" applyAlignment="1">
      <alignment horizontal="center" vertical="center" wrapText="1"/>
    </xf>
    <xf numFmtId="0" fontId="6" fillId="0" borderId="0" xfId="0" applyFont="1"/>
    <xf numFmtId="0" fontId="26" fillId="0" borderId="11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24" fillId="12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 wrapText="1"/>
    </xf>
    <xf numFmtId="168" fontId="48" fillId="6" borderId="3" xfId="0" applyNumberFormat="1" applyFont="1" applyFill="1" applyBorder="1" applyAlignment="1">
      <alignment horizontal="center" vertical="center" wrapText="1"/>
    </xf>
    <xf numFmtId="168" fontId="48" fillId="6" borderId="8" xfId="0" applyNumberFormat="1" applyFont="1" applyFill="1" applyBorder="1" applyAlignment="1">
      <alignment horizontal="center" vertical="center" wrapText="1"/>
    </xf>
    <xf numFmtId="14" fontId="11" fillId="21" borderId="3" xfId="0" applyNumberFormat="1" applyFont="1" applyFill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17" fillId="25" borderId="8" xfId="0" applyNumberFormat="1" applyFont="1" applyFill="1" applyBorder="1" applyAlignment="1">
      <alignment horizontal="center" vertical="center" wrapText="1"/>
    </xf>
    <xf numFmtId="14" fontId="17" fillId="27" borderId="8" xfId="0" applyNumberFormat="1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 vertical="top"/>
    </xf>
    <xf numFmtId="0" fontId="24" fillId="9" borderId="5" xfId="0" applyFont="1" applyFill="1" applyBorder="1" applyAlignment="1">
      <alignment horizontal="center" vertical="center"/>
    </xf>
    <xf numFmtId="167" fontId="44" fillId="0" borderId="3" xfId="0" applyNumberFormat="1" applyFont="1" applyBorder="1" applyAlignment="1">
      <alignment horizontal="right" vertical="center" wrapText="1"/>
    </xf>
    <xf numFmtId="164" fontId="45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 wrapText="1"/>
    </xf>
    <xf numFmtId="14" fontId="11" fillId="0" borderId="3" xfId="0" applyNumberFormat="1" applyFont="1" applyBorder="1" applyAlignment="1">
      <alignment vertical="center"/>
    </xf>
    <xf numFmtId="0" fontId="10" fillId="13" borderId="3" xfId="0" applyFont="1" applyFill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164" fontId="45" fillId="0" borderId="3" xfId="0" applyNumberFormat="1" applyFont="1" applyBorder="1" applyAlignment="1">
      <alignment vertical="center" wrapText="1"/>
    </xf>
    <xf numFmtId="164" fontId="45" fillId="3" borderId="3" xfId="0" applyNumberFormat="1" applyFont="1" applyFill="1" applyBorder="1" applyAlignment="1">
      <alignment vertical="center" wrapText="1"/>
    </xf>
    <xf numFmtId="167" fontId="44" fillId="0" borderId="3" xfId="0" applyNumberFormat="1" applyFont="1" applyBorder="1" applyAlignment="1">
      <alignment vertical="center" wrapText="1"/>
    </xf>
    <xf numFmtId="1" fontId="46" fillId="11" borderId="3" xfId="2" applyNumberFormat="1" applyFont="1" applyFill="1" applyBorder="1" applyAlignment="1">
      <alignment vertical="center" wrapText="1"/>
    </xf>
    <xf numFmtId="9" fontId="46" fillId="0" borderId="3" xfId="8" applyFont="1" applyFill="1" applyBorder="1" applyAlignment="1">
      <alignment horizontal="center" vertical="center"/>
    </xf>
    <xf numFmtId="0" fontId="44" fillId="0" borderId="3" xfId="0" applyFont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49" fillId="13" borderId="3" xfId="0" applyFont="1" applyFill="1" applyBorder="1" applyAlignment="1">
      <alignment vertical="center" wrapText="1"/>
    </xf>
    <xf numFmtId="0" fontId="24" fillId="12" borderId="9" xfId="0" applyFont="1" applyFill="1" applyBorder="1" applyAlignment="1">
      <alignment horizontal="center" vertical="center"/>
    </xf>
    <xf numFmtId="14" fontId="11" fillId="6" borderId="9" xfId="0" applyNumberFormat="1" applyFont="1" applyFill="1" applyBorder="1" applyAlignment="1">
      <alignment horizontal="center" vertical="center" wrapText="1"/>
    </xf>
    <xf numFmtId="9" fontId="10" fillId="21" borderId="7" xfId="0" applyNumberFormat="1" applyFont="1" applyFill="1" applyBorder="1" applyAlignment="1">
      <alignment horizontal="center" vertical="center"/>
    </xf>
    <xf numFmtId="9" fontId="10" fillId="0" borderId="3" xfId="0" applyNumberFormat="1" applyFont="1" applyBorder="1" applyAlignment="1">
      <alignment horizontal="center" vertical="center"/>
    </xf>
    <xf numFmtId="9" fontId="10" fillId="26" borderId="7" xfId="0" applyNumberFormat="1" applyFont="1" applyFill="1" applyBorder="1" applyAlignment="1">
      <alignment horizontal="center" vertical="center"/>
    </xf>
    <xf numFmtId="9" fontId="10" fillId="29" borderId="7" xfId="0" applyNumberFormat="1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 vertical="center" wrapText="1"/>
    </xf>
    <xf numFmtId="0" fontId="4" fillId="0" borderId="0" xfId="0" applyFont="1"/>
    <xf numFmtId="0" fontId="20" fillId="31" borderId="3" xfId="0" applyFont="1" applyFill="1" applyBorder="1" applyAlignment="1">
      <alignment vertical="center" wrapText="1"/>
    </xf>
    <xf numFmtId="164" fontId="50" fillId="31" borderId="3" xfId="0" applyNumberFormat="1" applyFont="1" applyFill="1" applyBorder="1" applyAlignment="1">
      <alignment vertical="center" wrapText="1"/>
    </xf>
    <xf numFmtId="164" fontId="45" fillId="31" borderId="3" xfId="0" applyNumberFormat="1" applyFont="1" applyFill="1" applyBorder="1" applyAlignment="1">
      <alignment vertical="center" wrapText="1"/>
    </xf>
    <xf numFmtId="167" fontId="46" fillId="31" borderId="3" xfId="0" applyNumberFormat="1" applyFont="1" applyFill="1" applyBorder="1" applyAlignment="1">
      <alignment vertical="center" wrapText="1"/>
    </xf>
    <xf numFmtId="0" fontId="10" fillId="31" borderId="3" xfId="0" applyFont="1" applyFill="1" applyBorder="1" applyAlignment="1">
      <alignment vertical="center"/>
    </xf>
    <xf numFmtId="49" fontId="10" fillId="31" borderId="3" xfId="0" applyNumberFormat="1" applyFont="1" applyFill="1" applyBorder="1" applyAlignment="1">
      <alignment horizontal="center" vertical="center"/>
    </xf>
    <xf numFmtId="9" fontId="10" fillId="31" borderId="3" xfId="0" applyNumberFormat="1" applyFont="1" applyFill="1" applyBorder="1" applyAlignment="1">
      <alignment horizontal="center" vertical="center"/>
    </xf>
    <xf numFmtId="1" fontId="46" fillId="32" borderId="3" xfId="2" applyNumberFormat="1" applyFont="1" applyFill="1" applyBorder="1" applyAlignment="1">
      <alignment vertical="center" wrapText="1"/>
    </xf>
    <xf numFmtId="0" fontId="10" fillId="33" borderId="3" xfId="0" applyFont="1" applyFill="1" applyBorder="1" applyAlignment="1">
      <alignment horizontal="center" vertical="center" wrapText="1"/>
    </xf>
    <xf numFmtId="14" fontId="11" fillId="31" borderId="3" xfId="0" applyNumberFormat="1" applyFont="1" applyFill="1" applyBorder="1" applyAlignment="1">
      <alignment vertical="center"/>
    </xf>
    <xf numFmtId="0" fontId="10" fillId="33" borderId="3" xfId="0" applyFont="1" applyFill="1" applyBorder="1" applyAlignment="1">
      <alignment vertical="center" wrapText="1"/>
    </xf>
    <xf numFmtId="14" fontId="11" fillId="0" borderId="6" xfId="0" applyNumberFormat="1" applyFont="1" applyBorder="1" applyAlignment="1">
      <alignment horizontal="center" vertical="center"/>
    </xf>
    <xf numFmtId="167" fontId="44" fillId="0" borderId="6" xfId="0" applyNumberFormat="1" applyFont="1" applyBorder="1" applyAlignment="1">
      <alignment horizontal="right" vertical="center" wrapText="1"/>
    </xf>
    <xf numFmtId="0" fontId="46" fillId="0" borderId="6" xfId="0" applyFont="1" applyBorder="1" applyAlignment="1">
      <alignment horizontal="center" vertical="center" wrapText="1"/>
    </xf>
    <xf numFmtId="8" fontId="26" fillId="0" borderId="0" xfId="0" applyNumberFormat="1" applyFont="1"/>
    <xf numFmtId="0" fontId="10" fillId="26" borderId="3" xfId="0" applyFont="1" applyFill="1" applyBorder="1" applyAlignment="1">
      <alignment horizontal="center" vertical="center"/>
    </xf>
    <xf numFmtId="0" fontId="10" fillId="29" borderId="3" xfId="0" applyFont="1" applyFill="1" applyBorder="1" applyAlignment="1">
      <alignment horizontal="center" vertical="center"/>
    </xf>
    <xf numFmtId="0" fontId="10" fillId="31" borderId="3" xfId="0" applyFont="1" applyFill="1" applyBorder="1" applyAlignment="1">
      <alignment horizontal="center" vertical="center"/>
    </xf>
    <xf numFmtId="14" fontId="21" fillId="0" borderId="3" xfId="6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 wrapText="1"/>
    </xf>
    <xf numFmtId="14" fontId="10" fillId="0" borderId="3" xfId="0" applyNumberFormat="1" applyFont="1" applyBorder="1" applyAlignment="1">
      <alignment vertical="center"/>
    </xf>
    <xf numFmtId="0" fontId="24" fillId="6" borderId="8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/>
    </xf>
    <xf numFmtId="14" fontId="11" fillId="21" borderId="3" xfId="0" applyNumberFormat="1" applyFont="1" applyFill="1" applyBorder="1" applyAlignment="1">
      <alignment vertical="center"/>
    </xf>
    <xf numFmtId="14" fontId="11" fillId="0" borderId="6" xfId="0" applyNumberFormat="1" applyFont="1" applyBorder="1" applyAlignment="1">
      <alignment vertical="center"/>
    </xf>
    <xf numFmtId="0" fontId="24" fillId="25" borderId="8" xfId="0" applyFont="1" applyFill="1" applyBorder="1" applyAlignment="1">
      <alignment horizontal="center" vertical="center" wrapText="1"/>
    </xf>
    <xf numFmtId="0" fontId="24" fillId="27" borderId="10" xfId="0" applyFont="1" applyFill="1" applyBorder="1" applyAlignment="1">
      <alignment horizontal="center" vertical="center" wrapText="1"/>
    </xf>
    <xf numFmtId="14" fontId="11" fillId="31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47" fillId="6" borderId="3" xfId="0" applyFont="1" applyFill="1" applyBorder="1" applyAlignment="1">
      <alignment horizontal="center" vertical="center" wrapText="1"/>
    </xf>
    <xf numFmtId="0" fontId="47" fillId="6" borderId="9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46" fillId="16" borderId="3" xfId="0" applyFont="1" applyFill="1" applyBorder="1" applyAlignment="1">
      <alignment horizontal="center" vertical="center" wrapText="1"/>
    </xf>
    <xf numFmtId="0" fontId="46" fillId="31" borderId="3" xfId="0" applyFont="1" applyFill="1" applyBorder="1" applyAlignment="1">
      <alignment horizontal="center" vertical="center" wrapText="1"/>
    </xf>
    <xf numFmtId="0" fontId="46" fillId="24" borderId="3" xfId="0" applyFont="1" applyFill="1" applyBorder="1" applyAlignment="1">
      <alignment horizontal="center" vertical="center" wrapText="1"/>
    </xf>
    <xf numFmtId="0" fontId="46" fillId="28" borderId="3" xfId="0" applyFont="1" applyFill="1" applyBorder="1" applyAlignment="1">
      <alignment horizontal="center" vertical="center" wrapText="1"/>
    </xf>
    <xf numFmtId="14" fontId="21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9" fillId="0" borderId="3" xfId="0" applyFont="1" applyBorder="1" applyAlignment="1">
      <alignment vertical="center" wrapText="1"/>
    </xf>
    <xf numFmtId="164" fontId="51" fillId="0" borderId="3" xfId="0" applyNumberFormat="1" applyFont="1" applyBorder="1" applyAlignment="1">
      <alignment vertical="center" wrapText="1"/>
    </xf>
    <xf numFmtId="49" fontId="10" fillId="0" borderId="6" xfId="0" applyNumberFormat="1" applyFont="1" applyBorder="1" applyAlignment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8" fontId="16" fillId="0" borderId="0" xfId="0" applyNumberFormat="1" applyFont="1" applyAlignment="1">
      <alignment horizontal="center"/>
    </xf>
    <xf numFmtId="164" fontId="50" fillId="0" borderId="3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vertical="center" wrapText="1"/>
    </xf>
    <xf numFmtId="8" fontId="16" fillId="0" borderId="0" xfId="0" applyNumberFormat="1" applyFont="1"/>
    <xf numFmtId="0" fontId="0" fillId="0" borderId="0" xfId="0" applyAlignment="1">
      <alignment horizontal="center" vertical="center"/>
    </xf>
    <xf numFmtId="0" fontId="52" fillId="0" borderId="6" xfId="0" applyFont="1" applyBorder="1" applyAlignment="1">
      <alignment horizontal="left" vertical="center" wrapText="1"/>
    </xf>
    <xf numFmtId="14" fontId="21" fillId="0" borderId="6" xfId="0" applyNumberFormat="1" applyFont="1" applyBorder="1" applyAlignment="1">
      <alignment horizontal="center" vertical="center"/>
    </xf>
    <xf numFmtId="167" fontId="26" fillId="34" borderId="0" xfId="0" applyNumberFormat="1" applyFont="1" applyFill="1"/>
    <xf numFmtId="0" fontId="20" fillId="0" borderId="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46" fillId="35" borderId="3" xfId="0" applyFont="1" applyFill="1" applyBorder="1" applyAlignment="1">
      <alignment horizontal="center" vertical="center" wrapText="1"/>
    </xf>
    <xf numFmtId="0" fontId="39" fillId="36" borderId="3" xfId="0" applyFont="1" applyFill="1" applyBorder="1" applyAlignment="1">
      <alignment horizontal="center" vertical="center"/>
    </xf>
    <xf numFmtId="167" fontId="26" fillId="34" borderId="0" xfId="0" applyNumberFormat="1" applyFont="1" applyFill="1" applyAlignment="1">
      <alignment horizontal="center" vertical="top" wrapText="1"/>
    </xf>
    <xf numFmtId="0" fontId="26" fillId="31" borderId="3" xfId="0" applyFont="1" applyFill="1" applyBorder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0" fontId="26" fillId="37" borderId="16" xfId="0" applyFont="1" applyFill="1" applyBorder="1" applyAlignment="1">
      <alignment horizontal="center" vertical="center"/>
    </xf>
    <xf numFmtId="0" fontId="56" fillId="31" borderId="17" xfId="0" applyFont="1" applyFill="1" applyBorder="1" applyAlignment="1">
      <alignment horizontal="right"/>
    </xf>
    <xf numFmtId="169" fontId="43" fillId="31" borderId="18" xfId="0" applyNumberFormat="1" applyFont="1" applyFill="1" applyBorder="1"/>
    <xf numFmtId="169" fontId="43" fillId="31" borderId="19" xfId="0" applyNumberFormat="1" applyFont="1" applyFill="1" applyBorder="1"/>
    <xf numFmtId="169" fontId="43" fillId="31" borderId="14" xfId="0" applyNumberFormat="1" applyFont="1" applyFill="1" applyBorder="1"/>
    <xf numFmtId="0" fontId="57" fillId="0" borderId="14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0" xfId="0" applyBorder="1"/>
    <xf numFmtId="0" fontId="55" fillId="38" borderId="0" xfId="0" applyFont="1" applyFill="1" applyAlignment="1">
      <alignment horizontal="center" vertical="center"/>
    </xf>
    <xf numFmtId="0" fontId="55" fillId="38" borderId="16" xfId="0" applyFont="1" applyFill="1" applyBorder="1" applyAlignment="1">
      <alignment horizontal="center" vertical="center"/>
    </xf>
    <xf numFmtId="0" fontId="55" fillId="38" borderId="24" xfId="0" applyFont="1" applyFill="1" applyBorder="1" applyAlignment="1">
      <alignment horizontal="center" vertical="center"/>
    </xf>
    <xf numFmtId="0" fontId="55" fillId="38" borderId="25" xfId="0" applyFont="1" applyFill="1" applyBorder="1" applyAlignment="1">
      <alignment horizontal="left" vertical="center"/>
    </xf>
    <xf numFmtId="169" fontId="0" fillId="0" borderId="3" xfId="0" applyNumberFormat="1" applyBorder="1"/>
    <xf numFmtId="169" fontId="0" fillId="0" borderId="26" xfId="0" applyNumberFormat="1" applyBorder="1"/>
    <xf numFmtId="169" fontId="0" fillId="0" borderId="27" xfId="0" applyNumberFormat="1" applyBorder="1"/>
    <xf numFmtId="169" fontId="0" fillId="37" borderId="3" xfId="0" applyNumberFormat="1" applyFill="1" applyBorder="1"/>
    <xf numFmtId="0" fontId="0" fillId="0" borderId="25" xfId="0" applyBorder="1"/>
    <xf numFmtId="0" fontId="0" fillId="0" borderId="16" xfId="0" applyBorder="1"/>
    <xf numFmtId="0" fontId="55" fillId="38" borderId="25" xfId="0" applyFont="1" applyFill="1" applyBorder="1" applyAlignment="1">
      <alignment horizontal="right" vertical="center"/>
    </xf>
    <xf numFmtId="169" fontId="55" fillId="38" borderId="3" xfId="0" applyNumberFormat="1" applyFont="1" applyFill="1" applyBorder="1"/>
    <xf numFmtId="169" fontId="55" fillId="38" borderId="26" xfId="0" applyNumberFormat="1" applyFont="1" applyFill="1" applyBorder="1"/>
    <xf numFmtId="169" fontId="55" fillId="38" borderId="27" xfId="0" applyNumberFormat="1" applyFont="1" applyFill="1" applyBorder="1"/>
    <xf numFmtId="0" fontId="10" fillId="0" borderId="14" xfId="0" applyFont="1" applyBorder="1" applyAlignment="1">
      <alignment horizontal="center"/>
    </xf>
    <xf numFmtId="0" fontId="0" fillId="0" borderId="24" xfId="0" applyBorder="1"/>
    <xf numFmtId="0" fontId="55" fillId="39" borderId="0" xfId="0" applyFont="1" applyFill="1" applyAlignment="1">
      <alignment horizontal="center" vertical="center"/>
    </xf>
    <xf numFmtId="0" fontId="55" fillId="39" borderId="16" xfId="0" applyFont="1" applyFill="1" applyBorder="1" applyAlignment="1">
      <alignment horizontal="center" vertical="center"/>
    </xf>
    <xf numFmtId="0" fontId="55" fillId="39" borderId="24" xfId="0" applyFont="1" applyFill="1" applyBorder="1" applyAlignment="1">
      <alignment horizontal="center" vertical="center"/>
    </xf>
    <xf numFmtId="0" fontId="55" fillId="39" borderId="25" xfId="0" applyFont="1" applyFill="1" applyBorder="1" applyAlignment="1">
      <alignment horizontal="left" vertical="center"/>
    </xf>
    <xf numFmtId="0" fontId="55" fillId="39" borderId="25" xfId="0" applyFont="1" applyFill="1" applyBorder="1" applyAlignment="1">
      <alignment horizontal="right" vertical="center"/>
    </xf>
    <xf numFmtId="170" fontId="9" fillId="39" borderId="27" xfId="0" applyNumberFormat="1" applyFont="1" applyFill="1" applyBorder="1"/>
    <xf numFmtId="0" fontId="55" fillId="30" borderId="0" xfId="0" applyFont="1" applyFill="1" applyAlignment="1">
      <alignment horizontal="center" vertical="center"/>
    </xf>
    <xf numFmtId="0" fontId="55" fillId="30" borderId="16" xfId="0" applyFont="1" applyFill="1" applyBorder="1" applyAlignment="1">
      <alignment horizontal="center" vertical="center"/>
    </xf>
    <xf numFmtId="0" fontId="55" fillId="30" borderId="24" xfId="0" applyFont="1" applyFill="1" applyBorder="1" applyAlignment="1">
      <alignment horizontal="center" vertical="center"/>
    </xf>
    <xf numFmtId="0" fontId="55" fillId="30" borderId="25" xfId="0" applyFont="1" applyFill="1" applyBorder="1" applyAlignment="1">
      <alignment horizontal="left" vertical="center"/>
    </xf>
    <xf numFmtId="0" fontId="55" fillId="30" borderId="25" xfId="0" applyFont="1" applyFill="1" applyBorder="1" applyAlignment="1">
      <alignment horizontal="right" vertical="center"/>
    </xf>
    <xf numFmtId="167" fontId="55" fillId="30" borderId="24" xfId="0" applyNumberFormat="1" applyFont="1" applyFill="1" applyBorder="1" applyAlignment="1">
      <alignment horizontal="right" vertical="center"/>
    </xf>
    <xf numFmtId="0" fontId="55" fillId="40" borderId="0" xfId="0" applyFont="1" applyFill="1" applyAlignment="1">
      <alignment horizontal="center" vertical="center"/>
    </xf>
    <xf numFmtId="0" fontId="55" fillId="40" borderId="16" xfId="0" applyFont="1" applyFill="1" applyBorder="1" applyAlignment="1">
      <alignment horizontal="center" vertical="center"/>
    </xf>
    <xf numFmtId="0" fontId="55" fillId="40" borderId="24" xfId="0" applyFont="1" applyFill="1" applyBorder="1" applyAlignment="1">
      <alignment horizontal="center" vertical="center"/>
    </xf>
    <xf numFmtId="0" fontId="55" fillId="40" borderId="25" xfId="0" applyFont="1" applyFill="1" applyBorder="1" applyAlignment="1">
      <alignment horizontal="left" vertical="center"/>
    </xf>
    <xf numFmtId="0" fontId="55" fillId="40" borderId="25" xfId="0" applyFont="1" applyFill="1" applyBorder="1" applyAlignment="1">
      <alignment horizontal="right" vertical="center"/>
    </xf>
    <xf numFmtId="167" fontId="55" fillId="40" borderId="11" xfId="0" applyNumberFormat="1" applyFont="1" applyFill="1" applyBorder="1" applyAlignment="1">
      <alignment horizontal="right" vertical="center"/>
    </xf>
    <xf numFmtId="167" fontId="55" fillId="40" borderId="28" xfId="0" applyNumberFormat="1" applyFont="1" applyFill="1" applyBorder="1" applyAlignment="1">
      <alignment horizontal="right" vertical="center"/>
    </xf>
    <xf numFmtId="167" fontId="55" fillId="40" borderId="24" xfId="0" applyNumberFormat="1" applyFont="1" applyFill="1" applyBorder="1" applyAlignment="1">
      <alignment horizontal="right" vertical="center"/>
    </xf>
    <xf numFmtId="0" fontId="55" fillId="37" borderId="25" xfId="0" applyFont="1" applyFill="1" applyBorder="1" applyAlignment="1">
      <alignment horizontal="right" vertical="center"/>
    </xf>
    <xf numFmtId="167" fontId="55" fillId="37" borderId="11" xfId="0" applyNumberFormat="1" applyFont="1" applyFill="1" applyBorder="1" applyAlignment="1">
      <alignment horizontal="right" vertical="center"/>
    </xf>
    <xf numFmtId="167" fontId="55" fillId="37" borderId="28" xfId="0" applyNumberFormat="1" applyFont="1" applyFill="1" applyBorder="1" applyAlignment="1">
      <alignment horizontal="right" vertical="center"/>
    </xf>
    <xf numFmtId="167" fontId="55" fillId="37" borderId="24" xfId="0" applyNumberFormat="1" applyFont="1" applyFill="1" applyBorder="1" applyAlignment="1">
      <alignment horizontal="right" vertical="center"/>
    </xf>
    <xf numFmtId="0" fontId="26" fillId="31" borderId="17" xfId="0" applyFont="1" applyFill="1" applyBorder="1" applyAlignment="1">
      <alignment horizontal="right"/>
    </xf>
    <xf numFmtId="169" fontId="26" fillId="31" borderId="18" xfId="0" applyNumberFormat="1" applyFont="1" applyFill="1" applyBorder="1"/>
    <xf numFmtId="169" fontId="26" fillId="31" borderId="19" xfId="0" applyNumberFormat="1" applyFont="1" applyFill="1" applyBorder="1"/>
    <xf numFmtId="169" fontId="26" fillId="31" borderId="14" xfId="0" applyNumberFormat="1" applyFont="1" applyFill="1" applyBorder="1"/>
    <xf numFmtId="171" fontId="0" fillId="0" borderId="0" xfId="0" applyNumberFormat="1"/>
    <xf numFmtId="171" fontId="9" fillId="39" borderId="3" xfId="0" applyNumberFormat="1" applyFont="1" applyFill="1" applyBorder="1"/>
    <xf numFmtId="44" fontId="55" fillId="30" borderId="11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164" fontId="45" fillId="0" borderId="7" xfId="0" applyNumberFormat="1" applyFont="1" applyBorder="1" applyAlignment="1">
      <alignment horizontal="center" vertical="center" wrapText="1"/>
    </xf>
    <xf numFmtId="164" fontId="51" fillId="0" borderId="7" xfId="0" applyNumberFormat="1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9" fontId="46" fillId="11" borderId="3" xfId="8" applyFont="1" applyFill="1" applyBorder="1" applyAlignment="1">
      <alignment horizontal="center" vertical="center"/>
    </xf>
    <xf numFmtId="0" fontId="45" fillId="6" borderId="3" xfId="0" applyFont="1" applyFill="1" applyBorder="1" applyAlignment="1">
      <alignment horizontal="center" vertical="center"/>
    </xf>
    <xf numFmtId="9" fontId="44" fillId="20" borderId="3" xfId="8" applyFont="1" applyFill="1" applyBorder="1" applyAlignment="1">
      <alignment horizontal="center" vertical="center"/>
    </xf>
    <xf numFmtId="0" fontId="24" fillId="25" borderId="3" xfId="0" applyFont="1" applyFill="1" applyBorder="1" applyAlignment="1">
      <alignment horizontal="center" vertical="center"/>
    </xf>
    <xf numFmtId="0" fontId="24" fillId="27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46" fillId="32" borderId="3" xfId="8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4" fontId="50" fillId="0" borderId="3" xfId="0" applyNumberFormat="1" applyFont="1" applyBorder="1" applyAlignment="1">
      <alignment vertical="center" wrapText="1"/>
    </xf>
    <xf numFmtId="167" fontId="26" fillId="0" borderId="0" xfId="0" applyNumberFormat="1" applyFont="1"/>
    <xf numFmtId="0" fontId="21" fillId="41" borderId="9" xfId="0" applyFont="1" applyFill="1" applyBorder="1" applyAlignment="1">
      <alignment horizontal="center" vertical="center" wrapText="1"/>
    </xf>
    <xf numFmtId="0" fontId="21" fillId="41" borderId="9" xfId="0" applyFont="1" applyFill="1" applyBorder="1" applyAlignment="1">
      <alignment horizontal="center" vertical="center"/>
    </xf>
    <xf numFmtId="0" fontId="20" fillId="41" borderId="8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 wrapText="1"/>
    </xf>
    <xf numFmtId="0" fontId="2" fillId="0" borderId="0" xfId="0" applyFont="1"/>
    <xf numFmtId="164" fontId="50" fillId="37" borderId="3" xfId="0" applyNumberFormat="1" applyFont="1" applyFill="1" applyBorder="1" applyAlignment="1">
      <alignment horizontal="center" vertical="center" wrapText="1"/>
    </xf>
    <xf numFmtId="0" fontId="43" fillId="0" borderId="0" xfId="0" applyFont="1"/>
    <xf numFmtId="0" fontId="55" fillId="42" borderId="25" xfId="0" applyFont="1" applyFill="1" applyBorder="1" applyAlignment="1">
      <alignment horizontal="left" vertical="center"/>
    </xf>
    <xf numFmtId="0" fontId="55" fillId="42" borderId="0" xfId="0" applyFont="1" applyFill="1" applyAlignment="1">
      <alignment horizontal="center" vertical="center"/>
    </xf>
    <xf numFmtId="0" fontId="55" fillId="42" borderId="16" xfId="0" applyFont="1" applyFill="1" applyBorder="1" applyAlignment="1">
      <alignment horizontal="center" vertical="center"/>
    </xf>
    <xf numFmtId="0" fontId="55" fillId="42" borderId="25" xfId="0" applyFont="1" applyFill="1" applyBorder="1" applyAlignment="1">
      <alignment horizontal="right" vertical="center"/>
    </xf>
    <xf numFmtId="171" fontId="55" fillId="42" borderId="3" xfId="0" applyNumberFormat="1" applyFont="1" applyFill="1" applyBorder="1"/>
    <xf numFmtId="0" fontId="46" fillId="0" borderId="3" xfId="0" applyFont="1" applyBorder="1" applyAlignment="1">
      <alignment vertical="center" wrapText="1"/>
    </xf>
    <xf numFmtId="169" fontId="0" fillId="0" borderId="0" xfId="0" applyNumberFormat="1"/>
    <xf numFmtId="164" fontId="6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3" fillId="43" borderId="3" xfId="0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center" vertical="center" wrapText="1"/>
    </xf>
    <xf numFmtId="0" fontId="10" fillId="44" borderId="3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9" fontId="49" fillId="34" borderId="6" xfId="0" applyNumberFormat="1" applyFont="1" applyFill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 wrapText="1"/>
    </xf>
    <xf numFmtId="0" fontId="64" fillId="0" borderId="3" xfId="0" applyFont="1" applyBorder="1" applyAlignment="1">
      <alignment horizontal="center" vertical="center"/>
    </xf>
    <xf numFmtId="167" fontId="66" fillId="0" borderId="6" xfId="0" applyNumberFormat="1" applyFont="1" applyBorder="1" applyAlignment="1">
      <alignment horizontal="right" vertical="center" wrapText="1"/>
    </xf>
    <xf numFmtId="0" fontId="65" fillId="35" borderId="3" xfId="0" applyFont="1" applyFill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49" fontId="64" fillId="0" borderId="3" xfId="0" applyNumberFormat="1" applyFont="1" applyBorder="1" applyAlignment="1">
      <alignment horizontal="center" vertical="center"/>
    </xf>
    <xf numFmtId="9" fontId="64" fillId="0" borderId="6" xfId="0" applyNumberFormat="1" applyFont="1" applyBorder="1" applyAlignment="1">
      <alignment horizontal="center" vertical="center"/>
    </xf>
    <xf numFmtId="164" fontId="61" fillId="34" borderId="3" xfId="0" applyNumberFormat="1" applyFont="1" applyFill="1" applyBorder="1" applyAlignment="1">
      <alignment horizontal="center" vertical="center" wrapText="1"/>
    </xf>
    <xf numFmtId="167" fontId="66" fillId="34" borderId="6" xfId="0" applyNumberFormat="1" applyFont="1" applyFill="1" applyBorder="1" applyAlignment="1">
      <alignment horizontal="right" vertical="center" wrapText="1"/>
    </xf>
    <xf numFmtId="0" fontId="65" fillId="34" borderId="3" xfId="0" applyFont="1" applyFill="1" applyBorder="1" applyAlignment="1">
      <alignment horizontal="center" vertical="center" wrapText="1"/>
    </xf>
    <xf numFmtId="0" fontId="64" fillId="34" borderId="3" xfId="0" applyFont="1" applyFill="1" applyBorder="1" applyAlignment="1">
      <alignment horizontal="center" vertical="center"/>
    </xf>
    <xf numFmtId="49" fontId="64" fillId="34" borderId="3" xfId="0" applyNumberFormat="1" applyFont="1" applyFill="1" applyBorder="1" applyAlignment="1">
      <alignment horizontal="center" vertical="center"/>
    </xf>
    <xf numFmtId="9" fontId="64" fillId="34" borderId="6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" fontId="44" fillId="11" borderId="6" xfId="2" applyNumberFormat="1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164" fontId="13" fillId="6" borderId="3" xfId="0" applyNumberFormat="1" applyFont="1" applyFill="1" applyBorder="1" applyAlignment="1">
      <alignment horizontal="right" vertical="center" wrapText="1"/>
    </xf>
    <xf numFmtId="164" fontId="13" fillId="6" borderId="7" xfId="0" applyNumberFormat="1" applyFont="1" applyFill="1" applyBorder="1" applyAlignment="1">
      <alignment horizontal="right" vertical="center" wrapText="1"/>
    </xf>
    <xf numFmtId="167" fontId="13" fillId="6" borderId="3" xfId="0" applyNumberFormat="1" applyFont="1" applyFill="1" applyBorder="1" applyAlignment="1">
      <alignment horizontal="right" vertical="center" wrapText="1"/>
    </xf>
    <xf numFmtId="49" fontId="11" fillId="6" borderId="3" xfId="0" applyNumberFormat="1" applyFont="1" applyFill="1" applyBorder="1" applyAlignment="1">
      <alignment horizontal="right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164" fontId="46" fillId="11" borderId="3" xfId="2" applyNumberFormat="1" applyFont="1" applyFill="1" applyBorder="1" applyAlignment="1">
      <alignment horizontal="right" vertical="center" wrapText="1"/>
    </xf>
    <xf numFmtId="164" fontId="46" fillId="11" borderId="7" xfId="2" applyNumberFormat="1" applyFont="1" applyFill="1" applyBorder="1" applyAlignment="1">
      <alignment horizontal="right" vertical="center" wrapText="1"/>
    </xf>
    <xf numFmtId="167" fontId="47" fillId="6" borderId="3" xfId="0" applyNumberFormat="1" applyFont="1" applyFill="1" applyBorder="1" applyAlignment="1">
      <alignment horizontal="right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3" fillId="6" borderId="9" xfId="0" applyFont="1" applyFill="1" applyBorder="1" applyAlignment="1">
      <alignment horizontal="left" vertical="center" wrapText="1"/>
    </xf>
    <xf numFmtId="167" fontId="47" fillId="6" borderId="9" xfId="0" applyNumberFormat="1" applyFont="1" applyFill="1" applyBorder="1" applyAlignment="1">
      <alignment horizontal="right" vertical="center" wrapText="1"/>
    </xf>
    <xf numFmtId="14" fontId="11" fillId="6" borderId="8" xfId="0" applyNumberFormat="1" applyFont="1" applyFill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right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7" fillId="12" borderId="9" xfId="0" applyFont="1" applyFill="1" applyBorder="1" applyAlignment="1">
      <alignment horizontal="left" vertical="center" wrapText="1"/>
    </xf>
    <xf numFmtId="44" fontId="19" fillId="12" borderId="3" xfId="0" applyNumberFormat="1" applyFont="1" applyFill="1" applyBorder="1" applyAlignment="1">
      <alignment horizontal="right" vertical="center"/>
    </xf>
    <xf numFmtId="49" fontId="24" fillId="12" borderId="9" xfId="0" applyNumberFormat="1" applyFont="1" applyFill="1" applyBorder="1" applyAlignment="1">
      <alignment horizontal="center" vertical="center"/>
    </xf>
    <xf numFmtId="0" fontId="10" fillId="12" borderId="0" xfId="0" applyFont="1" applyFill="1" applyAlignment="1">
      <alignment vertical="center"/>
    </xf>
    <xf numFmtId="0" fontId="46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44" fillId="16" borderId="6" xfId="0" applyFont="1" applyFill="1" applyBorder="1" applyAlignment="1">
      <alignment horizontal="left" vertical="center" wrapText="1"/>
    </xf>
    <xf numFmtId="0" fontId="46" fillId="16" borderId="7" xfId="0" applyFont="1" applyFill="1" applyBorder="1" applyAlignment="1">
      <alignment horizontal="left" vertical="center" wrapText="1"/>
    </xf>
    <xf numFmtId="0" fontId="44" fillId="16" borderId="9" xfId="0" applyFont="1" applyFill="1" applyBorder="1" applyAlignment="1">
      <alignment horizontal="left" vertical="center" wrapText="1"/>
    </xf>
    <xf numFmtId="164" fontId="45" fillId="17" borderId="3" xfId="0" applyNumberFormat="1" applyFont="1" applyFill="1" applyBorder="1" applyAlignment="1">
      <alignment horizontal="right" vertical="center" wrapText="1"/>
    </xf>
    <xf numFmtId="164" fontId="45" fillId="18" borderId="3" xfId="0" applyNumberFormat="1" applyFont="1" applyFill="1" applyBorder="1" applyAlignment="1">
      <alignment horizontal="right" vertical="center" wrapText="1"/>
    </xf>
    <xf numFmtId="164" fontId="13" fillId="17" borderId="3" xfId="0" applyNumberFormat="1" applyFont="1" applyFill="1" applyBorder="1" applyAlignment="1">
      <alignment horizontal="right" vertical="center" wrapText="1"/>
    </xf>
    <xf numFmtId="0" fontId="46" fillId="16" borderId="3" xfId="0" applyFont="1" applyFill="1" applyBorder="1" applyAlignment="1">
      <alignment horizontal="left" vertical="center" wrapText="1"/>
    </xf>
    <xf numFmtId="49" fontId="10" fillId="21" borderId="7" xfId="0" applyNumberFormat="1" applyFont="1" applyFill="1" applyBorder="1" applyAlignment="1">
      <alignment vertical="center"/>
    </xf>
    <xf numFmtId="0" fontId="10" fillId="19" borderId="3" xfId="0" applyFont="1" applyFill="1" applyBorder="1" applyAlignment="1">
      <alignment horizontal="center" vertical="center" wrapText="1"/>
    </xf>
    <xf numFmtId="0" fontId="10" fillId="19" borderId="3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left" vertical="center" wrapText="1"/>
    </xf>
    <xf numFmtId="164" fontId="50" fillId="0" borderId="3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vertical="center" wrapText="1"/>
    </xf>
    <xf numFmtId="0" fontId="10" fillId="30" borderId="0" xfId="0" applyFont="1" applyFill="1" applyAlignment="1">
      <alignment vertical="center"/>
    </xf>
    <xf numFmtId="0" fontId="65" fillId="0" borderId="6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left" vertical="center" wrapText="1"/>
    </xf>
    <xf numFmtId="164" fontId="45" fillId="0" borderId="3" xfId="0" applyNumberFormat="1" applyFont="1" applyBorder="1" applyAlignment="1">
      <alignment horizontal="right" vertical="center" wrapText="1"/>
    </xf>
    <xf numFmtId="164" fontId="50" fillId="17" borderId="3" xfId="0" applyNumberFormat="1" applyFont="1" applyFill="1" applyBorder="1" applyAlignment="1">
      <alignment horizontal="right" vertical="center" wrapText="1"/>
    </xf>
    <xf numFmtId="0" fontId="20" fillId="0" borderId="3" xfId="0" applyFont="1" applyBorder="1" applyAlignment="1">
      <alignment horizontal="center" vertical="center"/>
    </xf>
    <xf numFmtId="0" fontId="20" fillId="22" borderId="6" xfId="0" applyFont="1" applyFill="1" applyBorder="1" applyAlignment="1">
      <alignment horizontal="center" vertical="center"/>
    </xf>
    <xf numFmtId="164" fontId="10" fillId="0" borderId="3" xfId="0" applyNumberFormat="1" applyFont="1" applyBorder="1" applyAlignment="1">
      <alignment horizontal="right" vertical="center" wrapText="1"/>
    </xf>
    <xf numFmtId="164" fontId="13" fillId="0" borderId="3" xfId="0" applyNumberFormat="1" applyFont="1" applyBorder="1" applyAlignment="1">
      <alignment horizontal="right" vertical="center" wrapText="1"/>
    </xf>
    <xf numFmtId="0" fontId="20" fillId="0" borderId="6" xfId="0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/>
    </xf>
    <xf numFmtId="0" fontId="65" fillId="34" borderId="6" xfId="0" applyFont="1" applyFill="1" applyBorder="1" applyAlignment="1">
      <alignment horizontal="left" vertical="center" wrapText="1"/>
    </xf>
    <xf numFmtId="0" fontId="65" fillId="34" borderId="3" xfId="0" applyFont="1" applyFill="1" applyBorder="1" applyAlignment="1">
      <alignment horizontal="left" vertical="center" wrapText="1"/>
    </xf>
    <xf numFmtId="164" fontId="51" fillId="34" borderId="3" xfId="0" applyNumberFormat="1" applyFont="1" applyFill="1" applyBorder="1" applyAlignment="1">
      <alignment horizontal="right" vertical="center" wrapText="1"/>
    </xf>
    <xf numFmtId="164" fontId="61" fillId="34" borderId="3" xfId="0" applyNumberFormat="1" applyFont="1" applyFill="1" applyBorder="1" applyAlignment="1">
      <alignment horizontal="right" vertical="center" wrapText="1"/>
    </xf>
    <xf numFmtId="164" fontId="60" fillId="17" borderId="3" xfId="0" applyNumberFormat="1" applyFont="1" applyFill="1" applyBorder="1" applyAlignment="1">
      <alignment horizontal="right" vertical="center" wrapText="1"/>
    </xf>
    <xf numFmtId="0" fontId="46" fillId="0" borderId="10" xfId="0" applyFont="1" applyBorder="1" applyAlignment="1">
      <alignment horizontal="left" vertical="center" wrapText="1"/>
    </xf>
    <xf numFmtId="0" fontId="52" fillId="0" borderId="29" xfId="0" applyFont="1" applyBorder="1" applyAlignment="1">
      <alignment horizontal="left" vertical="center" wrapText="1"/>
    </xf>
    <xf numFmtId="0" fontId="52" fillId="0" borderId="30" xfId="0" applyFont="1" applyBorder="1" applyAlignment="1">
      <alignment horizontal="left" vertical="center" wrapText="1"/>
    </xf>
    <xf numFmtId="0" fontId="44" fillId="16" borderId="15" xfId="0" applyFont="1" applyFill="1" applyBorder="1" applyAlignment="1">
      <alignment horizontal="left" vertical="center" wrapText="1"/>
    </xf>
    <xf numFmtId="9" fontId="10" fillId="0" borderId="3" xfId="0" applyNumberFormat="1" applyFont="1" applyBorder="1" applyAlignment="1">
      <alignment vertical="center"/>
    </xf>
    <xf numFmtId="0" fontId="46" fillId="0" borderId="8" xfId="0" applyFont="1" applyBorder="1" applyAlignment="1">
      <alignment horizontal="left" vertical="center" wrapText="1"/>
    </xf>
    <xf numFmtId="164" fontId="53" fillId="0" borderId="3" xfId="0" applyNumberFormat="1" applyFont="1" applyBorder="1" applyAlignment="1">
      <alignment horizontal="right" vertical="center" wrapText="1"/>
    </xf>
    <xf numFmtId="0" fontId="10" fillId="23" borderId="0" xfId="0" applyFont="1" applyFill="1" applyAlignment="1">
      <alignment vertical="center"/>
    </xf>
    <xf numFmtId="0" fontId="52" fillId="0" borderId="3" xfId="0" applyFont="1" applyBorder="1" applyAlignment="1">
      <alignment horizontal="left" vertical="center" wrapText="1"/>
    </xf>
    <xf numFmtId="164" fontId="53" fillId="0" borderId="7" xfId="0" applyNumberFormat="1" applyFont="1" applyBorder="1" applyAlignment="1">
      <alignment horizontal="right" vertical="center" wrapText="1"/>
    </xf>
    <xf numFmtId="0" fontId="46" fillId="0" borderId="12" xfId="0" applyFont="1" applyBorder="1" applyAlignment="1">
      <alignment horizontal="left" vertical="center" wrapText="1"/>
    </xf>
    <xf numFmtId="0" fontId="13" fillId="25" borderId="3" xfId="0" applyFont="1" applyFill="1" applyBorder="1" applyAlignment="1">
      <alignment vertical="center" wrapText="1"/>
    </xf>
    <xf numFmtId="0" fontId="13" fillId="25" borderId="7" xfId="0" applyFont="1" applyFill="1" applyBorder="1" applyAlignment="1">
      <alignment horizontal="left" vertical="center" wrapText="1"/>
    </xf>
    <xf numFmtId="44" fontId="13" fillId="25" borderId="3" xfId="0" applyNumberFormat="1" applyFont="1" applyFill="1" applyBorder="1" applyAlignment="1">
      <alignment horizontal="right" vertical="center" wrapText="1"/>
    </xf>
    <xf numFmtId="49" fontId="10" fillId="26" borderId="7" xfId="0" applyNumberFormat="1" applyFont="1" applyFill="1" applyBorder="1" applyAlignment="1">
      <alignment horizontal="center" vertical="center"/>
    </xf>
    <xf numFmtId="0" fontId="17" fillId="25" borderId="3" xfId="0" applyFont="1" applyFill="1" applyBorder="1" applyAlignment="1">
      <alignment horizontal="center" vertical="center" wrapText="1"/>
    </xf>
    <xf numFmtId="0" fontId="10" fillId="25" borderId="3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3" fillId="27" borderId="3" xfId="0" applyFont="1" applyFill="1" applyBorder="1" applyAlignment="1">
      <alignment vertical="center" wrapText="1"/>
    </xf>
    <xf numFmtId="0" fontId="13" fillId="27" borderId="7" xfId="0" applyFont="1" applyFill="1" applyBorder="1" applyAlignment="1">
      <alignment horizontal="left" vertical="center" wrapText="1"/>
    </xf>
    <xf numFmtId="44" fontId="13" fillId="27" borderId="3" xfId="0" applyNumberFormat="1" applyFont="1" applyFill="1" applyBorder="1" applyAlignment="1">
      <alignment horizontal="right" vertical="center" wrapText="1"/>
    </xf>
    <xf numFmtId="49" fontId="10" fillId="29" borderId="7" xfId="0" applyNumberFormat="1" applyFont="1" applyFill="1" applyBorder="1" applyAlignment="1">
      <alignment horizontal="center" vertical="center"/>
    </xf>
    <xf numFmtId="0" fontId="17" fillId="27" borderId="3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vertical="center"/>
    </xf>
    <xf numFmtId="0" fontId="10" fillId="27" borderId="0" xfId="0" applyFont="1" applyFill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 wrapText="1"/>
    </xf>
    <xf numFmtId="1" fontId="46" fillId="11" borderId="3" xfId="2" applyNumberFormat="1" applyFont="1" applyFill="1" applyBorder="1" applyAlignment="1">
      <alignment horizontal="left" vertical="center" wrapText="1"/>
    </xf>
    <xf numFmtId="0" fontId="21" fillId="41" borderId="9" xfId="0" applyFont="1" applyFill="1" applyBorder="1" applyAlignment="1">
      <alignment horizontal="left" vertical="center" wrapText="1"/>
    </xf>
    <xf numFmtId="44" fontId="20" fillId="41" borderId="8" xfId="0" applyNumberFormat="1" applyFont="1" applyFill="1" applyBorder="1" applyAlignment="1">
      <alignment horizontal="right" vertical="center"/>
    </xf>
    <xf numFmtId="44" fontId="21" fillId="41" borderId="8" xfId="0" applyNumberFormat="1" applyFont="1" applyFill="1" applyBorder="1" applyAlignment="1">
      <alignment horizontal="right" vertical="center"/>
    </xf>
    <xf numFmtId="49" fontId="21" fillId="41" borderId="9" xfId="0" applyNumberFormat="1" applyFont="1" applyFill="1" applyBorder="1" applyAlignment="1">
      <alignment horizontal="center" vertical="center"/>
    </xf>
    <xf numFmtId="0" fontId="21" fillId="41" borderId="8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right" vertical="center" wrapText="1"/>
    </xf>
    <xf numFmtId="44" fontId="12" fillId="0" borderId="3" xfId="0" applyNumberFormat="1" applyFont="1" applyBorder="1" applyAlignment="1">
      <alignment horizontal="right" vertical="center" wrapText="1"/>
    </xf>
    <xf numFmtId="164" fontId="12" fillId="0" borderId="3" xfId="0" applyNumberFormat="1" applyFont="1" applyBorder="1" applyAlignment="1">
      <alignment horizontal="right" vertical="center" wrapText="1"/>
    </xf>
    <xf numFmtId="167" fontId="15" fillId="0" borderId="3" xfId="0" applyNumberFormat="1" applyFont="1" applyBorder="1" applyAlignment="1">
      <alignment horizontal="right" vertical="center" wrapText="1"/>
    </xf>
    <xf numFmtId="0" fontId="1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167" fontId="15" fillId="0" borderId="0" xfId="0" applyNumberFormat="1" applyFont="1" applyAlignment="1">
      <alignment horizontal="right" vertical="center" wrapText="1"/>
    </xf>
    <xf numFmtId="167" fontId="19" fillId="12" borderId="3" xfId="0" applyNumberFormat="1" applyFont="1" applyFill="1" applyBorder="1" applyAlignment="1">
      <alignment horizontal="right" vertical="center"/>
    </xf>
    <xf numFmtId="44" fontId="12" fillId="0" borderId="0" xfId="0" applyNumberFormat="1" applyFont="1" applyAlignment="1">
      <alignment horizontal="right" vertical="center" wrapText="1"/>
    </xf>
    <xf numFmtId="0" fontId="0" fillId="0" borderId="12" xfId="0" applyBorder="1" applyAlignment="1">
      <alignment vertical="center"/>
    </xf>
    <xf numFmtId="0" fontId="20" fillId="44" borderId="3" xfId="0" applyFont="1" applyFill="1" applyBorder="1" applyAlignment="1">
      <alignment horizontal="center" vertical="center" wrapText="1"/>
    </xf>
    <xf numFmtId="164" fontId="67" fillId="34" borderId="3" xfId="0" applyNumberFormat="1" applyFont="1" applyFill="1" applyBorder="1" applyAlignment="1">
      <alignment horizontal="center" vertical="center" wrapText="1"/>
    </xf>
    <xf numFmtId="0" fontId="64" fillId="0" borderId="6" xfId="0" applyFont="1" applyBorder="1" applyAlignment="1">
      <alignment horizontal="center" vertical="center" wrapText="1"/>
    </xf>
    <xf numFmtId="164" fontId="61" fillId="0" borderId="3" xfId="0" applyNumberFormat="1" applyFont="1" applyBorder="1" applyAlignment="1">
      <alignment horizontal="right" vertical="center" wrapText="1"/>
    </xf>
    <xf numFmtId="167" fontId="66" fillId="0" borderId="3" xfId="0" applyNumberFormat="1" applyFont="1" applyBorder="1" applyAlignment="1">
      <alignment horizontal="right" vertical="center" wrapText="1"/>
    </xf>
    <xf numFmtId="0" fontId="65" fillId="0" borderId="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54" fillId="0" borderId="20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0" fontId="59" fillId="0" borderId="20" xfId="0" applyFont="1" applyBorder="1" applyAlignment="1">
      <alignment horizontal="center" vertical="center"/>
    </xf>
    <xf numFmtId="0" fontId="59" fillId="0" borderId="23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/>
    </xf>
    <xf numFmtId="0" fontId="58" fillId="0" borderId="23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vertical="center"/>
    </xf>
    <xf numFmtId="0" fontId="24" fillId="9" borderId="5" xfId="0" applyFont="1" applyFill="1" applyBorder="1" applyAlignment="1">
      <alignment vertical="center"/>
    </xf>
    <xf numFmtId="0" fontId="24" fillId="9" borderId="5" xfId="0" applyFont="1" applyFill="1" applyBorder="1" applyAlignment="1">
      <alignment horizontal="center" vertical="center"/>
    </xf>
    <xf numFmtId="164" fontId="45" fillId="45" borderId="3" xfId="0" applyNumberFormat="1" applyFont="1" applyFill="1" applyBorder="1" applyAlignment="1">
      <alignment horizontal="center" vertical="center" wrapText="1"/>
    </xf>
    <xf numFmtId="164" fontId="13" fillId="45" borderId="3" xfId="0" applyNumberFormat="1" applyFont="1" applyFill="1" applyBorder="1" applyAlignment="1">
      <alignment horizontal="center" vertical="center" wrapText="1"/>
    </xf>
    <xf numFmtId="164" fontId="50" fillId="45" borderId="3" xfId="0" applyNumberFormat="1" applyFont="1" applyFill="1" applyBorder="1" applyAlignment="1">
      <alignment horizontal="center" vertical="center" wrapText="1"/>
    </xf>
  </cellXfs>
  <cellStyles count="15">
    <cellStyle name="Attività" xfId="1" xr:uid="{00000000-0005-0000-0000-000001000000}"/>
    <cellStyle name="Data" xfId="2" xr:uid="{00000000-0005-0000-0000-000003000000}"/>
    <cellStyle name="Data 2" xfId="3" xr:uid="{00000000-0005-0000-0000-000004000000}"/>
    <cellStyle name="Inizio progetto" xfId="4" xr:uid="{00000000-0005-0000-0000-000005000000}"/>
    <cellStyle name="Nome" xfId="5" xr:uid="{00000000-0005-0000-0000-000006000000}"/>
    <cellStyle name="Normale" xfId="0" builtinId="0"/>
    <cellStyle name="Normale 2" xfId="11" xr:uid="{9F7E47F3-DD12-41F7-A265-B2AC1569A753}"/>
    <cellStyle name="Normale 3" xfId="6" xr:uid="{00000000-0005-0000-0000-000008000000}"/>
    <cellStyle name="Normale 3 2" xfId="7" xr:uid="{00000000-0005-0000-0000-000009000000}"/>
    <cellStyle name="Normale 4" xfId="12" xr:uid="{8A94E697-3AB1-4420-BF53-30560544FF8F}"/>
    <cellStyle name="Normale 5" xfId="13" xr:uid="{DE686C63-246C-45CC-9461-FB5C0086EF5A}"/>
    <cellStyle name="Percentuale" xfId="8" builtinId="5"/>
    <cellStyle name="Percentuale 2" xfId="9" xr:uid="{00000000-0005-0000-0000-00000B000000}"/>
    <cellStyle name="Percentuale 3" xfId="14" xr:uid="{12AC14B9-97A2-4D76-9E93-B04555C943D0}"/>
    <cellStyle name="zTestoNascosto" xfId="10" xr:uid="{00000000-0005-0000-0000-000010000000}"/>
  </cellStyles>
  <dxfs count="368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FF3300"/>
      <color rgb="FFCCECFF"/>
      <color rgb="FFA1B0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1"/>
  <sheetViews>
    <sheetView topLeftCell="A5" zoomScale="110" zoomScaleNormal="110" workbookViewId="0">
      <selection activeCell="K13" sqref="K13"/>
    </sheetView>
  </sheetViews>
  <sheetFormatPr defaultRowHeight="15" x14ac:dyDescent="0.25"/>
  <cols>
    <col min="1" max="1" width="10" customWidth="1"/>
    <col min="2" max="2" width="35.7109375" customWidth="1"/>
    <col min="3" max="3" width="8.140625" customWidth="1"/>
    <col min="4" max="5" width="18.5703125" bestFit="1" customWidth="1"/>
    <col min="6" max="6" width="16.7109375" bestFit="1" customWidth="1"/>
    <col min="7" max="7" width="12.28515625" customWidth="1"/>
    <col min="8" max="8" width="16.140625" bestFit="1" customWidth="1"/>
    <col min="9" max="9" width="14.28515625" bestFit="1" customWidth="1"/>
    <col min="10" max="10" width="15.28515625" bestFit="1" customWidth="1"/>
    <col min="11" max="11" width="25.140625" customWidth="1"/>
    <col min="12" max="12" width="15.28515625" bestFit="1" customWidth="1"/>
    <col min="14" max="14" width="21.7109375" bestFit="1" customWidth="1"/>
  </cols>
  <sheetData>
    <row r="1" spans="2:12" ht="26.45" customHeight="1" x14ac:dyDescent="0.35">
      <c r="B1" s="5"/>
      <c r="C1" s="6"/>
      <c r="D1" s="36"/>
      <c r="E1" s="36"/>
      <c r="F1" s="36"/>
      <c r="G1" s="64"/>
      <c r="H1" s="36"/>
      <c r="I1" s="64"/>
      <c r="J1" s="7"/>
      <c r="K1" s="8"/>
    </row>
    <row r="2" spans="2:12" s="11" customFormat="1" ht="25.5" x14ac:dyDescent="0.25">
      <c r="B2" s="95" t="s">
        <v>262</v>
      </c>
      <c r="C2" s="38"/>
      <c r="D2" s="58" t="s">
        <v>229</v>
      </c>
      <c r="E2" s="58">
        <v>2024</v>
      </c>
      <c r="F2" s="58" t="s">
        <v>228</v>
      </c>
      <c r="G2" s="65"/>
      <c r="H2" s="59" t="s">
        <v>238</v>
      </c>
      <c r="I2" s="81"/>
      <c r="J2" s="59" t="s">
        <v>306</v>
      </c>
      <c r="K2" s="40"/>
    </row>
    <row r="3" spans="2:12" s="11" customFormat="1" ht="14.25" customHeight="1" x14ac:dyDescent="0.25">
      <c r="B3" s="37"/>
      <c r="C3" s="38"/>
      <c r="D3" s="41"/>
      <c r="E3" s="41"/>
      <c r="F3" s="41"/>
      <c r="G3" s="39"/>
      <c r="H3" s="39"/>
      <c r="I3" s="39"/>
      <c r="K3" s="40"/>
    </row>
    <row r="4" spans="2:12" s="11" customFormat="1" ht="15.75" x14ac:dyDescent="0.25">
      <c r="B4" s="42" t="s">
        <v>1</v>
      </c>
      <c r="C4" s="43"/>
      <c r="D4" s="44">
        <f>SUM(D5,D6:D7)</f>
        <v>174540</v>
      </c>
      <c r="E4" s="44">
        <f>SUM(E5,E6:E7)</f>
        <v>543370.73</v>
      </c>
      <c r="F4" s="44">
        <f>SUM(F5,F6:F7)</f>
        <v>912996.61</v>
      </c>
      <c r="G4" s="45"/>
      <c r="H4" s="44">
        <f>SUM(H5,H6:H7)</f>
        <v>1630907.3399999999</v>
      </c>
      <c r="I4" s="45"/>
      <c r="J4" s="253">
        <f>SUM(J5:J7)</f>
        <v>1500204.5</v>
      </c>
      <c r="K4" s="46"/>
    </row>
    <row r="5" spans="2:12" s="11" customFormat="1" ht="15.75" x14ac:dyDescent="0.25">
      <c r="B5" s="57" t="s">
        <v>236</v>
      </c>
      <c r="C5" s="43"/>
      <c r="D5" s="61">
        <f>SUMIF(Gantt!$L$10:$L$56,"Sviluppo software",Gantt!G10:G56)</f>
        <v>74688</v>
      </c>
      <c r="E5" s="61">
        <f>SUMIF(Gantt!$L$10:$L$56,"Sviluppo software",Gantt!H10:H56)</f>
        <v>293358</v>
      </c>
      <c r="F5" s="61">
        <f>SUMIF(Gantt!$L$10:$L$56,"Sviluppo software",Gantt!I10:I56)</f>
        <v>297529.61</v>
      </c>
      <c r="G5" s="47"/>
      <c r="H5" s="62">
        <f t="shared" ref="H5:H13" si="0">SUM(D5:F5)</f>
        <v>665575.61</v>
      </c>
      <c r="I5" s="47"/>
      <c r="J5" s="62">
        <v>360008</v>
      </c>
      <c r="K5" s="164">
        <f>J5-H5</f>
        <v>-305567.61</v>
      </c>
    </row>
    <row r="6" spans="2:12" s="11" customFormat="1" ht="15.75" x14ac:dyDescent="0.25">
      <c r="B6" s="57" t="s">
        <v>2</v>
      </c>
      <c r="C6" s="43"/>
      <c r="D6" s="61">
        <f>SUMIF(Gantt!$L$10:$L$56,"MEV",Gantt!G10:G56)</f>
        <v>99852</v>
      </c>
      <c r="E6" s="61">
        <f>SUMIF(Gantt!$L$10:$L$56,"MEV",Gantt!H10:H56)</f>
        <v>80012.73</v>
      </c>
      <c r="F6" s="61">
        <f>SUMIF(Gantt!$L$10:$L$56,"MEV",Gantt!I10:I56)</f>
        <v>310000</v>
      </c>
      <c r="G6" s="47"/>
      <c r="H6" s="62">
        <f t="shared" si="0"/>
        <v>489864.73</v>
      </c>
      <c r="I6" s="47"/>
      <c r="J6" s="62">
        <v>489486</v>
      </c>
      <c r="K6" s="164">
        <f t="shared" ref="K6:K9" si="1">J6-H6</f>
        <v>-378.72999999998137</v>
      </c>
    </row>
    <row r="7" spans="2:12" s="11" customFormat="1" ht="15.75" x14ac:dyDescent="0.25">
      <c r="B7" s="57" t="s">
        <v>234</v>
      </c>
      <c r="C7" s="43"/>
      <c r="D7" s="61">
        <f>SUMIF(Gantt!$L$10:$L$56,"Conduzione Applicativa(Consumo)",Gantt!G10:G56)</f>
        <v>0</v>
      </c>
      <c r="E7" s="61">
        <f>SUMIF(Gantt!$L$10:$L$56,"Conduzione Applicativa(Consumo)",Gantt!H10:H56)</f>
        <v>170000</v>
      </c>
      <c r="F7" s="61">
        <f>SUMIF(Gantt!$L$10:$L$56,"Conduzione Applicativa(Consumo)",Gantt!I10:I56)</f>
        <v>305467</v>
      </c>
      <c r="G7" s="45"/>
      <c r="H7" s="62">
        <f t="shared" si="0"/>
        <v>475467</v>
      </c>
      <c r="I7" s="45"/>
      <c r="J7" s="62">
        <f>887592-236881.5</f>
        <v>650710.5</v>
      </c>
      <c r="K7" s="164">
        <f t="shared" si="1"/>
        <v>175243.5</v>
      </c>
    </row>
    <row r="8" spans="2:12" s="11" customFormat="1" ht="15.75" x14ac:dyDescent="0.25">
      <c r="B8" s="42" t="s">
        <v>396</v>
      </c>
      <c r="C8" s="43"/>
      <c r="D8" s="44">
        <f>SUMIF(Gantt!$L$10:$L$56,"Supp. Spec. App. (Consumo)",Gantt!G10:G56)</f>
        <v>0</v>
      </c>
      <c r="E8" s="44">
        <f>SUMIF(Gantt!$L$10:$L$56,"Supp. Spec. App. (Consumo)",Gantt!H10:H56)</f>
        <v>16740.75</v>
      </c>
      <c r="F8" s="44">
        <f>SUMIF(Gantt!$L$10:$L$56,"Supp. Spec. App. (Consumo)",Gantt!I10:I56)</f>
        <v>48176</v>
      </c>
      <c r="G8" s="49"/>
      <c r="H8" s="44">
        <f t="shared" si="0"/>
        <v>64916.75</v>
      </c>
      <c r="I8" s="49"/>
      <c r="J8" s="62">
        <v>91094</v>
      </c>
      <c r="K8" s="164">
        <f t="shared" si="1"/>
        <v>26177.25</v>
      </c>
      <c r="L8" s="168"/>
    </row>
    <row r="9" spans="2:12" s="11" customFormat="1" ht="15.75" x14ac:dyDescent="0.25">
      <c r="B9" s="42" t="s">
        <v>4</v>
      </c>
      <c r="C9" s="43"/>
      <c r="D9" s="44">
        <f>SUMIF(Gantt!$L$10:$L$56,"Servizi Desk(Canone)",Gantt!G10:G56)</f>
        <v>0</v>
      </c>
      <c r="E9" s="44">
        <f>SUMIF(Gantt!$L$10:$L$56,"Servizi Desk(Canone)",Gantt!H10:H56)</f>
        <v>7164</v>
      </c>
      <c r="F9" s="44">
        <f>SUMIF(Gantt!$L$10:$L$56,"Servizi Desk(Canone)",Gantt!I10:I56)</f>
        <v>10000</v>
      </c>
      <c r="G9" s="45"/>
      <c r="H9" s="44">
        <f t="shared" si="0"/>
        <v>17164</v>
      </c>
      <c r="I9" s="45"/>
      <c r="J9" s="62">
        <v>84997.5</v>
      </c>
      <c r="K9" s="164">
        <f t="shared" si="1"/>
        <v>67833.5</v>
      </c>
    </row>
    <row r="10" spans="2:12" s="11" customFormat="1" ht="15.75" x14ac:dyDescent="0.25">
      <c r="B10" s="50"/>
      <c r="C10" s="43"/>
      <c r="D10" s="51"/>
      <c r="E10" s="52"/>
      <c r="F10" s="52"/>
      <c r="G10" s="53"/>
      <c r="H10" s="53"/>
      <c r="I10" s="53"/>
      <c r="K10" s="40"/>
    </row>
    <row r="11" spans="2:12" s="11" customFormat="1" ht="15.75" x14ac:dyDescent="0.25">
      <c r="B11" s="60" t="s">
        <v>263</v>
      </c>
      <c r="C11" s="38"/>
      <c r="D11" s="44">
        <f>D4+D8+D9</f>
        <v>174540</v>
      </c>
      <c r="E11" s="44">
        <f t="shared" ref="E11:F11" si="2">E4+E8+E9</f>
        <v>567275.48</v>
      </c>
      <c r="F11" s="44">
        <f t="shared" si="2"/>
        <v>971172.61</v>
      </c>
      <c r="G11" s="53"/>
      <c r="H11" s="44">
        <f>SUM(D11:F11)</f>
        <v>1712988.0899999999</v>
      </c>
      <c r="I11" s="53"/>
      <c r="J11" s="253">
        <f>SUM(J5:J9)</f>
        <v>1676296</v>
      </c>
      <c r="K11" s="38"/>
    </row>
    <row r="12" spans="2:12" s="11" customFormat="1" ht="15.75" x14ac:dyDescent="0.25">
      <c r="B12" s="37"/>
      <c r="C12" s="38"/>
      <c r="D12" s="43"/>
      <c r="E12" s="43"/>
      <c r="F12" s="43"/>
      <c r="G12" s="43"/>
      <c r="H12" s="43"/>
      <c r="I12" s="43"/>
      <c r="J12" s="135">
        <f>H13-H11</f>
        <v>-36692.089999999851</v>
      </c>
      <c r="K12" s="46" t="s">
        <v>425</v>
      </c>
    </row>
    <row r="13" spans="2:12" s="11" customFormat="1" ht="15.75" x14ac:dyDescent="0.25">
      <c r="B13" s="54" t="s">
        <v>5</v>
      </c>
      <c r="C13" s="38"/>
      <c r="D13" s="48">
        <v>484872</v>
      </c>
      <c r="E13" s="48">
        <v>788379</v>
      </c>
      <c r="F13" s="48">
        <v>403045</v>
      </c>
      <c r="G13" s="55"/>
      <c r="H13" s="48">
        <f t="shared" si="0"/>
        <v>1676296</v>
      </c>
      <c r="I13" s="55"/>
      <c r="K13" s="40"/>
    </row>
    <row r="14" spans="2:12" ht="15" customHeight="1" x14ac:dyDescent="0.25">
      <c r="B14" s="5"/>
      <c r="C14" s="6"/>
      <c r="D14" s="2"/>
      <c r="E14" s="13"/>
      <c r="F14" s="2"/>
      <c r="G14" s="2"/>
      <c r="H14" s="2"/>
      <c r="I14" s="2"/>
      <c r="J14" s="56"/>
      <c r="K14" s="7"/>
    </row>
    <row r="15" spans="2:12" x14ac:dyDescent="0.25">
      <c r="D15" s="56"/>
      <c r="E15" s="56"/>
      <c r="F15" s="56"/>
      <c r="H15" s="56"/>
    </row>
    <row r="16" spans="2:12" x14ac:dyDescent="0.25">
      <c r="D16" s="56"/>
      <c r="E16" s="56"/>
    </row>
    <row r="17" spans="2:11" hidden="1" x14ac:dyDescent="0.25">
      <c r="B17" s="67" t="s">
        <v>237</v>
      </c>
      <c r="C17" s="66"/>
    </row>
    <row r="18" spans="2:11" ht="15.75" hidden="1" x14ac:dyDescent="0.25">
      <c r="B18" s="68" t="s">
        <v>231</v>
      </c>
      <c r="C18" s="66"/>
      <c r="D18" s="62">
        <v>180000</v>
      </c>
      <c r="E18" s="62">
        <v>150012</v>
      </c>
      <c r="F18" s="62">
        <v>29996</v>
      </c>
      <c r="H18" s="62">
        <f>SUM(D18:F18)</f>
        <v>360008</v>
      </c>
      <c r="J18" s="56">
        <f>H18-H5</f>
        <v>-305567.61</v>
      </c>
    </row>
    <row r="19" spans="2:11" ht="15.75" hidden="1" x14ac:dyDescent="0.25">
      <c r="B19" s="68" t="s">
        <v>230</v>
      </c>
      <c r="C19" s="66"/>
      <c r="D19" s="62">
        <v>200000</v>
      </c>
      <c r="E19" s="62">
        <v>209997</v>
      </c>
      <c r="F19" s="62">
        <v>79489</v>
      </c>
      <c r="H19" s="62">
        <f t="shared" ref="H19:H24" si="3">SUM(D19:F19)</f>
        <v>489486</v>
      </c>
      <c r="J19" s="56">
        <f>H19-H6</f>
        <v>-378.72999999998137</v>
      </c>
    </row>
    <row r="20" spans="2:11" ht="15.75" hidden="1" x14ac:dyDescent="0.25">
      <c r="B20" s="68" t="s">
        <v>234</v>
      </c>
      <c r="C20" s="66"/>
      <c r="D20" s="62">
        <v>104872</v>
      </c>
      <c r="E20" s="62">
        <v>350452</v>
      </c>
      <c r="F20" s="62">
        <v>220268</v>
      </c>
      <c r="H20" s="62">
        <f t="shared" si="3"/>
        <v>675592</v>
      </c>
      <c r="J20" s="56">
        <f>H20-H7</f>
        <v>200125</v>
      </c>
    </row>
    <row r="21" spans="2:11" ht="15.75" hidden="1" x14ac:dyDescent="0.25">
      <c r="B21" s="68" t="s">
        <v>232</v>
      </c>
      <c r="C21" s="66"/>
      <c r="D21" s="62">
        <v>0</v>
      </c>
      <c r="E21" s="62">
        <v>42918</v>
      </c>
      <c r="F21" s="62">
        <v>38292</v>
      </c>
      <c r="H21" s="62">
        <f t="shared" si="3"/>
        <v>81210</v>
      </c>
      <c r="J21" s="56">
        <f>H21-H8</f>
        <v>16293.25</v>
      </c>
    </row>
    <row r="22" spans="2:11" ht="15.75" hidden="1" x14ac:dyDescent="0.25">
      <c r="B22" s="68" t="s">
        <v>233</v>
      </c>
      <c r="C22" s="66"/>
      <c r="D22" s="62">
        <v>0</v>
      </c>
      <c r="E22" s="62">
        <v>35000</v>
      </c>
      <c r="F22" s="62">
        <v>35000</v>
      </c>
      <c r="H22" s="62">
        <f t="shared" si="3"/>
        <v>70000</v>
      </c>
      <c r="J22" s="56">
        <f>H22-H9</f>
        <v>52836</v>
      </c>
    </row>
    <row r="23" spans="2:11" ht="9.75" hidden="1" customHeight="1" x14ac:dyDescent="0.25">
      <c r="D23" s="62"/>
      <c r="E23" s="62"/>
      <c r="F23" s="62"/>
      <c r="H23" s="62"/>
      <c r="J23" s="10"/>
    </row>
    <row r="24" spans="2:11" ht="23.25" hidden="1" x14ac:dyDescent="0.25">
      <c r="D24" s="62">
        <f>SUM(D18:D22)</f>
        <v>484872</v>
      </c>
      <c r="E24" s="62">
        <f>SUM(E18:E22)</f>
        <v>788379</v>
      </c>
      <c r="F24" s="62">
        <f>SUM(F18:F22)</f>
        <v>403045</v>
      </c>
      <c r="H24" s="62">
        <f t="shared" si="3"/>
        <v>1676296</v>
      </c>
      <c r="J24" s="10"/>
    </row>
    <row r="25" spans="2:11" s="1" customFormat="1" ht="23.25" x14ac:dyDescent="0.35">
      <c r="B25" s="3"/>
      <c r="C25" s="4"/>
      <c r="D25" s="2"/>
      <c r="E25" s="13"/>
      <c r="F25" s="2"/>
      <c r="G25" s="2"/>
      <c r="H25" s="2"/>
      <c r="J25" s="10"/>
    </row>
    <row r="26" spans="2:11" s="1" customFormat="1" ht="23.25" x14ac:dyDescent="0.35">
      <c r="B26" s="3"/>
      <c r="C26" s="4"/>
      <c r="D26" s="2"/>
      <c r="E26" s="94"/>
      <c r="F26" s="2"/>
      <c r="G26" s="2"/>
      <c r="H26" s="2"/>
      <c r="J26" s="10"/>
    </row>
    <row r="27" spans="2:11" s="11" customFormat="1" ht="25.5" customHeight="1" x14ac:dyDescent="0.25">
      <c r="B27" s="159"/>
      <c r="C27" s="38"/>
      <c r="D27" s="178" t="s">
        <v>229</v>
      </c>
      <c r="E27" s="178" t="s">
        <v>277</v>
      </c>
      <c r="F27" s="178" t="s">
        <v>278</v>
      </c>
      <c r="G27" s="178" t="s">
        <v>279</v>
      </c>
      <c r="H27" s="58" t="s">
        <v>280</v>
      </c>
      <c r="I27" s="58" t="s">
        <v>281</v>
      </c>
      <c r="J27" s="58" t="s">
        <v>282</v>
      </c>
      <c r="K27" s="40"/>
    </row>
    <row r="28" spans="2:11" s="11" customFormat="1" ht="14.25" customHeight="1" x14ac:dyDescent="0.25">
      <c r="B28" s="37"/>
      <c r="C28" s="38"/>
      <c r="D28" s="41"/>
      <c r="E28" s="41"/>
      <c r="F28" s="41"/>
      <c r="G28" s="41"/>
      <c r="H28" s="41"/>
      <c r="I28" s="41"/>
      <c r="J28" s="41"/>
      <c r="K28" s="40"/>
    </row>
    <row r="29" spans="2:11" s="11" customFormat="1" ht="15.75" x14ac:dyDescent="0.25">
      <c r="B29" s="42" t="s">
        <v>1</v>
      </c>
      <c r="C29" s="43"/>
      <c r="D29" s="44">
        <f>SUM(D30,D31:D32)</f>
        <v>174540</v>
      </c>
      <c r="E29" s="44">
        <f t="shared" ref="E29:J29" si="4">SUM(E30,E31:E32)</f>
        <v>99483</v>
      </c>
      <c r="F29" s="44">
        <f t="shared" si="4"/>
        <v>21072</v>
      </c>
      <c r="G29" s="44">
        <f t="shared" si="4"/>
        <v>0</v>
      </c>
      <c r="H29" s="44">
        <f t="shared" si="4"/>
        <v>222815.73</v>
      </c>
      <c r="I29" s="44">
        <f t="shared" si="4"/>
        <v>897996.61</v>
      </c>
      <c r="J29" s="44">
        <f t="shared" si="4"/>
        <v>15000</v>
      </c>
      <c r="K29" s="46"/>
    </row>
    <row r="30" spans="2:11" s="11" customFormat="1" ht="15.75" x14ac:dyDescent="0.25">
      <c r="B30" s="57" t="s">
        <v>236</v>
      </c>
      <c r="C30" s="43"/>
      <c r="D30" s="61">
        <f>SUMIFS(Gantt!$G$10:$G$56,Gantt!$L$10:$L$56,"Sviluppo software",Gantt!$M$10:$M$56,"IV TRIMESTRE 2023")</f>
        <v>74688</v>
      </c>
      <c r="E30" s="61">
        <f>SUMIFS(Gantt!$H$10:$H$56,Gantt!$L$10:$L$56,"Sviluppo software",Gantt!$M$10:$M$56,"I TRIMESTRE 2024")</f>
        <v>29483</v>
      </c>
      <c r="F30" s="61">
        <f>SUMIFS(Gantt!$H$10:$H$56,Gantt!$L$10:$L$56,"Sviluppo software",Gantt!$M$10:$M$56,"II TRIMESTRE 2024")</f>
        <v>21072</v>
      </c>
      <c r="G30" s="61">
        <f>SUMIFS(Gantt!$H$10:$H$56,Gantt!$L$10:$L$56,"Sviluppo software",Gantt!$M$10:$M$56,"III TRIMESTRE 2024")</f>
        <v>0</v>
      </c>
      <c r="H30" s="61">
        <f>SUMIFS(Gantt!$H$10:$H$56,Gantt!$L$10:$L$56,"Sviluppo software",Gantt!$M$10:$M$56,"IV TRIMESTRE 2024")</f>
        <v>192803</v>
      </c>
      <c r="I30" s="61">
        <f>SUMIFS(Gantt!$I$10:$I$56,Gantt!$L$10:$L$56,"Sviluppo software",Gantt!$M$10:$M$56,"I TRIMESTRE 2025")</f>
        <v>297529.61</v>
      </c>
      <c r="J30" s="61">
        <f>SUMIFS(Gantt!$I$10:$I$56,Gantt!$L$10:$L$56,"Sviluppo software",Gantt!$M$10:$M$56,"II TRIMESTRE 2025")</f>
        <v>0</v>
      </c>
      <c r="K30" s="40"/>
    </row>
    <row r="31" spans="2:11" s="11" customFormat="1" ht="15.75" x14ac:dyDescent="0.25">
      <c r="B31" s="57" t="s">
        <v>2</v>
      </c>
      <c r="C31" s="43"/>
      <c r="D31" s="61">
        <f>SUMIFS(Gantt!$G$10:$G$56,Gantt!$L$10:$L$56,"MEV",Gantt!$M$10:$M$56,"IV TRIMESTRE 2023")</f>
        <v>99852</v>
      </c>
      <c r="E31" s="61">
        <f>SUMIFS(Gantt!$H$10:$H$56,Gantt!$L$10:$L$56,"MEV",Gantt!$M$10:$M$56,"I TRIMESTRE 2024")</f>
        <v>0</v>
      </c>
      <c r="F31" s="61">
        <f>SUMIFS(Gantt!$H$10:$H$56,Gantt!$L$10:$L$56,"MEV",Gantt!$M$10:$M$56,"II TRIMESTRE 2024")</f>
        <v>0</v>
      </c>
      <c r="G31" s="61">
        <f>SUMIFS(Gantt!$H$10:$H$56,Gantt!$L$10:$L$56,"MEV",Gantt!$M$10:$M$56,"III TRIMESTRE 2024")</f>
        <v>0</v>
      </c>
      <c r="H31" s="61">
        <f>SUMIFS(Gantt!$H$10:$H$56,Gantt!$L$10:$L$56,"MEV",Gantt!$M$10:$M$56,"IV TRIMESTRE 2024")</f>
        <v>30012.73</v>
      </c>
      <c r="I31" s="61">
        <f>SUMIFS(Gantt!$I$10:$I$56,Gantt!$L$10:$L$56,"MEV",Gantt!$M$10:$M$56,"I TRIMESTRE 2025")</f>
        <v>310000</v>
      </c>
      <c r="J31" s="61">
        <f>SUMIFS(Gantt!$I$10:$I$56,Gantt!$L$10:$L$56,"MEV",Gantt!$M$10:$M$56,"II TRIMESTRE 2025")</f>
        <v>0</v>
      </c>
      <c r="K31" s="40"/>
    </row>
    <row r="32" spans="2:11" s="11" customFormat="1" ht="15.75" x14ac:dyDescent="0.25">
      <c r="B32" s="57" t="s">
        <v>234</v>
      </c>
      <c r="C32" s="43"/>
      <c r="D32" s="61">
        <f>SUMIFS(Gantt!$G$10:$G$56,Gantt!$L$10:$L$56,"Conduzione applicativa(consumo)",Gantt!$N$10:$N$56,"2023")</f>
        <v>0</v>
      </c>
      <c r="E32" s="61">
        <f>SUMIFS(Gantt!$H$10:$H$56,Gantt!$L$10:$L$56,"Conduzione applicativa(consumo)",Gantt!$M$10:$M$56,"I TRIMESTRE 2024")</f>
        <v>70000</v>
      </c>
      <c r="F32" s="61">
        <f>SUMIFS(Gantt!$H$10:$H$56,Gantt!$L$10:$L$56,"Conduzione applicativa(consumo)",Gantt!$M$10:$M$56,"II TRIMESTRE 2024")</f>
        <v>0</v>
      </c>
      <c r="G32" s="61">
        <f>SUMIFS(Gantt!$H$10:$H$56,Gantt!$L$10:$L$56,"Conduzione applicativa(consumo)",Gantt!$M$10:$M$56,"III TRIMESTRE 2024")</f>
        <v>0</v>
      </c>
      <c r="H32" s="61">
        <f>SUMIFS(Gantt!$H$10:$H$56,Gantt!$L$10:$L$56,"Conduzione applicativa(consumo)",Gantt!$M$10:$M$56,"IV TRIMESTRE 2024")</f>
        <v>0</v>
      </c>
      <c r="I32" s="61">
        <f>SUMIFS(Gantt!$I$10:$I$56,Gantt!$L$10:$L$56,"Conduzione applicativa(consumo)",Gantt!$M$10:$M$56,"I TRIMESTRE 2025")</f>
        <v>290467</v>
      </c>
      <c r="J32" s="61">
        <f>SUMIFS(Gantt!$I$10:$I$56,Gantt!$L$10:$L$56,"Conduzione applicativa(consumo)",Gantt!$M$10:$M$56,"II TRIMESTRE 2025")</f>
        <v>15000</v>
      </c>
      <c r="K32" s="40"/>
    </row>
    <row r="33" spans="2:13" s="11" customFormat="1" ht="15.75" x14ac:dyDescent="0.25">
      <c r="B33" s="42" t="s">
        <v>3</v>
      </c>
      <c r="C33" s="43"/>
      <c r="D33" s="44">
        <f>SUMIFS(Gantt!$G$10:$G$56,Gantt!$L$10:$L$56,"Supp. Spec. App. (Consumo)",Gantt!$N$10:$N$56,"2023")</f>
        <v>0</v>
      </c>
      <c r="E33" s="44">
        <f>SUMIFS(Gantt!$H$10:$H$56,Gantt!$L$10:$L$56,"Supp. Spec. App. (Consumo)",Gantt!$M$10:$M$56,"I TRIMESTRE 2024")</f>
        <v>5803</v>
      </c>
      <c r="F33" s="44">
        <f>SUMIFS(Gantt!$H$10:$H$56,Gantt!$L$10:$L$56,"Supp. Spec. App. (Consumo)",Gantt!$M$10:$M$56,"II TRIMESTRE 2024")</f>
        <v>1243.5</v>
      </c>
      <c r="G33" s="44">
        <f>SUMIFS(Gantt!$H$10:$H$56,Gantt!$L$10:$L$56,"Supp. Spec. App. (Consumo)",Gantt!$M$10:$M$56,"III TRIMESTRE 2024")</f>
        <v>2694.25</v>
      </c>
      <c r="H33" s="44">
        <f>SUMIFS(Gantt!$H$10:$H$56,Gantt!$L$10:$L$56,"Supp. Spec. App. (Consumo)",Gantt!$M$10:$M$56,"IV TRIMESTRE 2024")</f>
        <v>7000</v>
      </c>
      <c r="I33" s="44">
        <f>SUMIFS(Gantt!$I$10:$I$56,Gantt!$L$10:$L$56,"Supp. Spec. App. (Consumo)",Gantt!$M$10:$M$56,"I TRIMESTRE 2025")</f>
        <v>24088</v>
      </c>
      <c r="J33" s="44">
        <f>SUMIFS(Gantt!$I$10:$I$56,Gantt!$L$10:$L$56,"Supp. Spec. App. (Consumo)",Gantt!$M$10:$M$56,"II TRIMESTRE 2025")</f>
        <v>24088</v>
      </c>
      <c r="K33" s="40"/>
    </row>
    <row r="34" spans="2:13" s="11" customFormat="1" ht="15.75" x14ac:dyDescent="0.25">
      <c r="B34" s="42" t="s">
        <v>4</v>
      </c>
      <c r="C34" s="43"/>
      <c r="D34" s="44">
        <f>SUMIFS(Gantt!$G$10:$G$56,Gantt!$L$10:$L$56,"Servizi Desk(Canone)",Gantt!$M$10:$M$56,"IV TRIMESTRE 2023")</f>
        <v>0</v>
      </c>
      <c r="E34" s="44">
        <f>SUMIFS(Gantt!$H$10:$H$56,Gantt!$L$10:$L$56,"Servizi Desk(Canone)",Gantt!$M$10:$M$56,"I TRIMESTRE 2024")</f>
        <v>612</v>
      </c>
      <c r="F34" s="44">
        <f>SUMIFS(Gantt!$H$10:$H$56,Gantt!$L$10:$L$56,"Servizi Desk(Canone)",Gantt!$M$10:$M$56,"II TRIMESTRE 2024")</f>
        <v>2188</v>
      </c>
      <c r="G34" s="44">
        <f>SUMIFS(Gantt!$H$10:$H$56,Gantt!$L$10:$L$56,"Servizi Desk(Canone)",Gantt!$M$10:$M$56,"III TRIMESTRE 2024")</f>
        <v>1364</v>
      </c>
      <c r="H34" s="44">
        <f>SUMIFS(Gantt!$H$10:$H$56,Gantt!$L$10:$L$56,"Servizi Desk(Canone)",Gantt!$M$10:$M$56,"IV TRIMESTRE 2024")</f>
        <v>3000</v>
      </c>
      <c r="I34" s="44">
        <f>SUMIFS(Gantt!$I$10:$I$56,Gantt!$L$10:$L$56,"Servizi Desk(Canone)",Gantt!$M$10:$M$56,"I TRIMESTRE 2025")</f>
        <v>5000</v>
      </c>
      <c r="J34" s="44">
        <f>SUMIFS(Gantt!$I$10:$I$56,Gantt!$L$10:$L$56,"Servizi Desk(Canone)",Gantt!$M$10:$M$56,"II TRIMESTRE 2025")</f>
        <v>5000</v>
      </c>
      <c r="K34" s="40"/>
    </row>
    <row r="35" spans="2:13" s="11" customFormat="1" ht="15.75" x14ac:dyDescent="0.25">
      <c r="B35" s="50"/>
      <c r="C35" s="43"/>
      <c r="D35" s="51"/>
      <c r="E35" s="52"/>
      <c r="F35" s="52"/>
      <c r="G35" s="52"/>
      <c r="H35" s="52"/>
      <c r="I35" s="52"/>
      <c r="J35" s="52"/>
      <c r="K35" s="40"/>
    </row>
    <row r="36" spans="2:13" s="11" customFormat="1" ht="15.75" x14ac:dyDescent="0.25">
      <c r="B36" s="60" t="s">
        <v>261</v>
      </c>
      <c r="C36" s="38"/>
      <c r="D36" s="44">
        <f>D29+D33+D34</f>
        <v>174540</v>
      </c>
      <c r="E36" s="44">
        <f>E29+E33+E34</f>
        <v>105898</v>
      </c>
      <c r="F36" s="44">
        <f>F29+F33+F34</f>
        <v>24503.5</v>
      </c>
      <c r="G36" s="44">
        <f t="shared" ref="G36:J36" si="5">G29+G33+G34</f>
        <v>4058.25</v>
      </c>
      <c r="H36" s="44">
        <f t="shared" si="5"/>
        <v>232815.73</v>
      </c>
      <c r="I36" s="44">
        <f t="shared" si="5"/>
        <v>927084.61</v>
      </c>
      <c r="J36" s="44">
        <f t="shared" si="5"/>
        <v>44088</v>
      </c>
      <c r="K36" s="179" t="s">
        <v>0</v>
      </c>
      <c r="L36" s="172">
        <f>SUM(D36:J36)</f>
        <v>1512988.0899999999</v>
      </c>
    </row>
    <row r="37" spans="2:13" s="11" customFormat="1" ht="15.75" x14ac:dyDescent="0.25">
      <c r="B37" s="37"/>
      <c r="C37" s="38"/>
      <c r="D37" s="43"/>
      <c r="E37" s="43"/>
      <c r="F37" s="43"/>
      <c r="G37" s="43"/>
      <c r="H37" s="43"/>
      <c r="I37" s="43"/>
      <c r="J37" s="77"/>
      <c r="K37" s="40"/>
    </row>
    <row r="38" spans="2:13" ht="26.25" x14ac:dyDescent="0.35">
      <c r="B38" s="5"/>
      <c r="C38" s="6"/>
      <c r="D38" s="176"/>
      <c r="E38" s="176"/>
      <c r="F38" s="176"/>
      <c r="G38" s="43"/>
      <c r="H38" s="2"/>
      <c r="I38" s="7"/>
      <c r="J38" s="10"/>
      <c r="K38" s="11"/>
      <c r="L38" s="1"/>
    </row>
    <row r="39" spans="2:13" ht="26.25" x14ac:dyDescent="0.35">
      <c r="C39" s="6"/>
      <c r="D39" s="259"/>
      <c r="E39" s="259"/>
      <c r="F39" s="176"/>
      <c r="G39" s="176"/>
      <c r="H39" s="176"/>
      <c r="I39" s="176"/>
      <c r="J39" s="176"/>
      <c r="K39" s="10"/>
      <c r="L39" s="9"/>
      <c r="M39" s="1"/>
    </row>
    <row r="40" spans="2:13" ht="23.25" x14ac:dyDescent="0.35">
      <c r="B40" s="259"/>
      <c r="C40" s="260"/>
      <c r="D40" s="259"/>
      <c r="E40" s="259"/>
      <c r="F40" s="259"/>
      <c r="G40" s="259"/>
      <c r="H40" s="259"/>
      <c r="J40" s="259"/>
      <c r="K40" s="10"/>
      <c r="L40" s="9"/>
      <c r="M40" s="1"/>
    </row>
    <row r="41" spans="2:13" ht="23.25" x14ac:dyDescent="0.35">
      <c r="B41" s="5"/>
      <c r="C41" s="260"/>
      <c r="D41" s="259"/>
      <c r="E41" s="259"/>
      <c r="F41" s="259"/>
      <c r="G41" s="259"/>
      <c r="H41" s="259"/>
      <c r="I41" s="259"/>
      <c r="J41" s="259"/>
      <c r="K41" s="10"/>
      <c r="L41" s="9"/>
      <c r="M41" s="1"/>
    </row>
    <row r="42" spans="2:13" ht="26.25" x14ac:dyDescent="0.35">
      <c r="B42" s="5"/>
      <c r="C42" s="6"/>
      <c r="D42" s="2"/>
      <c r="E42" s="2"/>
      <c r="F42" s="2"/>
      <c r="G42" s="2"/>
      <c r="H42" s="2"/>
      <c r="I42" s="14"/>
      <c r="J42" s="10"/>
      <c r="K42" s="10"/>
      <c r="L42" s="9"/>
      <c r="M42" s="1"/>
    </row>
    <row r="43" spans="2:13" ht="26.25" x14ac:dyDescent="0.35">
      <c r="B43" s="5"/>
      <c r="C43" s="6"/>
      <c r="D43" s="2"/>
      <c r="E43" s="2"/>
      <c r="F43" s="2"/>
      <c r="G43" s="2"/>
      <c r="H43" s="2"/>
      <c r="I43" s="14"/>
      <c r="J43" s="10"/>
      <c r="K43" s="10"/>
      <c r="L43" s="9"/>
      <c r="M43" s="1"/>
    </row>
    <row r="44" spans="2:13" ht="26.25" x14ac:dyDescent="0.35">
      <c r="B44" s="5"/>
      <c r="C44" s="6"/>
      <c r="D44" s="2"/>
      <c r="E44" s="2"/>
      <c r="F44" s="2"/>
      <c r="G44" s="2"/>
      <c r="H44" s="2"/>
      <c r="I44" s="14"/>
      <c r="J44" s="10"/>
      <c r="K44" s="10"/>
      <c r="L44" s="9"/>
      <c r="M44" s="1"/>
    </row>
    <row r="45" spans="2:13" ht="26.25" x14ac:dyDescent="0.35">
      <c r="B45" s="5"/>
      <c r="C45" s="6"/>
      <c r="D45" s="2"/>
      <c r="E45" s="2"/>
      <c r="F45" s="2"/>
      <c r="G45" s="2"/>
      <c r="H45" s="2"/>
      <c r="I45" s="14"/>
      <c r="J45" s="10"/>
      <c r="K45" s="10"/>
      <c r="L45" s="9"/>
      <c r="M45" s="1"/>
    </row>
    <row r="46" spans="2:13" ht="26.25" x14ac:dyDescent="0.35">
      <c r="B46" s="5"/>
      <c r="C46" s="6"/>
      <c r="D46" s="2"/>
      <c r="E46" s="2"/>
      <c r="F46" s="2"/>
      <c r="G46" s="2"/>
      <c r="H46" s="2"/>
      <c r="I46" s="14"/>
      <c r="J46" s="10"/>
      <c r="K46" s="10"/>
      <c r="L46" s="9"/>
      <c r="M46" s="1"/>
    </row>
    <row r="47" spans="2:13" ht="26.25" x14ac:dyDescent="0.35">
      <c r="B47" s="5"/>
      <c r="C47" s="6"/>
      <c r="D47" s="2"/>
      <c r="E47" s="2"/>
      <c r="F47" s="2"/>
      <c r="G47" s="2"/>
      <c r="H47" s="2"/>
      <c r="I47" s="14"/>
      <c r="J47" s="10"/>
      <c r="K47" s="10"/>
      <c r="L47" s="9"/>
      <c r="M47" s="1"/>
    </row>
    <row r="48" spans="2:13" ht="26.25" x14ac:dyDescent="0.35">
      <c r="B48" s="5"/>
      <c r="C48" s="6"/>
      <c r="D48" s="2"/>
      <c r="E48" s="2"/>
      <c r="F48" s="2"/>
      <c r="G48" s="2"/>
      <c r="H48" s="2"/>
      <c r="I48" s="14"/>
      <c r="J48" s="10"/>
      <c r="K48" s="10"/>
      <c r="L48" s="9"/>
      <c r="M48" s="1"/>
    </row>
    <row r="49" spans="2:13" ht="26.25" x14ac:dyDescent="0.35">
      <c r="B49" s="5"/>
      <c r="C49" s="6"/>
      <c r="D49" s="2"/>
      <c r="E49" s="2"/>
      <c r="F49" s="2"/>
      <c r="G49" s="2"/>
      <c r="H49" s="2"/>
      <c r="I49" s="14"/>
      <c r="J49" s="10"/>
      <c r="K49" s="10"/>
      <c r="L49" s="9"/>
      <c r="M49" s="1"/>
    </row>
    <row r="50" spans="2:13" ht="26.25" x14ac:dyDescent="0.35">
      <c r="B50" s="5"/>
      <c r="C50" s="6"/>
      <c r="D50" s="2"/>
      <c r="E50" s="2"/>
      <c r="F50" s="2"/>
      <c r="G50" s="2"/>
      <c r="H50" s="2"/>
      <c r="I50" s="14"/>
      <c r="J50" s="10"/>
      <c r="K50" s="10"/>
      <c r="L50" s="9"/>
      <c r="M50" s="1"/>
    </row>
    <row r="51" spans="2:13" ht="26.25" x14ac:dyDescent="0.35">
      <c r="B51" s="5"/>
      <c r="C51" s="6"/>
      <c r="D51" s="2"/>
      <c r="E51" s="2"/>
      <c r="F51" s="2"/>
      <c r="G51" s="2"/>
      <c r="H51" s="2"/>
      <c r="I51" s="14"/>
      <c r="J51" s="10"/>
      <c r="K51" s="10"/>
      <c r="L51" s="9"/>
      <c r="M51" s="1"/>
    </row>
    <row r="52" spans="2:13" ht="26.25" x14ac:dyDescent="0.35">
      <c r="B52" s="5"/>
      <c r="C52" s="6"/>
      <c r="D52" s="2"/>
      <c r="E52" s="2"/>
      <c r="F52" s="2"/>
      <c r="G52" s="2"/>
      <c r="H52" s="2"/>
      <c r="I52" s="14"/>
      <c r="J52" s="10"/>
      <c r="K52" s="10"/>
      <c r="L52" s="9"/>
      <c r="M52" s="1"/>
    </row>
    <row r="53" spans="2:13" ht="26.25" x14ac:dyDescent="0.35">
      <c r="B53" s="5"/>
      <c r="C53" s="6"/>
      <c r="D53" s="2"/>
      <c r="E53" s="2"/>
      <c r="F53" s="2"/>
      <c r="G53" s="2"/>
      <c r="H53" s="2"/>
      <c r="I53" s="14"/>
      <c r="J53" s="10"/>
      <c r="K53" s="10"/>
      <c r="L53" s="9"/>
      <c r="M53" s="1"/>
    </row>
    <row r="54" spans="2:13" ht="26.25" x14ac:dyDescent="0.35">
      <c r="B54" s="5"/>
      <c r="C54" s="6"/>
      <c r="D54" s="2"/>
      <c r="E54" s="2"/>
      <c r="F54" s="2"/>
      <c r="G54" s="2"/>
      <c r="H54" s="2"/>
      <c r="I54" s="14"/>
      <c r="J54" s="10"/>
      <c r="K54" s="10"/>
      <c r="L54" s="9"/>
      <c r="M54" s="1"/>
    </row>
    <row r="55" spans="2:13" ht="26.25" x14ac:dyDescent="0.35">
      <c r="B55" s="5"/>
      <c r="C55" s="6"/>
      <c r="D55" s="2"/>
      <c r="E55" s="2"/>
      <c r="F55" s="2"/>
      <c r="G55" s="2"/>
      <c r="H55" s="2"/>
      <c r="I55" s="14"/>
      <c r="J55" s="10"/>
      <c r="K55" s="10"/>
      <c r="L55" s="9"/>
      <c r="M55" s="1"/>
    </row>
    <row r="56" spans="2:13" ht="26.25" x14ac:dyDescent="0.35">
      <c r="B56" s="5"/>
      <c r="C56" s="6"/>
      <c r="D56" s="2"/>
      <c r="E56" s="2"/>
      <c r="F56" s="2"/>
      <c r="G56" s="2"/>
      <c r="H56" s="2"/>
      <c r="I56" s="14"/>
      <c r="J56" s="10"/>
      <c r="K56" s="10"/>
      <c r="L56" s="9"/>
      <c r="M56" s="1"/>
    </row>
    <row r="57" spans="2:13" ht="26.25" x14ac:dyDescent="0.35">
      <c r="B57" s="5"/>
      <c r="C57" s="6"/>
      <c r="D57" s="2"/>
      <c r="E57" s="2"/>
      <c r="F57" s="2"/>
      <c r="G57" s="2"/>
      <c r="H57" s="2"/>
      <c r="I57" s="14"/>
      <c r="J57" s="10"/>
      <c r="K57" s="10"/>
      <c r="L57" s="9"/>
      <c r="M57" s="1"/>
    </row>
    <row r="58" spans="2:13" ht="26.25" x14ac:dyDescent="0.35">
      <c r="B58" s="5"/>
      <c r="C58" s="6"/>
      <c r="D58" s="2"/>
      <c r="E58" s="2"/>
      <c r="F58" s="2"/>
      <c r="G58" s="2"/>
      <c r="H58" s="2"/>
      <c r="I58" s="14"/>
      <c r="J58" s="10"/>
      <c r="K58" s="10"/>
      <c r="L58" s="9"/>
      <c r="M58" s="1"/>
    </row>
    <row r="59" spans="2:13" ht="26.25" x14ac:dyDescent="0.35">
      <c r="B59" s="5"/>
      <c r="C59" s="6"/>
      <c r="D59" s="2"/>
      <c r="E59" s="2"/>
      <c r="F59" s="2"/>
      <c r="G59" s="2"/>
      <c r="H59" s="2"/>
      <c r="I59" s="14"/>
      <c r="J59" s="10"/>
      <c r="K59" s="10"/>
      <c r="L59" s="9"/>
      <c r="M59" s="1"/>
    </row>
    <row r="60" spans="2:13" ht="26.25" x14ac:dyDescent="0.35">
      <c r="B60" s="5"/>
      <c r="C60" s="6"/>
      <c r="D60" s="2"/>
      <c r="E60" s="2"/>
      <c r="F60" s="2"/>
      <c r="G60" s="2"/>
      <c r="H60" s="2"/>
      <c r="I60" s="14"/>
      <c r="J60" s="10"/>
      <c r="K60" s="10"/>
      <c r="L60" s="9"/>
      <c r="M60" s="1"/>
    </row>
    <row r="61" spans="2:13" ht="26.25" x14ac:dyDescent="0.35">
      <c r="B61" s="5"/>
      <c r="C61" s="6"/>
      <c r="D61" s="2"/>
      <c r="E61" s="2"/>
      <c r="F61" s="2"/>
      <c r="G61" s="2"/>
      <c r="H61" s="2"/>
      <c r="I61" s="14"/>
      <c r="J61" s="10"/>
      <c r="K61" s="10"/>
      <c r="L61" s="9"/>
      <c r="M61" s="1"/>
    </row>
  </sheetData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2D76-103F-4AF2-A187-C889F70EB2CD}">
  <dimension ref="A1:L49"/>
  <sheetViews>
    <sheetView topLeftCell="A17" workbookViewId="0">
      <selection activeCell="J28" sqref="J28:J29"/>
    </sheetView>
  </sheetViews>
  <sheetFormatPr defaultRowHeight="15" outlineLevelRow="2" x14ac:dyDescent="0.25"/>
  <cols>
    <col min="1" max="1" width="29.28515625" bestFit="1" customWidth="1"/>
    <col min="2" max="2" width="14.5703125" bestFit="1" customWidth="1"/>
    <col min="3" max="3" width="12.28515625" customWidth="1"/>
    <col min="4" max="4" width="14.5703125" bestFit="1" customWidth="1"/>
    <col min="5" max="5" width="12.28515625" customWidth="1"/>
    <col min="6" max="6" width="14.5703125" bestFit="1" customWidth="1"/>
    <col min="7" max="7" width="3.5703125" customWidth="1"/>
    <col min="8" max="8" width="16.28515625" bestFit="1" customWidth="1"/>
    <col min="9" max="9" width="13.140625" bestFit="1" customWidth="1"/>
    <col min="10" max="10" width="31.7109375" bestFit="1" customWidth="1"/>
    <col min="12" max="12" width="19.5703125" bestFit="1" customWidth="1"/>
  </cols>
  <sheetData>
    <row r="1" spans="1:12" ht="16.5" thickBot="1" x14ac:dyDescent="0.3">
      <c r="B1" s="180" t="s">
        <v>377</v>
      </c>
      <c r="C1" s="180" t="s">
        <v>378</v>
      </c>
      <c r="D1" s="180" t="s">
        <v>379</v>
      </c>
      <c r="E1" s="180" t="s">
        <v>380</v>
      </c>
      <c r="F1" s="180" t="s">
        <v>381</v>
      </c>
    </row>
    <row r="2" spans="1:12" ht="32.25" thickBot="1" x14ac:dyDescent="0.55000000000000004">
      <c r="B2" s="181"/>
      <c r="C2" s="181"/>
      <c r="D2" s="181"/>
      <c r="E2" s="181"/>
      <c r="F2" s="182"/>
      <c r="J2" s="187"/>
    </row>
    <row r="3" spans="1:12" ht="32.25" thickBot="1" x14ac:dyDescent="0.55000000000000004">
      <c r="A3" s="183" t="s">
        <v>382</v>
      </c>
      <c r="B3" s="184"/>
      <c r="C3" s="184"/>
      <c r="D3" s="184"/>
      <c r="E3" s="184"/>
      <c r="F3" s="185"/>
      <c r="H3" s="186"/>
      <c r="J3" s="187" t="s">
        <v>409</v>
      </c>
      <c r="L3" s="187" t="s">
        <v>410</v>
      </c>
    </row>
    <row r="4" spans="1:12" ht="15.75" customHeight="1" outlineLevel="1" x14ac:dyDescent="0.25">
      <c r="A4" s="415" t="s">
        <v>387</v>
      </c>
      <c r="F4" s="200"/>
      <c r="H4" s="206"/>
    </row>
    <row r="5" spans="1:12" ht="19.5" customHeight="1" outlineLevel="1" thickBot="1" x14ac:dyDescent="0.3">
      <c r="A5" s="416"/>
      <c r="B5" s="219"/>
      <c r="C5" s="219"/>
      <c r="D5" s="219"/>
      <c r="E5" s="219"/>
      <c r="F5" s="220"/>
      <c r="H5" s="221" t="s">
        <v>0</v>
      </c>
    </row>
    <row r="6" spans="1:12" outlineLevel="2" x14ac:dyDescent="0.25">
      <c r="A6" s="222" t="s">
        <v>1</v>
      </c>
      <c r="B6" s="195">
        <v>0</v>
      </c>
      <c r="C6" s="195">
        <v>0</v>
      </c>
      <c r="D6" s="198"/>
      <c r="E6" s="195">
        <v>0</v>
      </c>
      <c r="F6" s="196">
        <f>'Riepilogo Contratto'!D4</f>
        <v>174540</v>
      </c>
      <c r="H6" s="197">
        <f>SUM(B6:F6)</f>
        <v>174540</v>
      </c>
    </row>
    <row r="7" spans="1:12" outlineLevel="2" x14ac:dyDescent="0.25">
      <c r="A7" s="222" t="s">
        <v>383</v>
      </c>
      <c r="B7" s="195">
        <v>0</v>
      </c>
      <c r="C7" s="195">
        <v>0</v>
      </c>
      <c r="D7" s="198"/>
      <c r="E7" s="195">
        <v>0</v>
      </c>
      <c r="F7" s="196">
        <v>0</v>
      </c>
      <c r="H7" s="197">
        <f t="shared" ref="H7:H8" si="0">SUM(B7:F7)</f>
        <v>0</v>
      </c>
    </row>
    <row r="8" spans="1:12" outlineLevel="2" x14ac:dyDescent="0.25">
      <c r="A8" s="222" t="s">
        <v>384</v>
      </c>
      <c r="B8" s="195">
        <f>'Riepilogo Contratto'!D8</f>
        <v>0</v>
      </c>
      <c r="C8" s="195">
        <v>0</v>
      </c>
      <c r="D8" s="198"/>
      <c r="E8" s="195">
        <v>0</v>
      </c>
      <c r="F8" s="196">
        <v>0</v>
      </c>
      <c r="H8" s="197">
        <f t="shared" si="0"/>
        <v>0</v>
      </c>
    </row>
    <row r="9" spans="1:12" outlineLevel="2" x14ac:dyDescent="0.25">
      <c r="A9" s="222" t="s">
        <v>385</v>
      </c>
      <c r="B9" s="195">
        <f>'Riepilogo Contratto'!D9</f>
        <v>0</v>
      </c>
      <c r="C9" s="195">
        <v>0</v>
      </c>
      <c r="D9" s="195"/>
      <c r="E9" s="195">
        <v>0</v>
      </c>
      <c r="F9" s="196">
        <v>0</v>
      </c>
      <c r="H9" s="197">
        <v>0</v>
      </c>
    </row>
    <row r="10" spans="1:12" outlineLevel="2" x14ac:dyDescent="0.25">
      <c r="A10" s="199"/>
      <c r="F10" s="200"/>
      <c r="H10" s="206"/>
    </row>
    <row r="11" spans="1:12" outlineLevel="1" x14ac:dyDescent="0.25">
      <c r="A11" s="223" t="s">
        <v>386</v>
      </c>
      <c r="B11" s="224">
        <f>SUM(B6:B9)</f>
        <v>0</v>
      </c>
      <c r="C11" s="224">
        <v>0</v>
      </c>
      <c r="D11" s="224">
        <f>SUM(D6:D9)</f>
        <v>0</v>
      </c>
      <c r="E11" s="224">
        <f t="shared" ref="E11:F11" si="1">SUM(E6:E9)</f>
        <v>0</v>
      </c>
      <c r="F11" s="225">
        <f t="shared" si="1"/>
        <v>174540</v>
      </c>
      <c r="H11" s="226">
        <f>SUM(H6:H9)</f>
        <v>174540</v>
      </c>
    </row>
    <row r="12" spans="1:12" ht="21.75" outlineLevel="1" thickBot="1" x14ac:dyDescent="0.4">
      <c r="A12" s="227"/>
      <c r="B12" s="228"/>
      <c r="C12" s="228"/>
      <c r="D12" s="228"/>
      <c r="E12" s="228"/>
      <c r="F12" s="229"/>
      <c r="H12" s="230"/>
      <c r="J12" s="111"/>
    </row>
    <row r="13" spans="1:12" ht="21.75" thickBot="1" x14ac:dyDescent="0.4">
      <c r="A13" s="231" t="s">
        <v>388</v>
      </c>
      <c r="B13" s="232">
        <f>B11</f>
        <v>0</v>
      </c>
      <c r="C13" s="232">
        <f t="shared" ref="C13:F13" si="2">C11</f>
        <v>0</v>
      </c>
      <c r="D13" s="232">
        <f t="shared" si="2"/>
        <v>0</v>
      </c>
      <c r="E13" s="232">
        <f t="shared" si="2"/>
        <v>0</v>
      </c>
      <c r="F13" s="232">
        <f t="shared" si="2"/>
        <v>174540</v>
      </c>
      <c r="G13" s="11"/>
      <c r="H13" s="234">
        <f>H11</f>
        <v>174540</v>
      </c>
      <c r="J13" s="205" t="s">
        <v>412</v>
      </c>
      <c r="L13" s="205" t="s">
        <v>411</v>
      </c>
    </row>
    <row r="14" spans="1:12" ht="15.75" thickBot="1" x14ac:dyDescent="0.3">
      <c r="D14" s="235"/>
    </row>
    <row r="15" spans="1:12" ht="24" thickBot="1" x14ac:dyDescent="0.4">
      <c r="A15" s="183" t="s">
        <v>389</v>
      </c>
      <c r="B15" s="184"/>
      <c r="C15" s="184"/>
      <c r="D15" s="184"/>
      <c r="E15" s="184"/>
      <c r="F15" s="185"/>
      <c r="H15" s="186"/>
    </row>
    <row r="16" spans="1:12" outlineLevel="1" x14ac:dyDescent="0.25">
      <c r="A16" s="415" t="s">
        <v>390</v>
      </c>
      <c r="B16" s="188"/>
      <c r="C16" s="188"/>
      <c r="D16" s="188"/>
      <c r="E16" s="188"/>
      <c r="F16" s="189"/>
      <c r="H16" s="190"/>
    </row>
    <row r="17" spans="1:12" ht="15.75" outlineLevel="1" thickBot="1" x14ac:dyDescent="0.3">
      <c r="A17" s="416"/>
      <c r="B17" s="191"/>
      <c r="C17" s="191"/>
      <c r="D17" s="191"/>
      <c r="E17" s="191"/>
      <c r="F17" s="192"/>
      <c r="H17" s="193" t="s">
        <v>0</v>
      </c>
    </row>
    <row r="18" spans="1:12" outlineLevel="2" x14ac:dyDescent="0.25">
      <c r="A18" s="194" t="s">
        <v>1</v>
      </c>
      <c r="B18" s="195">
        <f>'Riepilogo Contratto'!E29</f>
        <v>99483</v>
      </c>
      <c r="C18" s="195">
        <v>0</v>
      </c>
      <c r="D18" s="195">
        <v>0</v>
      </c>
      <c r="E18" s="195">
        <v>0</v>
      </c>
      <c r="F18" s="195">
        <v>0</v>
      </c>
      <c r="H18" s="197">
        <f t="shared" ref="H18:H21" si="3">SUM(B18:F18)</f>
        <v>99483</v>
      </c>
    </row>
    <row r="19" spans="1:12" outlineLevel="2" x14ac:dyDescent="0.25">
      <c r="A19" s="194" t="s">
        <v>383</v>
      </c>
      <c r="B19" s="195">
        <v>0</v>
      </c>
      <c r="C19" s="195">
        <v>0</v>
      </c>
      <c r="D19" s="195">
        <v>0</v>
      </c>
      <c r="E19" s="195">
        <v>0</v>
      </c>
      <c r="F19" s="195">
        <v>0</v>
      </c>
      <c r="H19" s="197">
        <f t="shared" si="3"/>
        <v>0</v>
      </c>
    </row>
    <row r="20" spans="1:12" outlineLevel="2" x14ac:dyDescent="0.25">
      <c r="A20" s="194" t="s">
        <v>384</v>
      </c>
      <c r="B20" s="195">
        <f>Gantt!H43</f>
        <v>5803</v>
      </c>
      <c r="C20" s="195">
        <v>0</v>
      </c>
      <c r="D20" s="195">
        <v>0</v>
      </c>
      <c r="E20" s="195">
        <v>0</v>
      </c>
      <c r="F20" s="195">
        <v>0</v>
      </c>
      <c r="H20" s="197">
        <f t="shared" si="3"/>
        <v>5803</v>
      </c>
    </row>
    <row r="21" spans="1:12" outlineLevel="2" x14ac:dyDescent="0.25">
      <c r="A21" s="194" t="s">
        <v>385</v>
      </c>
      <c r="B21" s="195">
        <f>Gantt!H51</f>
        <v>612</v>
      </c>
      <c r="C21" s="195">
        <v>0</v>
      </c>
      <c r="D21" s="195">
        <v>0</v>
      </c>
      <c r="E21" s="195">
        <v>0</v>
      </c>
      <c r="F21" s="195">
        <v>0</v>
      </c>
      <c r="H21" s="197">
        <f t="shared" si="3"/>
        <v>612</v>
      </c>
    </row>
    <row r="22" spans="1:12" ht="15.75" outlineLevel="2" thickBot="1" x14ac:dyDescent="0.3">
      <c r="A22" s="199"/>
      <c r="F22" s="200"/>
      <c r="H22" s="206"/>
    </row>
    <row r="23" spans="1:12" ht="21.75" outlineLevel="1" thickBot="1" x14ac:dyDescent="0.4">
      <c r="A23" s="201" t="s">
        <v>386</v>
      </c>
      <c r="B23" s="202">
        <f>SUM(B18:B21)</f>
        <v>105898</v>
      </c>
      <c r="C23" s="202">
        <f t="shared" ref="C23:D23" si="4">SUM(C18:C21)</f>
        <v>0</v>
      </c>
      <c r="D23" s="202">
        <f t="shared" si="4"/>
        <v>0</v>
      </c>
      <c r="E23" s="202">
        <v>0</v>
      </c>
      <c r="F23" s="203">
        <v>0</v>
      </c>
      <c r="H23" s="204">
        <f>SUM(B23:F23)</f>
        <v>105898</v>
      </c>
      <c r="J23" s="205" t="s">
        <v>412</v>
      </c>
      <c r="L23" s="205" t="s">
        <v>411</v>
      </c>
    </row>
    <row r="24" spans="1:12" outlineLevel="1" x14ac:dyDescent="0.25">
      <c r="A24" s="413" t="s">
        <v>391</v>
      </c>
      <c r="F24" s="200"/>
      <c r="H24" s="206"/>
    </row>
    <row r="25" spans="1:12" ht="15.75" outlineLevel="1" thickBot="1" x14ac:dyDescent="0.3">
      <c r="A25" s="414"/>
      <c r="B25" s="207"/>
      <c r="C25" s="207"/>
      <c r="D25" s="207"/>
      <c r="E25" s="207"/>
      <c r="F25" s="208"/>
      <c r="H25" s="209" t="s">
        <v>0</v>
      </c>
    </row>
    <row r="26" spans="1:12" outlineLevel="2" x14ac:dyDescent="0.25">
      <c r="A26" s="210" t="s">
        <v>1</v>
      </c>
      <c r="B26" s="195">
        <f>'Riepilogo Contratto'!F29</f>
        <v>21072</v>
      </c>
      <c r="C26" s="195">
        <v>0</v>
      </c>
      <c r="D26" s="195"/>
      <c r="E26" s="195">
        <v>0</v>
      </c>
      <c r="F26" s="196">
        <v>0</v>
      </c>
      <c r="H26" s="197">
        <f t="shared" ref="H26:H29" si="5">SUM(B26:F26)</f>
        <v>21072</v>
      </c>
      <c r="I26" s="235"/>
    </row>
    <row r="27" spans="1:12" outlineLevel="2" x14ac:dyDescent="0.25">
      <c r="A27" s="210" t="s">
        <v>383</v>
      </c>
      <c r="B27" s="195">
        <v>0</v>
      </c>
      <c r="C27" s="195">
        <v>0</v>
      </c>
      <c r="D27" s="195"/>
      <c r="E27" s="195">
        <v>0</v>
      </c>
      <c r="F27" s="196">
        <v>0</v>
      </c>
      <c r="H27" s="197">
        <f t="shared" si="5"/>
        <v>0</v>
      </c>
      <c r="I27" s="235"/>
    </row>
    <row r="28" spans="1:12" outlineLevel="2" x14ac:dyDescent="0.25">
      <c r="A28" s="210" t="s">
        <v>384</v>
      </c>
      <c r="B28" s="195">
        <f>'Riepilogo Contratto'!F33</f>
        <v>1243.5</v>
      </c>
      <c r="C28" s="195">
        <v>0</v>
      </c>
      <c r="D28" s="195"/>
      <c r="E28" s="195">
        <v>0</v>
      </c>
      <c r="F28" s="196">
        <v>0</v>
      </c>
      <c r="H28" s="197">
        <f t="shared" si="5"/>
        <v>1243.5</v>
      </c>
      <c r="I28" s="235"/>
    </row>
    <row r="29" spans="1:12" outlineLevel="2" x14ac:dyDescent="0.25">
      <c r="A29" s="210" t="s">
        <v>385</v>
      </c>
      <c r="B29" s="195">
        <f>'Riepilogo Contratto'!F34</f>
        <v>2188</v>
      </c>
      <c r="C29" s="195">
        <v>0</v>
      </c>
      <c r="D29" s="195">
        <v>0</v>
      </c>
      <c r="E29" s="195">
        <v>0</v>
      </c>
      <c r="F29" s="196">
        <v>0</v>
      </c>
      <c r="H29" s="197">
        <f t="shared" si="5"/>
        <v>2188</v>
      </c>
      <c r="I29" s="235"/>
    </row>
    <row r="30" spans="1:12" ht="15.75" outlineLevel="2" thickBot="1" x14ac:dyDescent="0.3">
      <c r="A30" s="199"/>
      <c r="F30" s="200"/>
      <c r="H30" s="206"/>
    </row>
    <row r="31" spans="1:12" ht="21.75" outlineLevel="1" thickBot="1" x14ac:dyDescent="0.4">
      <c r="A31" s="211" t="s">
        <v>386</v>
      </c>
      <c r="B31" s="236">
        <f>SUM(B26:B29)</f>
        <v>24503.5</v>
      </c>
      <c r="C31" s="236">
        <f t="shared" ref="C31:F31" si="6">SUM(C26:C29)</f>
        <v>0</v>
      </c>
      <c r="D31" s="236">
        <f t="shared" si="6"/>
        <v>0</v>
      </c>
      <c r="E31" s="236">
        <f t="shared" si="6"/>
        <v>0</v>
      </c>
      <c r="F31" s="236">
        <f t="shared" si="6"/>
        <v>0</v>
      </c>
      <c r="H31" s="212">
        <f>SUM(B31:F31)</f>
        <v>24503.5</v>
      </c>
      <c r="I31" s="235"/>
      <c r="J31" s="205" t="s">
        <v>412</v>
      </c>
      <c r="L31" s="205" t="s">
        <v>411</v>
      </c>
    </row>
    <row r="32" spans="1:12" outlineLevel="1" x14ac:dyDescent="0.25">
      <c r="A32" s="411" t="s">
        <v>392</v>
      </c>
      <c r="F32" s="200"/>
      <c r="H32" s="206"/>
    </row>
    <row r="33" spans="1:12" ht="15.75" outlineLevel="1" thickBot="1" x14ac:dyDescent="0.3">
      <c r="A33" s="412"/>
      <c r="B33" s="213"/>
      <c r="C33" s="213"/>
      <c r="D33" s="213"/>
      <c r="E33" s="213"/>
      <c r="F33" s="214"/>
      <c r="H33" s="215" t="s">
        <v>0</v>
      </c>
    </row>
    <row r="34" spans="1:12" outlineLevel="2" x14ac:dyDescent="0.25">
      <c r="A34" s="216" t="s">
        <v>1</v>
      </c>
      <c r="B34" s="195">
        <f>'Riepilogo Contratto'!G29</f>
        <v>0</v>
      </c>
      <c r="C34" s="195">
        <v>0</v>
      </c>
      <c r="D34" s="195">
        <v>0</v>
      </c>
      <c r="E34" s="195">
        <v>0</v>
      </c>
      <c r="F34" s="196">
        <v>0</v>
      </c>
      <c r="H34" s="197">
        <f t="shared" ref="H34:H37" si="7">SUM(B34:F34)</f>
        <v>0</v>
      </c>
      <c r="I34" s="269"/>
    </row>
    <row r="35" spans="1:12" outlineLevel="2" x14ac:dyDescent="0.25">
      <c r="A35" s="216" t="s">
        <v>383</v>
      </c>
      <c r="B35" s="195">
        <v>0</v>
      </c>
      <c r="C35" s="195">
        <v>0</v>
      </c>
      <c r="D35" s="195">
        <v>0</v>
      </c>
      <c r="E35" s="195">
        <v>0</v>
      </c>
      <c r="F35" s="196">
        <v>0</v>
      </c>
      <c r="H35" s="197">
        <f t="shared" si="7"/>
        <v>0</v>
      </c>
      <c r="I35" s="269"/>
    </row>
    <row r="36" spans="1:12" outlineLevel="2" x14ac:dyDescent="0.25">
      <c r="A36" s="216" t="s">
        <v>384</v>
      </c>
      <c r="B36" s="195">
        <f>'Riepilogo Contratto'!G33</f>
        <v>2694.25</v>
      </c>
      <c r="C36" s="195">
        <v>0</v>
      </c>
      <c r="D36" s="195">
        <v>0</v>
      </c>
      <c r="E36" s="195">
        <v>0</v>
      </c>
      <c r="F36" s="196">
        <v>0</v>
      </c>
      <c r="H36" s="197">
        <f t="shared" si="7"/>
        <v>2694.25</v>
      </c>
      <c r="I36" s="269"/>
    </row>
    <row r="37" spans="1:12" outlineLevel="2" x14ac:dyDescent="0.25">
      <c r="A37" s="216" t="s">
        <v>385</v>
      </c>
      <c r="B37" s="195">
        <f>'Riepilogo Contratto'!G34</f>
        <v>1364</v>
      </c>
      <c r="C37" s="195">
        <v>0</v>
      </c>
      <c r="D37" s="195">
        <v>0</v>
      </c>
      <c r="E37" s="195">
        <v>0</v>
      </c>
      <c r="F37" s="196">
        <v>0</v>
      </c>
      <c r="H37" s="197">
        <f t="shared" si="7"/>
        <v>1364</v>
      </c>
      <c r="I37" s="269"/>
    </row>
    <row r="38" spans="1:12" ht="15.75" outlineLevel="2" thickBot="1" x14ac:dyDescent="0.3">
      <c r="A38" s="199"/>
      <c r="F38" s="200"/>
      <c r="H38" s="206"/>
    </row>
    <row r="39" spans="1:12" ht="21.75" outlineLevel="1" thickBot="1" x14ac:dyDescent="0.4">
      <c r="A39" s="217" t="s">
        <v>386</v>
      </c>
      <c r="B39" s="237">
        <f>SUM(B34:B37)</f>
        <v>4058.25</v>
      </c>
      <c r="C39" s="237">
        <f t="shared" ref="C39:F39" si="8">SUM(C34:C37)</f>
        <v>0</v>
      </c>
      <c r="D39" s="237">
        <f t="shared" si="8"/>
        <v>0</v>
      </c>
      <c r="E39" s="237">
        <f t="shared" si="8"/>
        <v>0</v>
      </c>
      <c r="F39" s="237">
        <f t="shared" si="8"/>
        <v>0</v>
      </c>
      <c r="H39" s="218">
        <f>SUM(B39:F39)</f>
        <v>4058.25</v>
      </c>
      <c r="I39" s="269"/>
      <c r="J39" s="205" t="s">
        <v>412</v>
      </c>
      <c r="L39" s="205" t="s">
        <v>411</v>
      </c>
    </row>
    <row r="40" spans="1:12" ht="15.75" customHeight="1" outlineLevel="1" x14ac:dyDescent="0.25">
      <c r="A40" s="413"/>
      <c r="F40" s="200"/>
      <c r="H40" s="206"/>
    </row>
    <row r="41" spans="1:12" ht="19.5" customHeight="1" outlineLevel="1" thickBot="1" x14ac:dyDescent="0.3">
      <c r="A41" s="414"/>
      <c r="B41" s="264" t="s">
        <v>377</v>
      </c>
      <c r="C41" s="264" t="s">
        <v>378</v>
      </c>
      <c r="D41" s="264" t="s">
        <v>379</v>
      </c>
      <c r="E41" s="264" t="s">
        <v>380</v>
      </c>
      <c r="F41" s="265" t="s">
        <v>381</v>
      </c>
      <c r="H41" s="265" t="s">
        <v>0</v>
      </c>
    </row>
    <row r="42" spans="1:12" outlineLevel="2" x14ac:dyDescent="0.25">
      <c r="A42" s="263" t="s">
        <v>1</v>
      </c>
      <c r="B42" s="195">
        <v>50557</v>
      </c>
      <c r="C42" s="195">
        <v>0</v>
      </c>
      <c r="D42" s="195">
        <v>0</v>
      </c>
      <c r="E42" s="195">
        <v>0</v>
      </c>
      <c r="F42" s="196">
        <f>F6+200000</f>
        <v>374540</v>
      </c>
      <c r="H42" s="196">
        <f>SUM(B42:F42)</f>
        <v>425097</v>
      </c>
    </row>
    <row r="43" spans="1:12" hidden="1" outlineLevel="2" x14ac:dyDescent="0.25">
      <c r="A43" s="263" t="s">
        <v>383</v>
      </c>
      <c r="B43" s="195">
        <v>0</v>
      </c>
      <c r="C43" s="195">
        <v>0</v>
      </c>
      <c r="D43" s="195"/>
      <c r="E43" s="195">
        <v>0</v>
      </c>
      <c r="F43" s="196">
        <v>0</v>
      </c>
      <c r="H43" s="196">
        <f t="shared" ref="H43:H45" si="9">SUM(B43:F43)</f>
        <v>0</v>
      </c>
    </row>
    <row r="44" spans="1:12" outlineLevel="2" x14ac:dyDescent="0.25">
      <c r="A44" s="263" t="s">
        <v>384</v>
      </c>
      <c r="B44" s="195">
        <v>9740.75</v>
      </c>
      <c r="C44" s="195">
        <v>0</v>
      </c>
      <c r="D44" s="195">
        <v>0</v>
      </c>
      <c r="E44" s="195">
        <v>0</v>
      </c>
      <c r="F44" s="196">
        <v>0</v>
      </c>
      <c r="H44" s="196">
        <f t="shared" si="9"/>
        <v>9740.75</v>
      </c>
    </row>
    <row r="45" spans="1:12" outlineLevel="2" x14ac:dyDescent="0.25">
      <c r="A45" s="263" t="s">
        <v>385</v>
      </c>
      <c r="B45" s="195">
        <v>4164</v>
      </c>
      <c r="C45" s="195">
        <v>0</v>
      </c>
      <c r="D45" s="195">
        <v>0</v>
      </c>
      <c r="E45" s="195">
        <v>0</v>
      </c>
      <c r="F45" s="196">
        <v>0</v>
      </c>
      <c r="H45" s="196">
        <f t="shared" si="9"/>
        <v>4164</v>
      </c>
    </row>
    <row r="46" spans="1:12" ht="15.75" outlineLevel="2" thickBot="1" x14ac:dyDescent="0.3">
      <c r="A46" s="199"/>
      <c r="F46" s="200"/>
      <c r="H46" s="200"/>
    </row>
    <row r="47" spans="1:12" ht="21.75" outlineLevel="1" thickBot="1" x14ac:dyDescent="0.4">
      <c r="A47" s="266" t="s">
        <v>386</v>
      </c>
      <c r="B47" s="267">
        <f>SUM(B42:B45)</f>
        <v>64461.75</v>
      </c>
      <c r="C47" s="267">
        <f t="shared" ref="C47:E47" si="10">SUM(C42:C45)</f>
        <v>0</v>
      </c>
      <c r="D47" s="267">
        <f t="shared" si="10"/>
        <v>0</v>
      </c>
      <c r="E47" s="267">
        <f t="shared" si="10"/>
        <v>0</v>
      </c>
      <c r="F47" s="267">
        <f t="shared" ref="F47" si="11">SUM(F42:F45)</f>
        <v>374540</v>
      </c>
      <c r="G47" s="262"/>
      <c r="H47" s="267">
        <f>SUM(H42:H45)</f>
        <v>439001.75</v>
      </c>
      <c r="J47" s="205"/>
    </row>
    <row r="48" spans="1:12" ht="21.75" outlineLevel="1" thickBot="1" x14ac:dyDescent="0.4">
      <c r="A48" s="227"/>
      <c r="B48" s="228"/>
      <c r="C48" s="228"/>
      <c r="D48" s="228"/>
      <c r="E48" s="228"/>
      <c r="F48" s="229"/>
      <c r="H48" s="230"/>
      <c r="J48" s="111"/>
    </row>
    <row r="49" spans="1:10" ht="21.75" thickBot="1" x14ac:dyDescent="0.4">
      <c r="A49" s="231" t="s">
        <v>393</v>
      </c>
      <c r="B49" s="232">
        <f>SUM(B23,B31,B39,B47)</f>
        <v>198921.5</v>
      </c>
      <c r="C49" s="232">
        <f>SUM(C23,C31,C39,C47)</f>
        <v>0</v>
      </c>
      <c r="D49" s="232">
        <f>SUM(D23,D31,D39,D47)</f>
        <v>0</v>
      </c>
      <c r="E49" s="232">
        <f>SUM(E23,E31,E39,E47)</f>
        <v>0</v>
      </c>
      <c r="F49" s="233">
        <f>SUM(F23,F31,F39,F47)</f>
        <v>374540</v>
      </c>
      <c r="G49" s="11"/>
      <c r="H49" s="234">
        <f>SUM(H23,H31,H39,H47)</f>
        <v>573461.5</v>
      </c>
      <c r="J49" s="205"/>
    </row>
  </sheetData>
  <mergeCells count="5">
    <mergeCell ref="A32:A33"/>
    <mergeCell ref="A40:A41"/>
    <mergeCell ref="A4:A5"/>
    <mergeCell ref="A16:A17"/>
    <mergeCell ref="A24:A25"/>
  </mergeCells>
  <dataValidations count="2">
    <dataValidation type="list" allowBlank="1" showInputMessage="1" showErrorMessage="1" sqref="J12 J48:J49" xr:uid="{10F0FC79-2C1B-417A-9CEF-0984ECB17C43}">
      <formula1>"Rendicontato, Inviato con SAL, In attesa di autorizzazione a fatturare, Fatturato"</formula1>
    </dataValidation>
    <dataValidation type="list" allowBlank="1" showInputMessage="1" showErrorMessage="1" sqref="J13 J47 J23 J31 J39" xr:uid="{80524710-8AE4-4557-B477-33874B817B6F}">
      <formula1>"Compilati, Rendicontato, Inviato con SAL, In attesa di autorizzazione a fatturare, Fatturazione Autorizzata, Fatturato"</formula1>
    </dataValidation>
  </dataValidations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3257"/>
  <sheetViews>
    <sheetView tabSelected="1" zoomScale="55" zoomScaleNormal="55" workbookViewId="0">
      <pane ySplit="3" topLeftCell="A10" activePane="bottomLeft" state="frozen"/>
      <selection activeCell="A73" sqref="A73:XFD73"/>
      <selection pane="bottomLeft" activeCell="I14" sqref="I14"/>
    </sheetView>
  </sheetViews>
  <sheetFormatPr defaultColWidth="13.28515625" defaultRowHeight="31.5" outlineLevelCol="1" x14ac:dyDescent="0.25"/>
  <cols>
    <col min="1" max="1" width="10.85546875" style="290" customWidth="1"/>
    <col min="2" max="2" width="0" style="290" hidden="1" customWidth="1"/>
    <col min="3" max="3" width="100.42578125" style="291" customWidth="1"/>
    <col min="4" max="4" width="75.42578125" style="291" hidden="1" customWidth="1"/>
    <col min="5" max="5" width="55.85546875" style="292" hidden="1" customWidth="1"/>
    <col min="6" max="6" width="62.28515625" style="291" hidden="1" customWidth="1"/>
    <col min="7" max="7" width="24.28515625" style="294" customWidth="1" outlineLevel="1"/>
    <col min="8" max="8" width="23.7109375" style="294" customWidth="1" outlineLevel="1"/>
    <col min="9" max="9" width="27.42578125" style="294" bestFit="1" customWidth="1" outlineLevel="1"/>
    <col min="10" max="10" width="26.28515625" style="294" customWidth="1" outlineLevel="1"/>
    <col min="11" max="11" width="22" style="295" customWidth="1" outlineLevel="1"/>
    <col min="12" max="12" width="45.85546875" style="149" customWidth="1" outlineLevel="1"/>
    <col min="13" max="13" width="27.5703125" style="84" customWidth="1" outlineLevel="1"/>
    <col min="14" max="14" width="22.5703125" style="296" customWidth="1" outlineLevel="1"/>
    <col min="15" max="15" width="27.28515625" style="84" customWidth="1" outlineLevel="1"/>
    <col min="16" max="16" width="61.5703125" style="275" customWidth="1" outlineLevel="1"/>
    <col min="17" max="17" width="33.5703125" style="175" customWidth="1"/>
    <col min="18" max="18" width="21.7109375" style="399" customWidth="1"/>
    <col min="19" max="19" width="20.85546875" style="251" customWidth="1"/>
    <col min="20" max="20" width="30.28515625" style="297" customWidth="1"/>
    <col min="21" max="21" width="36.42578125" style="297" customWidth="1"/>
    <col min="22" max="22" width="32.5703125" style="297" customWidth="1"/>
    <col min="23" max="23" width="28.28515625" style="297" customWidth="1"/>
    <col min="24" max="24" width="23.42578125" style="84" customWidth="1"/>
    <col min="25" max="25" width="30.85546875" style="75" customWidth="1"/>
    <col min="26" max="16384" width="13.28515625" style="297"/>
  </cols>
  <sheetData>
    <row r="1" spans="1:97" x14ac:dyDescent="0.25">
      <c r="G1" s="293"/>
      <c r="Q1" s="159"/>
      <c r="R1" s="297"/>
      <c r="S1" s="247"/>
    </row>
    <row r="2" spans="1:97" ht="21" x14ac:dyDescent="0.25">
      <c r="A2" s="75"/>
      <c r="B2" s="75"/>
      <c r="C2" s="298"/>
      <c r="D2" s="298"/>
      <c r="E2" s="299"/>
      <c r="F2" s="298"/>
      <c r="G2" s="417" t="s">
        <v>8</v>
      </c>
      <c r="H2" s="418"/>
      <c r="I2" s="418"/>
      <c r="J2" s="419"/>
      <c r="K2" s="420" t="s">
        <v>9</v>
      </c>
      <c r="L2" s="421"/>
      <c r="M2" s="422"/>
      <c r="N2" s="96"/>
      <c r="O2" s="72"/>
      <c r="P2" s="273"/>
      <c r="Q2" s="85"/>
      <c r="R2" s="75"/>
      <c r="S2" s="85"/>
      <c r="T2" s="75"/>
      <c r="U2" s="75"/>
      <c r="V2" s="75"/>
      <c r="W2" s="75"/>
      <c r="X2" s="85"/>
    </row>
    <row r="3" spans="1:97" s="169" customFormat="1" ht="63" x14ac:dyDescent="0.25">
      <c r="A3" s="17" t="s">
        <v>6</v>
      </c>
      <c r="B3" s="76" t="s">
        <v>397</v>
      </c>
      <c r="C3" s="76" t="s">
        <v>10</v>
      </c>
      <c r="D3" s="76" t="s">
        <v>400</v>
      </c>
      <c r="E3" s="76" t="s">
        <v>399</v>
      </c>
      <c r="F3" s="76" t="s">
        <v>398</v>
      </c>
      <c r="G3" s="70" t="s">
        <v>229</v>
      </c>
      <c r="H3" s="70">
        <v>2024</v>
      </c>
      <c r="I3" s="70" t="s">
        <v>228</v>
      </c>
      <c r="J3" s="70" t="s">
        <v>0</v>
      </c>
      <c r="K3" s="71" t="s">
        <v>11</v>
      </c>
      <c r="L3" s="72" t="s">
        <v>12</v>
      </c>
      <c r="M3" s="73" t="s">
        <v>13</v>
      </c>
      <c r="N3" s="73" t="s">
        <v>243</v>
      </c>
      <c r="O3" s="73" t="s">
        <v>14</v>
      </c>
      <c r="P3" s="272" t="s">
        <v>7</v>
      </c>
      <c r="Q3" s="17" t="s">
        <v>7</v>
      </c>
      <c r="R3" s="17" t="s">
        <v>15</v>
      </c>
      <c r="S3" s="69" t="s">
        <v>16</v>
      </c>
      <c r="T3" s="79" t="s">
        <v>307</v>
      </c>
      <c r="U3" s="79" t="s">
        <v>334</v>
      </c>
      <c r="V3" s="79" t="s">
        <v>328</v>
      </c>
      <c r="W3" s="79" t="s">
        <v>401</v>
      </c>
      <c r="X3" s="79" t="s">
        <v>253</v>
      </c>
      <c r="Y3" s="17" t="s">
        <v>17</v>
      </c>
    </row>
    <row r="4" spans="1:97" s="311" customFormat="1" ht="21" x14ac:dyDescent="0.25">
      <c r="A4" s="300"/>
      <c r="B4" s="301"/>
      <c r="C4" s="302" t="s">
        <v>224</v>
      </c>
      <c r="D4" s="302"/>
      <c r="E4" s="303"/>
      <c r="F4" s="302"/>
      <c r="G4" s="304"/>
      <c r="H4" s="304"/>
      <c r="I4" s="305"/>
      <c r="J4" s="304"/>
      <c r="K4" s="306"/>
      <c r="L4" s="150"/>
      <c r="M4" s="86"/>
      <c r="N4" s="307"/>
      <c r="O4" s="86"/>
      <c r="P4" s="308"/>
      <c r="Q4" s="308" t="s">
        <v>42</v>
      </c>
      <c r="R4" s="309"/>
      <c r="S4" s="243"/>
      <c r="T4" s="140"/>
      <c r="U4" s="140"/>
      <c r="V4" s="140"/>
      <c r="W4" s="140"/>
      <c r="X4" s="86"/>
      <c r="Y4" s="310"/>
    </row>
    <row r="5" spans="1:97" s="311" customFormat="1" ht="21" x14ac:dyDescent="0.25">
      <c r="A5" s="74"/>
      <c r="B5" s="74"/>
      <c r="C5" s="63" t="s">
        <v>264</v>
      </c>
      <c r="D5" s="63"/>
      <c r="E5" s="303"/>
      <c r="F5" s="63"/>
      <c r="G5" s="312"/>
      <c r="H5" s="312"/>
      <c r="I5" s="313"/>
      <c r="J5" s="312"/>
      <c r="K5" s="314"/>
      <c r="L5" s="151"/>
      <c r="M5" s="86"/>
      <c r="N5" s="307"/>
      <c r="O5" s="86"/>
      <c r="P5" s="315" t="str">
        <f>Q5</f>
        <v>COMPLETATO</v>
      </c>
      <c r="Q5" s="315" t="s">
        <v>23</v>
      </c>
      <c r="R5" s="316" t="s">
        <v>24</v>
      </c>
      <c r="S5" s="242">
        <v>1</v>
      </c>
      <c r="T5" s="141">
        <v>45224</v>
      </c>
      <c r="U5" s="141"/>
      <c r="V5" s="141"/>
      <c r="W5" s="141"/>
      <c r="X5" s="82"/>
      <c r="Y5" s="317"/>
    </row>
    <row r="6" spans="1:97" s="311" customFormat="1" ht="21" x14ac:dyDescent="0.25">
      <c r="A6" s="74"/>
      <c r="B6" s="241"/>
      <c r="C6" s="302" t="s">
        <v>225</v>
      </c>
      <c r="D6" s="302"/>
      <c r="E6" s="303"/>
      <c r="F6" s="302"/>
      <c r="G6" s="312"/>
      <c r="H6" s="312"/>
      <c r="I6" s="313"/>
      <c r="J6" s="312"/>
      <c r="K6" s="314"/>
      <c r="L6" s="151"/>
      <c r="M6" s="86"/>
      <c r="N6" s="307"/>
      <c r="O6" s="86"/>
      <c r="P6" s="315" t="str">
        <f t="shared" ref="P6:P9" si="0">Q6</f>
        <v>COMPLETATO</v>
      </c>
      <c r="Q6" s="315" t="s">
        <v>23</v>
      </c>
      <c r="R6" s="316" t="s">
        <v>24</v>
      </c>
      <c r="S6" s="242">
        <v>1</v>
      </c>
      <c r="T6" s="140"/>
      <c r="U6" s="140"/>
      <c r="V6" s="140"/>
      <c r="W6" s="140"/>
      <c r="X6" s="87"/>
      <c r="Y6" s="310"/>
    </row>
    <row r="7" spans="1:97" s="311" customFormat="1" ht="21" x14ac:dyDescent="0.25">
      <c r="A7" s="74"/>
      <c r="B7" s="74"/>
      <c r="C7" s="63" t="s">
        <v>226</v>
      </c>
      <c r="D7" s="63"/>
      <c r="E7" s="303"/>
      <c r="F7" s="63"/>
      <c r="G7" s="312"/>
      <c r="H7" s="312"/>
      <c r="I7" s="313"/>
      <c r="J7" s="312"/>
      <c r="K7" s="314"/>
      <c r="L7" s="151"/>
      <c r="M7" s="86"/>
      <c r="N7" s="307"/>
      <c r="O7" s="86"/>
      <c r="P7" s="315" t="str">
        <f t="shared" si="0"/>
        <v>COMPLETATO</v>
      </c>
      <c r="Q7" s="315" t="s">
        <v>23</v>
      </c>
      <c r="R7" s="316" t="s">
        <v>24</v>
      </c>
      <c r="S7" s="242">
        <v>1</v>
      </c>
      <c r="T7" s="140"/>
      <c r="U7" s="140"/>
      <c r="V7" s="140"/>
      <c r="W7" s="140"/>
      <c r="X7" s="87"/>
      <c r="Y7" s="310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</row>
    <row r="8" spans="1:97" s="311" customFormat="1" ht="21" x14ac:dyDescent="0.25">
      <c r="A8" s="74"/>
      <c r="B8" s="74"/>
      <c r="C8" s="63" t="s">
        <v>241</v>
      </c>
      <c r="D8" s="63"/>
      <c r="E8" s="318"/>
      <c r="F8" s="63"/>
      <c r="G8" s="312"/>
      <c r="H8" s="312"/>
      <c r="I8" s="313"/>
      <c r="J8" s="312"/>
      <c r="K8" s="319"/>
      <c r="L8" s="152"/>
      <c r="M8" s="320"/>
      <c r="N8" s="321"/>
      <c r="O8" s="114"/>
      <c r="P8" s="315" t="str">
        <f t="shared" si="0"/>
        <v>COMPLETATO</v>
      </c>
      <c r="Q8" s="315" t="s">
        <v>23</v>
      </c>
      <c r="R8" s="316" t="s">
        <v>24</v>
      </c>
      <c r="S8" s="242">
        <v>1</v>
      </c>
      <c r="T8" s="142"/>
      <c r="U8" s="142"/>
      <c r="V8" s="142"/>
      <c r="W8" s="142"/>
      <c r="X8" s="88"/>
      <c r="Y8" s="310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</row>
    <row r="9" spans="1:97" s="311" customFormat="1" ht="21" x14ac:dyDescent="0.25">
      <c r="A9" s="74"/>
      <c r="B9" s="74"/>
      <c r="C9" s="63" t="s">
        <v>227</v>
      </c>
      <c r="D9" s="63"/>
      <c r="E9" s="318"/>
      <c r="F9" s="63"/>
      <c r="G9" s="312"/>
      <c r="H9" s="312"/>
      <c r="I9" s="313"/>
      <c r="J9" s="312"/>
      <c r="K9" s="319"/>
      <c r="L9" s="152"/>
      <c r="M9" s="320"/>
      <c r="N9" s="321"/>
      <c r="O9" s="114"/>
      <c r="P9" s="315" t="str">
        <f t="shared" si="0"/>
        <v>COMPLETATO</v>
      </c>
      <c r="Q9" s="315" t="s">
        <v>23</v>
      </c>
      <c r="R9" s="316" t="s">
        <v>24</v>
      </c>
      <c r="S9" s="242">
        <v>1</v>
      </c>
      <c r="T9" s="142"/>
      <c r="U9" s="142"/>
      <c r="V9" s="142"/>
      <c r="W9" s="142"/>
      <c r="X9" s="88"/>
      <c r="Y9" s="310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</row>
    <row r="10" spans="1:97" s="327" customFormat="1" ht="42" x14ac:dyDescent="0.25">
      <c r="A10" s="322"/>
      <c r="B10" s="323"/>
      <c r="C10" s="324" t="s">
        <v>394</v>
      </c>
      <c r="D10" s="324"/>
      <c r="E10" s="324"/>
      <c r="F10" s="324"/>
      <c r="G10" s="325">
        <f>SUM(G11,G12,G18,G30,G26,G41)</f>
        <v>174540</v>
      </c>
      <c r="H10" s="325">
        <f>SUM(H11,H12,H18,H30,H26)</f>
        <v>543370.73</v>
      </c>
      <c r="I10" s="325">
        <f>SUM(I11,I12,I18,I30,I26)</f>
        <v>912996.61</v>
      </c>
      <c r="J10" s="325">
        <f>SUM(G10,H10,I10)</f>
        <v>1630907.3399999999</v>
      </c>
      <c r="K10" s="325"/>
      <c r="L10" s="153"/>
      <c r="M10" s="143"/>
      <c r="N10" s="326"/>
      <c r="O10" s="113"/>
      <c r="P10" s="143"/>
      <c r="Q10" s="143"/>
      <c r="R10" s="83"/>
      <c r="S10" s="143"/>
      <c r="T10" s="143"/>
      <c r="U10" s="143"/>
      <c r="V10" s="143"/>
      <c r="W10" s="143"/>
      <c r="X10" s="83"/>
      <c r="Y10" s="83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</row>
    <row r="11" spans="1:97" s="75" customFormat="1" ht="168" x14ac:dyDescent="0.25">
      <c r="A11" s="74">
        <v>0</v>
      </c>
      <c r="B11" s="74"/>
      <c r="C11" s="268" t="s">
        <v>283</v>
      </c>
      <c r="D11" s="109"/>
      <c r="E11" s="110"/>
      <c r="F11" s="328" t="s">
        <v>326</v>
      </c>
      <c r="G11" s="104">
        <v>99852</v>
      </c>
      <c r="H11" s="104"/>
      <c r="I11" s="104">
        <v>0</v>
      </c>
      <c r="J11" s="104">
        <f>SUM(G11:I11)</f>
        <v>99852</v>
      </c>
      <c r="K11" s="97">
        <f>G11</f>
        <v>99852</v>
      </c>
      <c r="L11" s="177" t="s">
        <v>230</v>
      </c>
      <c r="M11" s="134" t="s">
        <v>270</v>
      </c>
      <c r="N11" s="93" t="s">
        <v>268</v>
      </c>
      <c r="O11" s="163">
        <f>K11/J11</f>
        <v>1</v>
      </c>
      <c r="P11" s="74" t="str">
        <f>Q11</f>
        <v>RILASCIATO IN ESERCIZIO</v>
      </c>
      <c r="Q11" s="74" t="s">
        <v>21</v>
      </c>
      <c r="R11" s="99" t="s">
        <v>242</v>
      </c>
      <c r="S11" s="242">
        <f>K11/G11</f>
        <v>1</v>
      </c>
      <c r="T11" s="90">
        <v>45231</v>
      </c>
      <c r="U11" s="90"/>
      <c r="V11" s="90">
        <v>45291</v>
      </c>
      <c r="W11" s="101">
        <v>45313</v>
      </c>
      <c r="X11" s="90">
        <v>45330</v>
      </c>
      <c r="Y11" s="112"/>
    </row>
    <row r="12" spans="1:97" s="75" customFormat="1" ht="21" x14ac:dyDescent="0.25">
      <c r="A12" s="99">
        <v>1</v>
      </c>
      <c r="B12" s="329"/>
      <c r="C12" s="330" t="s">
        <v>290</v>
      </c>
      <c r="D12" s="330"/>
      <c r="E12" s="331"/>
      <c r="F12" s="332"/>
      <c r="G12" s="333">
        <f>SUM(G13:G17)</f>
        <v>0</v>
      </c>
      <c r="H12" s="333">
        <f>SUM(H13:H17)</f>
        <v>215000</v>
      </c>
      <c r="I12" s="333">
        <f>SUM(I13:I17)</f>
        <v>245000</v>
      </c>
      <c r="J12" s="334">
        <f>SUM(G12:I12)</f>
        <v>460000</v>
      </c>
      <c r="K12" s="335">
        <f>SUM(K13:K17)</f>
        <v>70000</v>
      </c>
      <c r="L12" s="154"/>
      <c r="M12" s="336"/>
      <c r="N12" s="337"/>
      <c r="O12" s="115"/>
      <c r="P12" s="115"/>
      <c r="Q12" s="338"/>
      <c r="R12" s="339"/>
      <c r="S12" s="244"/>
      <c r="T12" s="144"/>
      <c r="U12" s="144"/>
      <c r="V12" s="144"/>
      <c r="W12" s="144"/>
      <c r="X12" s="89"/>
      <c r="Y12" s="144"/>
    </row>
    <row r="13" spans="1:97" s="85" customFormat="1" ht="80.25" customHeight="1" x14ac:dyDescent="0.25">
      <c r="A13" s="277" t="s">
        <v>19</v>
      </c>
      <c r="B13" s="277"/>
      <c r="C13" s="345" t="s">
        <v>317</v>
      </c>
      <c r="D13" s="344" t="s">
        <v>313</v>
      </c>
      <c r="E13" s="278"/>
      <c r="F13" s="345" t="s">
        <v>327</v>
      </c>
      <c r="G13" s="270"/>
      <c r="H13" s="270">
        <v>70000</v>
      </c>
      <c r="I13" s="270"/>
      <c r="J13" s="270">
        <f t="shared" ref="J13:J17" si="1">SUM(G13:I13)</f>
        <v>70000</v>
      </c>
      <c r="K13" s="408">
        <v>70000</v>
      </c>
      <c r="L13" s="280" t="s">
        <v>260</v>
      </c>
      <c r="M13" s="409" t="s">
        <v>244</v>
      </c>
      <c r="N13" s="282" t="s">
        <v>265</v>
      </c>
      <c r="O13" s="283">
        <f t="shared" ref="O13:O17" si="2">K13/J13</f>
        <v>1</v>
      </c>
      <c r="P13" s="276" t="s">
        <v>21</v>
      </c>
      <c r="Q13" s="274" t="s">
        <v>413</v>
      </c>
      <c r="R13" s="99" t="s">
        <v>242</v>
      </c>
      <c r="S13" s="108">
        <f>K13/H13</f>
        <v>1</v>
      </c>
      <c r="T13" s="90">
        <v>45299</v>
      </c>
      <c r="U13" s="171">
        <v>45569</v>
      </c>
      <c r="V13" s="90">
        <v>45366</v>
      </c>
      <c r="W13" s="158">
        <v>45366</v>
      </c>
      <c r="X13" s="90">
        <v>45382</v>
      </c>
      <c r="Y13" s="74"/>
    </row>
    <row r="14" spans="1:97" s="343" customFormat="1" ht="144" customHeight="1" x14ac:dyDescent="0.25">
      <c r="A14" s="74" t="s">
        <v>254</v>
      </c>
      <c r="B14" s="241"/>
      <c r="C14" s="170" t="s">
        <v>321</v>
      </c>
      <c r="D14" s="340" t="s">
        <v>313</v>
      </c>
      <c r="E14" s="328" t="s">
        <v>348</v>
      </c>
      <c r="F14" s="328" t="s">
        <v>348</v>
      </c>
      <c r="G14" s="341"/>
      <c r="H14" s="424">
        <v>50000</v>
      </c>
      <c r="I14" s="165">
        <v>45000</v>
      </c>
      <c r="J14" s="98">
        <f t="shared" si="1"/>
        <v>95000</v>
      </c>
      <c r="K14" s="97"/>
      <c r="L14" s="177" t="s">
        <v>20</v>
      </c>
      <c r="M14" s="134" t="s">
        <v>245</v>
      </c>
      <c r="N14" s="93" t="s">
        <v>265</v>
      </c>
      <c r="O14" s="163">
        <f t="shared" si="2"/>
        <v>0</v>
      </c>
      <c r="P14" s="173" t="str">
        <f t="shared" ref="P14:P56" si="3">Q14</f>
        <v>DA AUTORIZZARE</v>
      </c>
      <c r="Q14" s="173" t="s">
        <v>413</v>
      </c>
      <c r="R14" s="99" t="s">
        <v>242</v>
      </c>
      <c r="S14" s="108">
        <v>0.4</v>
      </c>
      <c r="T14" s="90">
        <v>45536</v>
      </c>
      <c r="U14" s="145"/>
      <c r="V14" s="145"/>
      <c r="W14" s="171">
        <v>45641</v>
      </c>
      <c r="X14" s="171"/>
      <c r="Y14" s="342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</row>
    <row r="15" spans="1:97" s="85" customFormat="1" ht="81.75" customHeight="1" x14ac:dyDescent="0.25">
      <c r="A15" s="74" t="s">
        <v>240</v>
      </c>
      <c r="B15" s="241"/>
      <c r="C15" s="340" t="s">
        <v>343</v>
      </c>
      <c r="D15" s="340" t="s">
        <v>313</v>
      </c>
      <c r="E15" s="99"/>
      <c r="F15" s="328" t="s">
        <v>348</v>
      </c>
      <c r="G15" s="98"/>
      <c r="H15" s="423">
        <v>50000</v>
      </c>
      <c r="I15" s="98">
        <v>145000</v>
      </c>
      <c r="J15" s="98">
        <f t="shared" si="1"/>
        <v>195000</v>
      </c>
      <c r="K15" s="133">
        <v>0</v>
      </c>
      <c r="L15" s="177" t="s">
        <v>230</v>
      </c>
      <c r="M15" s="134" t="s">
        <v>245</v>
      </c>
      <c r="N15" s="93" t="s">
        <v>265</v>
      </c>
      <c r="O15" s="163">
        <f t="shared" si="2"/>
        <v>0</v>
      </c>
      <c r="P15" s="173" t="str">
        <f t="shared" si="3"/>
        <v>DA AUTORIZZARE</v>
      </c>
      <c r="Q15" s="173" t="s">
        <v>413</v>
      </c>
      <c r="R15" s="99" t="s">
        <v>242</v>
      </c>
      <c r="S15" s="108">
        <v>0.4</v>
      </c>
      <c r="T15" s="90">
        <v>45536</v>
      </c>
      <c r="U15" s="132"/>
      <c r="V15" s="132"/>
      <c r="W15" s="171">
        <v>45641</v>
      </c>
      <c r="X15" s="171"/>
      <c r="Y15" s="74"/>
    </row>
    <row r="16" spans="1:97" s="75" customFormat="1" ht="30.75" customHeight="1" x14ac:dyDescent="0.25">
      <c r="A16" s="277" t="s">
        <v>252</v>
      </c>
      <c r="B16" s="406"/>
      <c r="C16" s="344" t="s">
        <v>344</v>
      </c>
      <c r="D16" s="344" t="s">
        <v>313</v>
      </c>
      <c r="E16" s="345"/>
      <c r="F16" s="345" t="s">
        <v>348</v>
      </c>
      <c r="G16" s="407"/>
      <c r="H16" s="270"/>
      <c r="I16" s="407">
        <v>55000</v>
      </c>
      <c r="J16" s="270">
        <f t="shared" si="1"/>
        <v>55000</v>
      </c>
      <c r="K16" s="279">
        <v>0</v>
      </c>
      <c r="L16" s="280" t="s">
        <v>20</v>
      </c>
      <c r="M16" s="281" t="s">
        <v>245</v>
      </c>
      <c r="N16" s="282" t="s">
        <v>265</v>
      </c>
      <c r="O16" s="283">
        <f t="shared" si="2"/>
        <v>0</v>
      </c>
      <c r="P16" s="276" t="s">
        <v>22</v>
      </c>
      <c r="Q16" s="173" t="s">
        <v>413</v>
      </c>
      <c r="R16" s="99" t="s">
        <v>242</v>
      </c>
      <c r="S16" s="108">
        <v>0.9</v>
      </c>
      <c r="T16" s="90">
        <v>45488</v>
      </c>
      <c r="U16" s="171"/>
      <c r="V16" s="145"/>
      <c r="W16" s="171">
        <v>45590</v>
      </c>
      <c r="X16" s="90"/>
      <c r="Y16" s="342"/>
    </row>
    <row r="17" spans="1:97" s="75" customFormat="1" ht="75.75" customHeight="1" x14ac:dyDescent="0.25">
      <c r="A17" s="74" t="s">
        <v>267</v>
      </c>
      <c r="B17" s="241"/>
      <c r="C17" s="170" t="s">
        <v>318</v>
      </c>
      <c r="D17" s="340" t="s">
        <v>313</v>
      </c>
      <c r="E17" s="328" t="s">
        <v>355</v>
      </c>
      <c r="F17" s="328" t="s">
        <v>340</v>
      </c>
      <c r="G17" s="341"/>
      <c r="H17" s="165">
        <v>45000</v>
      </c>
      <c r="I17" s="165"/>
      <c r="J17" s="98">
        <f t="shared" si="1"/>
        <v>45000</v>
      </c>
      <c r="K17" s="133">
        <v>0</v>
      </c>
      <c r="L17" s="177" t="s">
        <v>20</v>
      </c>
      <c r="M17" s="134" t="s">
        <v>249</v>
      </c>
      <c r="N17" s="93" t="s">
        <v>265</v>
      </c>
      <c r="O17" s="163">
        <f t="shared" si="2"/>
        <v>0</v>
      </c>
      <c r="P17" s="274" t="str">
        <f t="shared" si="3"/>
        <v>IN CORSO</v>
      </c>
      <c r="Q17" s="274" t="s">
        <v>22</v>
      </c>
      <c r="R17" s="99" t="s">
        <v>242</v>
      </c>
      <c r="S17" s="108">
        <v>0.9</v>
      </c>
      <c r="T17" s="90">
        <v>45355</v>
      </c>
      <c r="U17" s="171">
        <v>45574</v>
      </c>
      <c r="V17" s="145"/>
      <c r="W17" s="171">
        <v>45641</v>
      </c>
      <c r="X17" s="90"/>
      <c r="Y17" s="342"/>
    </row>
    <row r="18" spans="1:97" s="75" customFormat="1" ht="21" x14ac:dyDescent="0.25">
      <c r="A18" s="99">
        <v>2</v>
      </c>
      <c r="B18" s="329"/>
      <c r="C18" s="330" t="s">
        <v>297</v>
      </c>
      <c r="D18" s="330"/>
      <c r="E18" s="331"/>
      <c r="F18" s="330"/>
      <c r="G18" s="333">
        <f>SUM(G19:G25)</f>
        <v>74688</v>
      </c>
      <c r="H18" s="347">
        <f>SUM(H19:H25)</f>
        <v>55750</v>
      </c>
      <c r="I18" s="347">
        <f>SUM(I19:I25)</f>
        <v>205467</v>
      </c>
      <c r="J18" s="334">
        <f>SUM(G18:I18)</f>
        <v>335905</v>
      </c>
      <c r="K18" s="335"/>
      <c r="L18" s="154"/>
      <c r="M18" s="336"/>
      <c r="N18" s="337"/>
      <c r="O18" s="115"/>
      <c r="P18" s="276"/>
      <c r="Q18" s="338"/>
      <c r="R18" s="339"/>
      <c r="S18" s="244"/>
      <c r="T18" s="144"/>
      <c r="U18" s="144"/>
      <c r="V18" s="144"/>
      <c r="W18" s="144"/>
      <c r="X18" s="89"/>
      <c r="Y18" s="144"/>
    </row>
    <row r="19" spans="1:97" s="75" customFormat="1" ht="42" x14ac:dyDescent="0.25">
      <c r="A19" s="348" t="s">
        <v>285</v>
      </c>
      <c r="B19" s="349"/>
      <c r="C19" s="170" t="s">
        <v>256</v>
      </c>
      <c r="D19" s="170" t="s">
        <v>314</v>
      </c>
      <c r="E19" s="328" t="s">
        <v>360</v>
      </c>
      <c r="F19" s="340" t="s">
        <v>329</v>
      </c>
      <c r="G19" s="350">
        <v>74688</v>
      </c>
      <c r="H19" s="165">
        <v>0</v>
      </c>
      <c r="I19" s="351">
        <v>0</v>
      </c>
      <c r="J19" s="98">
        <f t="shared" ref="J19:J23" si="4">SUM(G19:I19)</f>
        <v>74688</v>
      </c>
      <c r="K19" s="133">
        <f>G19</f>
        <v>74688</v>
      </c>
      <c r="L19" s="177" t="s">
        <v>20</v>
      </c>
      <c r="M19" s="134" t="s">
        <v>270</v>
      </c>
      <c r="N19" s="93" t="s">
        <v>268</v>
      </c>
      <c r="O19" s="163">
        <f t="shared" ref="O19:O24" si="5">K19/J19</f>
        <v>1</v>
      </c>
      <c r="P19" s="74" t="str">
        <f t="shared" si="3"/>
        <v>RILASCIATO IN ESERCIZIO</v>
      </c>
      <c r="Q19" s="74" t="s">
        <v>21</v>
      </c>
      <c r="R19" s="99" t="s">
        <v>242</v>
      </c>
      <c r="S19" s="242">
        <v>1</v>
      </c>
      <c r="T19" s="90">
        <v>45246</v>
      </c>
      <c r="U19" s="139">
        <v>45569</v>
      </c>
      <c r="V19" s="90">
        <v>45306</v>
      </c>
      <c r="W19" s="90">
        <v>45278</v>
      </c>
      <c r="X19" s="90">
        <v>45329</v>
      </c>
      <c r="Y19" s="102"/>
    </row>
    <row r="20" spans="1:97" s="75" customFormat="1" ht="42" x14ac:dyDescent="0.25">
      <c r="A20" s="348" t="s">
        <v>286</v>
      </c>
      <c r="B20" s="352"/>
      <c r="C20" s="170" t="s">
        <v>257</v>
      </c>
      <c r="D20" s="170" t="s">
        <v>314</v>
      </c>
      <c r="E20" s="328" t="s">
        <v>361</v>
      </c>
      <c r="F20" s="340" t="s">
        <v>330</v>
      </c>
      <c r="G20" s="351">
        <v>0</v>
      </c>
      <c r="H20" s="165">
        <v>29483</v>
      </c>
      <c r="I20" s="351"/>
      <c r="J20" s="98">
        <f t="shared" si="4"/>
        <v>29483</v>
      </c>
      <c r="K20" s="133">
        <f>H20</f>
        <v>29483</v>
      </c>
      <c r="L20" s="177" t="s">
        <v>20</v>
      </c>
      <c r="M20" s="99" t="s">
        <v>244</v>
      </c>
      <c r="N20" s="93" t="str">
        <f>IF(X20="-","-",TEXT(X20,"aaaa"))</f>
        <v>2024</v>
      </c>
      <c r="O20" s="163">
        <f t="shared" si="5"/>
        <v>1</v>
      </c>
      <c r="P20" s="74" t="str">
        <f t="shared" si="3"/>
        <v>RILASCIATO IN ESERCIZIO</v>
      </c>
      <c r="Q20" s="74" t="s">
        <v>21</v>
      </c>
      <c r="R20" s="99" t="s">
        <v>242</v>
      </c>
      <c r="S20" s="108">
        <v>1</v>
      </c>
      <c r="T20" s="90">
        <v>45297</v>
      </c>
      <c r="U20" s="139">
        <v>45569</v>
      </c>
      <c r="V20" s="90">
        <v>45345</v>
      </c>
      <c r="W20" s="90">
        <v>45345</v>
      </c>
      <c r="X20" s="90">
        <v>45359</v>
      </c>
      <c r="Y20" s="102"/>
    </row>
    <row r="21" spans="1:97" s="75" customFormat="1" ht="42" x14ac:dyDescent="0.25">
      <c r="A21" s="348" t="s">
        <v>293</v>
      </c>
      <c r="B21" s="352"/>
      <c r="C21" s="170" t="s">
        <v>266</v>
      </c>
      <c r="D21" s="170" t="s">
        <v>314</v>
      </c>
      <c r="E21" s="328" t="s">
        <v>362</v>
      </c>
      <c r="F21" s="340" t="s">
        <v>331</v>
      </c>
      <c r="G21" s="351">
        <v>0</v>
      </c>
      <c r="H21" s="165">
        <v>10000</v>
      </c>
      <c r="I21" s="351"/>
      <c r="J21" s="98">
        <f t="shared" si="4"/>
        <v>10000</v>
      </c>
      <c r="K21" s="133">
        <f>H21</f>
        <v>10000</v>
      </c>
      <c r="L21" s="177" t="s">
        <v>20</v>
      </c>
      <c r="M21" s="99" t="s">
        <v>247</v>
      </c>
      <c r="N21" s="93" t="s">
        <v>265</v>
      </c>
      <c r="O21" s="163">
        <f t="shared" si="5"/>
        <v>1</v>
      </c>
      <c r="P21" s="74" t="str">
        <f t="shared" si="3"/>
        <v>RILASCIATO IN ESERCIZIO</v>
      </c>
      <c r="Q21" s="74" t="s">
        <v>21</v>
      </c>
      <c r="R21" s="99" t="s">
        <v>242</v>
      </c>
      <c r="S21" s="108">
        <v>1</v>
      </c>
      <c r="T21" s="90">
        <v>45357</v>
      </c>
      <c r="U21" s="139">
        <v>45569</v>
      </c>
      <c r="V21" s="90">
        <v>45401</v>
      </c>
      <c r="W21" s="90">
        <v>45401</v>
      </c>
      <c r="X21" s="90">
        <v>45415</v>
      </c>
      <c r="Y21" s="102"/>
    </row>
    <row r="22" spans="1:97" s="75" customFormat="1" ht="42" x14ac:dyDescent="0.25">
      <c r="A22" s="348" t="s">
        <v>294</v>
      </c>
      <c r="B22" s="352"/>
      <c r="C22" s="170" t="s">
        <v>258</v>
      </c>
      <c r="D22" s="170" t="s">
        <v>314</v>
      </c>
      <c r="E22" s="328" t="s">
        <v>363</v>
      </c>
      <c r="F22" s="340" t="s">
        <v>332</v>
      </c>
      <c r="G22" s="351">
        <v>0</v>
      </c>
      <c r="H22" s="165">
        <v>11072</v>
      </c>
      <c r="I22" s="351"/>
      <c r="J22" s="98">
        <f t="shared" si="4"/>
        <v>11072</v>
      </c>
      <c r="K22" s="133">
        <f>H22</f>
        <v>11072</v>
      </c>
      <c r="L22" s="177" t="s">
        <v>20</v>
      </c>
      <c r="M22" s="99" t="s">
        <v>247</v>
      </c>
      <c r="N22" s="93" t="s">
        <v>265</v>
      </c>
      <c r="O22" s="163">
        <f t="shared" si="5"/>
        <v>1</v>
      </c>
      <c r="P22" s="74" t="str">
        <f t="shared" si="3"/>
        <v>RILASCIATO IN ESERCIZIO</v>
      </c>
      <c r="Q22" s="74" t="s">
        <v>21</v>
      </c>
      <c r="R22" s="99" t="s">
        <v>242</v>
      </c>
      <c r="S22" s="108">
        <v>1</v>
      </c>
      <c r="T22" s="90">
        <v>45388</v>
      </c>
      <c r="U22" s="139">
        <v>45569</v>
      </c>
      <c r="V22" s="90">
        <v>45450</v>
      </c>
      <c r="W22" s="90">
        <v>45450</v>
      </c>
      <c r="X22" s="90">
        <v>45460</v>
      </c>
      <c r="Y22" s="102"/>
    </row>
    <row r="23" spans="1:97" s="75" customFormat="1" ht="42" x14ac:dyDescent="0.25">
      <c r="A23" s="348" t="s">
        <v>295</v>
      </c>
      <c r="B23" s="352"/>
      <c r="C23" s="170" t="s">
        <v>259</v>
      </c>
      <c r="D23" s="170" t="s">
        <v>314</v>
      </c>
      <c r="E23" s="328" t="s">
        <v>364</v>
      </c>
      <c r="F23" s="340" t="s">
        <v>333</v>
      </c>
      <c r="G23" s="351">
        <v>0</v>
      </c>
      <c r="H23" s="165">
        <v>5195</v>
      </c>
      <c r="I23" s="351"/>
      <c r="J23" s="98">
        <f t="shared" si="4"/>
        <v>5195</v>
      </c>
      <c r="K23" s="133">
        <v>0</v>
      </c>
      <c r="L23" s="177" t="s">
        <v>20</v>
      </c>
      <c r="M23" s="99" t="s">
        <v>249</v>
      </c>
      <c r="N23" s="93" t="s">
        <v>265</v>
      </c>
      <c r="O23" s="163">
        <f t="shared" si="5"/>
        <v>0</v>
      </c>
      <c r="P23" s="74" t="str">
        <f t="shared" si="3"/>
        <v>RILASCIATO IN ESERCIZIO</v>
      </c>
      <c r="Q23" s="74" t="s">
        <v>21</v>
      </c>
      <c r="R23" s="99" t="s">
        <v>242</v>
      </c>
      <c r="S23" s="108">
        <v>1</v>
      </c>
      <c r="T23" s="90">
        <v>45449</v>
      </c>
      <c r="U23" s="139">
        <v>45569</v>
      </c>
      <c r="V23" s="90"/>
      <c r="W23" s="90">
        <v>45590</v>
      </c>
      <c r="X23" s="90">
        <v>45596</v>
      </c>
      <c r="Y23" s="102"/>
    </row>
    <row r="24" spans="1:97" s="75" customFormat="1" ht="132" customHeight="1" x14ac:dyDescent="0.25">
      <c r="A24" s="278" t="s">
        <v>296</v>
      </c>
      <c r="B24" s="353"/>
      <c r="C24" s="354" t="s">
        <v>335</v>
      </c>
      <c r="D24" s="354" t="s">
        <v>320</v>
      </c>
      <c r="E24" s="355"/>
      <c r="F24" s="355" t="s">
        <v>348</v>
      </c>
      <c r="G24" s="356"/>
      <c r="H24" s="284"/>
      <c r="I24" s="357">
        <v>139194.68</v>
      </c>
      <c r="J24" s="284">
        <f t="shared" ref="J24:J25" si="6">SUM(G24:I24)</f>
        <v>139194.68</v>
      </c>
      <c r="K24" s="285">
        <v>0</v>
      </c>
      <c r="L24" s="286" t="s">
        <v>260</v>
      </c>
      <c r="M24" s="287" t="s">
        <v>245</v>
      </c>
      <c r="N24" s="288" t="s">
        <v>265</v>
      </c>
      <c r="O24" s="289">
        <f t="shared" si="5"/>
        <v>0</v>
      </c>
      <c r="P24" s="276" t="s">
        <v>430</v>
      </c>
      <c r="Q24" s="173" t="s">
        <v>22</v>
      </c>
      <c r="R24" s="99" t="s">
        <v>242</v>
      </c>
      <c r="S24" s="108">
        <v>0.5</v>
      </c>
      <c r="T24" s="139">
        <v>45566</v>
      </c>
      <c r="U24" s="139"/>
      <c r="V24" s="90"/>
      <c r="W24" s="90">
        <v>45641</v>
      </c>
      <c r="X24" s="90">
        <v>45657</v>
      </c>
      <c r="Y24" s="102"/>
    </row>
    <row r="25" spans="1:97" s="75" customFormat="1" ht="105" x14ac:dyDescent="0.25">
      <c r="A25" s="278" t="s">
        <v>408</v>
      </c>
      <c r="B25" s="353"/>
      <c r="C25" s="354" t="s">
        <v>415</v>
      </c>
      <c r="D25" s="354" t="s">
        <v>417</v>
      </c>
      <c r="E25" s="355" t="s">
        <v>416</v>
      </c>
      <c r="F25" s="355"/>
      <c r="G25" s="356"/>
      <c r="H25" s="284"/>
      <c r="I25" s="405">
        <v>66272.320000000007</v>
      </c>
      <c r="J25" s="405">
        <f t="shared" si="6"/>
        <v>66272.320000000007</v>
      </c>
      <c r="K25" s="285">
        <v>0</v>
      </c>
      <c r="L25" s="286" t="s">
        <v>260</v>
      </c>
      <c r="M25" s="287" t="s">
        <v>245</v>
      </c>
      <c r="N25" s="288" t="s">
        <v>271</v>
      </c>
      <c r="O25" s="289">
        <f>K25/J25</f>
        <v>0</v>
      </c>
      <c r="P25" s="410" t="str">
        <f t="shared" si="3"/>
        <v>DA AUTORIZZARE</v>
      </c>
      <c r="Q25" s="410" t="s">
        <v>413</v>
      </c>
      <c r="R25" s="99" t="s">
        <v>242</v>
      </c>
      <c r="S25" s="108">
        <v>0.1</v>
      </c>
      <c r="T25" s="139">
        <v>45583</v>
      </c>
      <c r="U25" s="139">
        <v>45672</v>
      </c>
      <c r="V25" s="90"/>
      <c r="W25" s="90"/>
      <c r="X25" s="90"/>
      <c r="Y25" s="102" t="s">
        <v>418</v>
      </c>
    </row>
    <row r="26" spans="1:97" s="75" customFormat="1" ht="21" x14ac:dyDescent="0.25">
      <c r="A26" s="99">
        <v>3</v>
      </c>
      <c r="B26" s="329"/>
      <c r="C26" s="330" t="s">
        <v>291</v>
      </c>
      <c r="D26" s="330"/>
      <c r="E26" s="331"/>
      <c r="F26" s="330"/>
      <c r="G26" s="333">
        <f>SUM(G27:G29)</f>
        <v>0</v>
      </c>
      <c r="H26" s="358">
        <f t="shared" ref="H26:I26" si="7">SUM(H27:H29)</f>
        <v>0</v>
      </c>
      <c r="I26" s="358">
        <f t="shared" si="7"/>
        <v>270029.61</v>
      </c>
      <c r="J26" s="334">
        <f>SUM(G26:I26)</f>
        <v>270029.61</v>
      </c>
      <c r="K26" s="335">
        <f>SUM(K27:K29)</f>
        <v>0</v>
      </c>
      <c r="L26" s="154"/>
      <c r="M26" s="336"/>
      <c r="N26" s="337"/>
      <c r="O26" s="115"/>
      <c r="P26" s="115"/>
      <c r="Q26" s="338"/>
      <c r="R26" s="339"/>
      <c r="S26" s="244"/>
      <c r="T26" s="144"/>
      <c r="U26" s="144"/>
      <c r="V26" s="144"/>
      <c r="W26" s="144"/>
      <c r="X26" s="89"/>
      <c r="Y26" s="144"/>
    </row>
    <row r="27" spans="1:97" s="85" customFormat="1" ht="69.75" customHeight="1" thickBot="1" x14ac:dyDescent="0.3">
      <c r="A27" s="74" t="s">
        <v>239</v>
      </c>
      <c r="B27" s="74"/>
      <c r="C27" s="328" t="s">
        <v>337</v>
      </c>
      <c r="D27" s="340" t="s">
        <v>313</v>
      </c>
      <c r="E27" s="99"/>
      <c r="F27" s="359" t="s">
        <v>339</v>
      </c>
      <c r="G27" s="98"/>
      <c r="H27" s="165">
        <v>0</v>
      </c>
      <c r="I27" s="98">
        <v>70000</v>
      </c>
      <c r="J27" s="98">
        <f>SUM(G27:I27)</f>
        <v>70000</v>
      </c>
      <c r="K27" s="97">
        <f>H27</f>
        <v>0</v>
      </c>
      <c r="L27" s="177" t="s">
        <v>260</v>
      </c>
      <c r="M27" s="119" t="s">
        <v>245</v>
      </c>
      <c r="N27" s="93" t="s">
        <v>271</v>
      </c>
      <c r="O27" s="116">
        <f>K27/J27</f>
        <v>0</v>
      </c>
      <c r="P27" s="276" t="s">
        <v>426</v>
      </c>
      <c r="Q27" s="74" t="s">
        <v>21</v>
      </c>
      <c r="R27" s="99" t="s">
        <v>242</v>
      </c>
      <c r="S27" s="242" t="e">
        <f>K27/H27</f>
        <v>#DIV/0!</v>
      </c>
      <c r="T27" s="90">
        <v>45352</v>
      </c>
      <c r="U27" s="139">
        <v>45569</v>
      </c>
      <c r="V27" s="145"/>
      <c r="W27" s="158">
        <v>45731</v>
      </c>
      <c r="X27" s="90">
        <v>45747</v>
      </c>
      <c r="Y27" s="100"/>
    </row>
    <row r="28" spans="1:97" s="343" customFormat="1" ht="42" x14ac:dyDescent="0.25">
      <c r="A28" s="74" t="s">
        <v>235</v>
      </c>
      <c r="B28" s="241"/>
      <c r="C28" s="170" t="s">
        <v>345</v>
      </c>
      <c r="D28" s="170" t="s">
        <v>315</v>
      </c>
      <c r="E28" s="99" t="s">
        <v>358</v>
      </c>
      <c r="F28" s="360" t="s">
        <v>336</v>
      </c>
      <c r="G28" s="341"/>
      <c r="H28" s="165"/>
      <c r="I28" s="165">
        <v>175029.61</v>
      </c>
      <c r="J28" s="98">
        <f t="shared" ref="J28:J29" si="8">SUM(G28:I28)</f>
        <v>175029.61</v>
      </c>
      <c r="K28" s="97">
        <v>0</v>
      </c>
      <c r="L28" s="177" t="s">
        <v>20</v>
      </c>
      <c r="M28" s="119" t="s">
        <v>245</v>
      </c>
      <c r="N28" s="93" t="s">
        <v>271</v>
      </c>
      <c r="O28" s="116">
        <f t="shared" ref="O28:O29" si="9">K28/J28</f>
        <v>0</v>
      </c>
      <c r="P28" s="276" t="s">
        <v>427</v>
      </c>
      <c r="Q28" s="404" t="s">
        <v>413</v>
      </c>
      <c r="R28" s="99" t="s">
        <v>242</v>
      </c>
      <c r="S28" s="108">
        <v>0.3</v>
      </c>
      <c r="T28" s="90">
        <v>45454</v>
      </c>
      <c r="U28" s="171">
        <v>45574</v>
      </c>
      <c r="V28" s="145"/>
      <c r="W28" s="158">
        <v>45672</v>
      </c>
      <c r="X28" s="132"/>
      <c r="Y28" s="342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</row>
    <row r="29" spans="1:97" s="85" customFormat="1" ht="63.75" thickBot="1" x14ac:dyDescent="0.3">
      <c r="A29" s="74" t="s">
        <v>255</v>
      </c>
      <c r="B29" s="241"/>
      <c r="C29" s="170" t="s">
        <v>346</v>
      </c>
      <c r="D29" s="170" t="s">
        <v>315</v>
      </c>
      <c r="E29" s="99" t="s">
        <v>358</v>
      </c>
      <c r="F29" s="361" t="s">
        <v>336</v>
      </c>
      <c r="G29" s="165"/>
      <c r="H29" s="165"/>
      <c r="I29" s="165">
        <v>25000</v>
      </c>
      <c r="J29" s="98">
        <f t="shared" si="8"/>
        <v>25000</v>
      </c>
      <c r="K29" s="97">
        <v>0</v>
      </c>
      <c r="L29" s="177" t="s">
        <v>230</v>
      </c>
      <c r="M29" s="119" t="s">
        <v>245</v>
      </c>
      <c r="N29" s="162" t="s">
        <v>271</v>
      </c>
      <c r="O29" s="116">
        <f t="shared" si="9"/>
        <v>0</v>
      </c>
      <c r="P29" s="276" t="s">
        <v>431</v>
      </c>
      <c r="Q29" s="173" t="s">
        <v>413</v>
      </c>
      <c r="R29" s="99" t="s">
        <v>242</v>
      </c>
      <c r="S29" s="108">
        <v>0.3</v>
      </c>
      <c r="T29" s="90">
        <v>45454</v>
      </c>
      <c r="U29" s="171">
        <v>45574</v>
      </c>
      <c r="V29" s="132"/>
      <c r="W29" s="158">
        <v>45688</v>
      </c>
      <c r="X29" s="132"/>
      <c r="Y29" s="100"/>
    </row>
    <row r="30" spans="1:97" s="75" customFormat="1" ht="21" x14ac:dyDescent="0.25">
      <c r="A30" s="99">
        <v>4</v>
      </c>
      <c r="B30" s="329"/>
      <c r="C30" s="330" t="s">
        <v>289</v>
      </c>
      <c r="D30" s="330"/>
      <c r="E30" s="331"/>
      <c r="F30" s="362"/>
      <c r="G30" s="333">
        <f>SUM(G31:G39)</f>
        <v>0</v>
      </c>
      <c r="H30" s="358">
        <f>SUM(H31:H39)</f>
        <v>272620.73</v>
      </c>
      <c r="I30" s="358">
        <f>SUM(I31:I39)</f>
        <v>192500</v>
      </c>
      <c r="J30" s="334">
        <f t="shared" ref="J30:J39" si="10">SUM(G30:I30)</f>
        <v>465120.73</v>
      </c>
      <c r="K30" s="335">
        <f>SUM(K31:K39)</f>
        <v>0</v>
      </c>
      <c r="L30" s="154"/>
      <c r="M30" s="336"/>
      <c r="N30" s="337"/>
      <c r="O30" s="115"/>
      <c r="P30" s="115"/>
      <c r="Q30" s="338"/>
      <c r="R30" s="339"/>
      <c r="S30" s="244"/>
      <c r="T30" s="144"/>
      <c r="U30" s="144"/>
      <c r="V30" s="144"/>
      <c r="W30" s="144"/>
      <c r="X30" s="89"/>
      <c r="Y30" s="144"/>
    </row>
    <row r="31" spans="1:97" s="85" customFormat="1" ht="72" customHeight="1" x14ac:dyDescent="0.25">
      <c r="A31" s="74" t="s">
        <v>287</v>
      </c>
      <c r="B31" s="74"/>
      <c r="C31" s="328" t="s">
        <v>338</v>
      </c>
      <c r="D31" s="340" t="s">
        <v>313</v>
      </c>
      <c r="E31" s="363"/>
      <c r="F31" s="328" t="s">
        <v>342</v>
      </c>
      <c r="G31" s="98"/>
      <c r="H31" s="424">
        <v>100000</v>
      </c>
      <c r="I31" s="98"/>
      <c r="J31" s="98">
        <f t="shared" si="10"/>
        <v>100000</v>
      </c>
      <c r="K31" s="97">
        <v>0</v>
      </c>
      <c r="L31" s="177" t="s">
        <v>260</v>
      </c>
      <c r="M31" s="119" t="s">
        <v>245</v>
      </c>
      <c r="N31" s="93" t="s">
        <v>271</v>
      </c>
      <c r="O31" s="116">
        <f>K31/J31</f>
        <v>0</v>
      </c>
      <c r="P31" s="276" t="s">
        <v>428</v>
      </c>
      <c r="Q31" s="74" t="s">
        <v>413</v>
      </c>
      <c r="R31" s="99" t="s">
        <v>242</v>
      </c>
      <c r="S31" s="108">
        <f>K31/H31</f>
        <v>0</v>
      </c>
      <c r="T31" s="90">
        <v>45352</v>
      </c>
      <c r="U31" s="139">
        <v>45569</v>
      </c>
      <c r="V31" s="90"/>
      <c r="W31" s="158">
        <v>45731</v>
      </c>
      <c r="X31" s="90">
        <v>45747</v>
      </c>
      <c r="Y31" s="100"/>
    </row>
    <row r="32" spans="1:97" s="366" customFormat="1" ht="42" x14ac:dyDescent="0.25">
      <c r="A32" s="74" t="s">
        <v>288</v>
      </c>
      <c r="B32" s="241"/>
      <c r="C32" s="170" t="s">
        <v>319</v>
      </c>
      <c r="D32" s="170" t="s">
        <v>325</v>
      </c>
      <c r="E32" s="328" t="s">
        <v>355</v>
      </c>
      <c r="F32" s="364" t="s">
        <v>340</v>
      </c>
      <c r="G32" s="365"/>
      <c r="H32" s="165">
        <v>142608</v>
      </c>
      <c r="I32" s="346">
        <v>0</v>
      </c>
      <c r="J32" s="98">
        <f t="shared" si="10"/>
        <v>142608</v>
      </c>
      <c r="K32" s="97">
        <v>0</v>
      </c>
      <c r="L32" s="177" t="s">
        <v>20</v>
      </c>
      <c r="M32" s="119" t="s">
        <v>249</v>
      </c>
      <c r="N32" s="93" t="s">
        <v>265</v>
      </c>
      <c r="O32" s="116">
        <f t="shared" ref="O32:O39" si="11">K32/J32</f>
        <v>0</v>
      </c>
      <c r="P32" s="173" t="str">
        <f t="shared" si="3"/>
        <v>COMPLETATO</v>
      </c>
      <c r="Q32" s="173" t="s">
        <v>23</v>
      </c>
      <c r="R32" s="99" t="s">
        <v>242</v>
      </c>
      <c r="S32" s="108">
        <v>1</v>
      </c>
      <c r="T32" s="90">
        <v>45355</v>
      </c>
      <c r="U32" s="171">
        <v>45574</v>
      </c>
      <c r="V32" s="101"/>
      <c r="W32" s="158">
        <v>45641</v>
      </c>
      <c r="X32" s="132"/>
      <c r="Y32" s="160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</row>
    <row r="33" spans="1:97" s="343" customFormat="1" ht="42" x14ac:dyDescent="0.25">
      <c r="A33" s="74" t="s">
        <v>298</v>
      </c>
      <c r="B33" s="241"/>
      <c r="C33" s="170" t="s">
        <v>310</v>
      </c>
      <c r="D33" s="170" t="s">
        <v>325</v>
      </c>
      <c r="E33" s="363" t="s">
        <v>356</v>
      </c>
      <c r="F33" s="367" t="s">
        <v>402</v>
      </c>
      <c r="G33" s="368"/>
      <c r="H33" s="165"/>
      <c r="I33" s="165">
        <v>22500</v>
      </c>
      <c r="J33" s="98">
        <f t="shared" si="10"/>
        <v>22500</v>
      </c>
      <c r="K33" s="97">
        <v>0</v>
      </c>
      <c r="L33" s="177" t="s">
        <v>20</v>
      </c>
      <c r="M33" s="119" t="s">
        <v>245</v>
      </c>
      <c r="N33" s="93" t="s">
        <v>265</v>
      </c>
      <c r="O33" s="116">
        <f t="shared" si="11"/>
        <v>0</v>
      </c>
      <c r="P33" s="173" t="str">
        <f t="shared" si="3"/>
        <v>IN CORSO</v>
      </c>
      <c r="Q33" s="173" t="s">
        <v>22</v>
      </c>
      <c r="R33" s="99" t="s">
        <v>242</v>
      </c>
      <c r="S33" s="108">
        <v>0.9</v>
      </c>
      <c r="T33" s="90">
        <v>45355</v>
      </c>
      <c r="U33" s="101"/>
      <c r="V33" s="101"/>
      <c r="W33" s="158">
        <v>45641</v>
      </c>
      <c r="X33" s="132"/>
      <c r="Y33" s="100" t="s">
        <v>414</v>
      </c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</row>
    <row r="34" spans="1:97" s="85" customFormat="1" ht="63" x14ac:dyDescent="0.25">
      <c r="A34" s="74" t="s">
        <v>299</v>
      </c>
      <c r="B34" s="241"/>
      <c r="C34" s="170" t="s">
        <v>284</v>
      </c>
      <c r="D34" s="170" t="s">
        <v>325</v>
      </c>
      <c r="E34" s="363" t="s">
        <v>356</v>
      </c>
      <c r="F34" s="367" t="s">
        <v>402</v>
      </c>
      <c r="G34" s="239"/>
      <c r="H34" s="165"/>
      <c r="I34" s="98">
        <v>60000</v>
      </c>
      <c r="J34" s="98">
        <f t="shared" si="10"/>
        <v>60000</v>
      </c>
      <c r="K34" s="97">
        <f>H34</f>
        <v>0</v>
      </c>
      <c r="L34" s="177" t="s">
        <v>230</v>
      </c>
      <c r="M34" s="99" t="s">
        <v>245</v>
      </c>
      <c r="N34" s="93" t="s">
        <v>271</v>
      </c>
      <c r="O34" s="116">
        <f t="shared" si="11"/>
        <v>0</v>
      </c>
      <c r="P34" s="173" t="str">
        <f t="shared" si="3"/>
        <v>IN CORSO</v>
      </c>
      <c r="Q34" s="173" t="s">
        <v>22</v>
      </c>
      <c r="R34" s="99" t="s">
        <v>242</v>
      </c>
      <c r="S34" s="108">
        <v>0.25</v>
      </c>
      <c r="T34" s="90">
        <v>45355</v>
      </c>
      <c r="U34" s="132"/>
      <c r="V34" s="132"/>
      <c r="W34" s="171">
        <v>45688</v>
      </c>
      <c r="X34" s="132"/>
      <c r="Y34" s="100" t="s">
        <v>414</v>
      </c>
    </row>
    <row r="35" spans="1:97" s="75" customFormat="1" ht="42" x14ac:dyDescent="0.25">
      <c r="A35" s="74" t="s">
        <v>300</v>
      </c>
      <c r="B35" s="74"/>
      <c r="C35" s="103" t="s">
        <v>323</v>
      </c>
      <c r="D35" s="170" t="s">
        <v>325</v>
      </c>
      <c r="E35" s="363"/>
      <c r="F35" s="367" t="s">
        <v>347</v>
      </c>
      <c r="G35" s="240"/>
      <c r="H35" s="165">
        <v>0</v>
      </c>
      <c r="I35" s="167">
        <v>15000</v>
      </c>
      <c r="J35" s="98">
        <f t="shared" si="10"/>
        <v>15000</v>
      </c>
      <c r="K35" s="97">
        <v>0</v>
      </c>
      <c r="L35" s="177" t="s">
        <v>260</v>
      </c>
      <c r="M35" s="99" t="s">
        <v>245</v>
      </c>
      <c r="N35" s="93" t="s">
        <v>271</v>
      </c>
      <c r="O35" s="116">
        <f t="shared" si="11"/>
        <v>0</v>
      </c>
      <c r="P35" s="276" t="s">
        <v>22</v>
      </c>
      <c r="Q35" s="404" t="s">
        <v>18</v>
      </c>
      <c r="R35" s="99" t="s">
        <v>242</v>
      </c>
      <c r="S35" s="242">
        <v>0</v>
      </c>
      <c r="T35" s="90">
        <v>45474</v>
      </c>
      <c r="U35" s="90"/>
      <c r="V35" s="90"/>
      <c r="W35" s="171">
        <v>45747</v>
      </c>
      <c r="X35" s="132"/>
      <c r="Y35" s="102"/>
    </row>
    <row r="36" spans="1:97" s="75" customFormat="1" ht="42" x14ac:dyDescent="0.25">
      <c r="A36" s="74" t="s">
        <v>301</v>
      </c>
      <c r="B36" s="74"/>
      <c r="C36" s="103" t="s">
        <v>322</v>
      </c>
      <c r="D36" s="170" t="s">
        <v>325</v>
      </c>
      <c r="E36" s="363"/>
      <c r="F36" s="367" t="s">
        <v>347</v>
      </c>
      <c r="G36" s="240"/>
      <c r="H36" s="165">
        <v>0</v>
      </c>
      <c r="I36" s="167">
        <v>15000</v>
      </c>
      <c r="J36" s="98">
        <f t="shared" si="10"/>
        <v>15000</v>
      </c>
      <c r="K36" s="97">
        <v>0</v>
      </c>
      <c r="L36" s="177" t="s">
        <v>260</v>
      </c>
      <c r="M36" s="99" t="s">
        <v>246</v>
      </c>
      <c r="N36" s="93" t="s">
        <v>271</v>
      </c>
      <c r="O36" s="116">
        <f t="shared" si="11"/>
        <v>0</v>
      </c>
      <c r="P36" s="173" t="str">
        <f t="shared" si="3"/>
        <v>DA AVVIARE</v>
      </c>
      <c r="Q36" s="173" t="s">
        <v>18</v>
      </c>
      <c r="R36" s="99" t="s">
        <v>242</v>
      </c>
      <c r="S36" s="242">
        <v>0</v>
      </c>
      <c r="T36" s="90">
        <v>45566</v>
      </c>
      <c r="U36" s="90"/>
      <c r="V36" s="90"/>
      <c r="W36" s="171">
        <v>45838</v>
      </c>
      <c r="X36" s="132"/>
      <c r="Y36" s="102"/>
    </row>
    <row r="37" spans="1:97" s="343" customFormat="1" ht="42" x14ac:dyDescent="0.25">
      <c r="A37" s="74" t="s">
        <v>302</v>
      </c>
      <c r="B37" s="241"/>
      <c r="C37" s="170" t="s">
        <v>292</v>
      </c>
      <c r="D37" s="170" t="s">
        <v>316</v>
      </c>
      <c r="E37" s="363" t="s">
        <v>359</v>
      </c>
      <c r="F37" s="367" t="s">
        <v>341</v>
      </c>
      <c r="G37" s="368"/>
      <c r="H37" s="165">
        <v>10012.73</v>
      </c>
      <c r="I37" s="346"/>
      <c r="J37" s="98">
        <f t="shared" si="10"/>
        <v>10012.73</v>
      </c>
      <c r="K37" s="97">
        <v>0</v>
      </c>
      <c r="L37" s="177" t="s">
        <v>230</v>
      </c>
      <c r="M37" s="119" t="s">
        <v>249</v>
      </c>
      <c r="N37" s="93" t="s">
        <v>265</v>
      </c>
      <c r="O37" s="116">
        <f t="shared" si="11"/>
        <v>0</v>
      </c>
      <c r="P37" s="173" t="str">
        <f t="shared" si="3"/>
        <v>COMPLETATO</v>
      </c>
      <c r="Q37" s="173" t="s">
        <v>23</v>
      </c>
      <c r="R37" s="99" t="s">
        <v>242</v>
      </c>
      <c r="S37" s="108">
        <v>1</v>
      </c>
      <c r="T37" s="90">
        <v>45499</v>
      </c>
      <c r="U37" s="171">
        <v>45574</v>
      </c>
      <c r="V37" s="145"/>
      <c r="W37" s="171">
        <v>45657</v>
      </c>
      <c r="X37" s="132"/>
      <c r="Y37" s="342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</row>
    <row r="38" spans="1:97" s="85" customFormat="1" ht="63" x14ac:dyDescent="0.25">
      <c r="A38" s="74" t="s">
        <v>303</v>
      </c>
      <c r="B38" s="241"/>
      <c r="C38" s="170" t="s">
        <v>324</v>
      </c>
      <c r="D38" s="340" t="s">
        <v>320</v>
      </c>
      <c r="E38" s="363"/>
      <c r="F38" s="369" t="s">
        <v>348</v>
      </c>
      <c r="G38" s="98"/>
      <c r="H38" s="252"/>
      <c r="I38" s="166">
        <v>80000</v>
      </c>
      <c r="J38" s="98">
        <f t="shared" si="10"/>
        <v>80000</v>
      </c>
      <c r="K38" s="97">
        <v>0</v>
      </c>
      <c r="L38" s="177" t="s">
        <v>230</v>
      </c>
      <c r="M38" s="99" t="s">
        <v>245</v>
      </c>
      <c r="N38" s="162" t="s">
        <v>271</v>
      </c>
      <c r="O38" s="116">
        <f t="shared" si="11"/>
        <v>0</v>
      </c>
      <c r="P38" s="276" t="s">
        <v>431</v>
      </c>
      <c r="Q38" s="173" t="s">
        <v>22</v>
      </c>
      <c r="R38" s="99" t="s">
        <v>242</v>
      </c>
      <c r="S38" s="108">
        <v>0.15</v>
      </c>
      <c r="T38" s="90"/>
      <c r="U38" s="132"/>
      <c r="V38" s="132"/>
      <c r="W38" s="171">
        <v>45703</v>
      </c>
      <c r="X38" s="132"/>
      <c r="Y38" s="100"/>
    </row>
    <row r="39" spans="1:97" s="85" customFormat="1" ht="42" x14ac:dyDescent="0.25">
      <c r="A39" s="74" t="s">
        <v>312</v>
      </c>
      <c r="B39" s="241"/>
      <c r="C39" s="170" t="s">
        <v>311</v>
      </c>
      <c r="D39" s="170" t="s">
        <v>325</v>
      </c>
      <c r="E39" s="328" t="s">
        <v>357</v>
      </c>
      <c r="F39" s="328" t="s">
        <v>340</v>
      </c>
      <c r="G39" s="98"/>
      <c r="H39" s="165">
        <v>20000</v>
      </c>
      <c r="I39" s="166">
        <v>0</v>
      </c>
      <c r="J39" s="98">
        <f t="shared" si="10"/>
        <v>20000</v>
      </c>
      <c r="K39" s="133">
        <f>I39</f>
        <v>0</v>
      </c>
      <c r="L39" s="177" t="s">
        <v>230</v>
      </c>
      <c r="M39" s="99" t="s">
        <v>249</v>
      </c>
      <c r="N39" s="162" t="s">
        <v>265</v>
      </c>
      <c r="O39" s="116">
        <f t="shared" si="11"/>
        <v>0</v>
      </c>
      <c r="P39" s="173" t="str">
        <f t="shared" si="3"/>
        <v>COMPLETATO</v>
      </c>
      <c r="Q39" s="173" t="s">
        <v>23</v>
      </c>
      <c r="R39" s="99" t="s">
        <v>242</v>
      </c>
      <c r="S39" s="108">
        <v>1</v>
      </c>
      <c r="T39" s="90">
        <v>45355</v>
      </c>
      <c r="U39" s="171">
        <v>45574</v>
      </c>
      <c r="V39" s="132"/>
      <c r="W39" s="171">
        <v>45641</v>
      </c>
      <c r="X39" s="132"/>
      <c r="Y39" s="100"/>
    </row>
    <row r="40" spans="1:97" s="327" customFormat="1" ht="42" x14ac:dyDescent="0.25">
      <c r="A40" s="322"/>
      <c r="B40" s="323"/>
      <c r="C40" s="324" t="s">
        <v>395</v>
      </c>
      <c r="D40" s="324"/>
      <c r="E40" s="324"/>
      <c r="F40" s="324"/>
      <c r="G40" s="325">
        <f>SUM(G41,G50)</f>
        <v>0</v>
      </c>
      <c r="H40" s="325">
        <f t="shared" ref="H40:J40" si="12">SUM(H41,H50)</f>
        <v>23904.75</v>
      </c>
      <c r="I40" s="325">
        <f t="shared" si="12"/>
        <v>58176</v>
      </c>
      <c r="J40" s="325">
        <f t="shared" si="12"/>
        <v>82080.75</v>
      </c>
      <c r="K40" s="325">
        <f>SUM(K41,K50)</f>
        <v>20904.75</v>
      </c>
      <c r="L40" s="153"/>
      <c r="M40" s="143"/>
      <c r="N40" s="326"/>
      <c r="O40" s="113"/>
      <c r="P40" s="143"/>
      <c r="Q40" s="143"/>
      <c r="R40" s="83"/>
      <c r="S40" s="143"/>
      <c r="T40" s="143"/>
      <c r="U40" s="143"/>
      <c r="V40" s="143"/>
      <c r="W40" s="143"/>
      <c r="X40" s="83"/>
      <c r="Y40" s="83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</row>
    <row r="41" spans="1:97" s="366" customFormat="1" ht="21" x14ac:dyDescent="0.25">
      <c r="A41" s="300">
        <v>5</v>
      </c>
      <c r="B41" s="300"/>
      <c r="C41" s="370" t="s">
        <v>29</v>
      </c>
      <c r="D41" s="370"/>
      <c r="E41" s="371"/>
      <c r="F41" s="370"/>
      <c r="G41" s="372">
        <f>SUM(G42,G47)</f>
        <v>0</v>
      </c>
      <c r="H41" s="372">
        <f>SUM(H42,H47)</f>
        <v>16740.75</v>
      </c>
      <c r="I41" s="372">
        <f>SUM(I42,I47)</f>
        <v>48176</v>
      </c>
      <c r="J41" s="372">
        <f>SUM(G41:I41)</f>
        <v>64916.75</v>
      </c>
      <c r="K41" s="372">
        <f>SUM(K42,K47)</f>
        <v>16740.75</v>
      </c>
      <c r="L41" s="156"/>
      <c r="M41" s="136"/>
      <c r="N41" s="373"/>
      <c r="O41" s="117"/>
      <c r="P41" s="374"/>
      <c r="Q41" s="374"/>
      <c r="R41" s="245"/>
      <c r="S41" s="245"/>
      <c r="T41" s="146"/>
      <c r="U41" s="146"/>
      <c r="V41" s="146"/>
      <c r="W41" s="146"/>
      <c r="X41" s="91"/>
      <c r="Y41" s="375"/>
      <c r="Z41" s="376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</row>
    <row r="42" spans="1:97" s="75" customFormat="1" ht="21" x14ac:dyDescent="0.25">
      <c r="A42" s="173" t="s">
        <v>365</v>
      </c>
      <c r="B42" s="173"/>
      <c r="C42" s="121" t="s">
        <v>272</v>
      </c>
      <c r="D42" s="121"/>
      <c r="E42" s="128"/>
      <c r="F42" s="121"/>
      <c r="G42" s="122">
        <f>SUM(G43:G46)</f>
        <v>0</v>
      </c>
      <c r="H42" s="105">
        <f>SUM(H43:H46)</f>
        <v>16740.75</v>
      </c>
      <c r="I42" s="122">
        <f>SUM(I43:I46)</f>
        <v>0</v>
      </c>
      <c r="J42" s="105">
        <f>SUM(G42:I42)</f>
        <v>16740.75</v>
      </c>
      <c r="K42" s="106">
        <f>H42</f>
        <v>16740.75</v>
      </c>
      <c r="L42" s="155"/>
      <c r="M42" s="138"/>
      <c r="N42" s="126"/>
      <c r="O42" s="127"/>
      <c r="P42" s="129"/>
      <c r="Q42" s="129"/>
      <c r="R42" s="125"/>
      <c r="S42" s="248"/>
      <c r="T42" s="148"/>
      <c r="U42" s="148"/>
      <c r="V42" s="148"/>
      <c r="W42" s="130"/>
      <c r="X42" s="130"/>
      <c r="Y42" s="131"/>
    </row>
    <row r="43" spans="1:97" s="75" customFormat="1" ht="21" x14ac:dyDescent="0.25">
      <c r="A43" s="238" t="s">
        <v>366</v>
      </c>
      <c r="B43" s="238"/>
      <c r="C43" s="103" t="s">
        <v>273</v>
      </c>
      <c r="D43" s="103"/>
      <c r="E43" s="107"/>
      <c r="F43" s="103"/>
      <c r="G43" s="104"/>
      <c r="H43" s="261">
        <f>28*207.25</f>
        <v>5803</v>
      </c>
      <c r="I43" s="104"/>
      <c r="J43" s="98">
        <f t="shared" ref="J43:J49" si="13">SUM(G43:I43)</f>
        <v>5803</v>
      </c>
      <c r="K43" s="106">
        <f>H43</f>
        <v>5803</v>
      </c>
      <c r="L43" s="177" t="s">
        <v>25</v>
      </c>
      <c r="M43" s="99" t="s">
        <v>244</v>
      </c>
      <c r="N43" s="93" t="s">
        <v>265</v>
      </c>
      <c r="O43" s="116">
        <f t="shared" ref="O43:O45" si="14">K43/J43</f>
        <v>1</v>
      </c>
      <c r="P43" s="100" t="str">
        <f t="shared" si="3"/>
        <v>COMPLETATO</v>
      </c>
      <c r="Q43" s="100" t="s">
        <v>23</v>
      </c>
      <c r="R43" s="99" t="s">
        <v>242</v>
      </c>
      <c r="S43" s="242">
        <v>1</v>
      </c>
      <c r="T43" s="90">
        <v>45292</v>
      </c>
      <c r="U43" s="90"/>
      <c r="V43" s="90"/>
      <c r="W43" s="90">
        <f>T44-1</f>
        <v>45382</v>
      </c>
      <c r="X43" s="90"/>
      <c r="Y43" s="102"/>
    </row>
    <row r="44" spans="1:97" s="75" customFormat="1" ht="21" x14ac:dyDescent="0.25">
      <c r="A44" s="238" t="s">
        <v>367</v>
      </c>
      <c r="B44" s="238"/>
      <c r="C44" s="103" t="s">
        <v>274</v>
      </c>
      <c r="D44" s="103"/>
      <c r="E44" s="107"/>
      <c r="F44" s="103"/>
      <c r="G44" s="104"/>
      <c r="H44" s="261">
        <f>6*207.25</f>
        <v>1243.5</v>
      </c>
      <c r="I44" s="104"/>
      <c r="J44" s="98">
        <f t="shared" si="13"/>
        <v>1243.5</v>
      </c>
      <c r="K44" s="106">
        <f>H44</f>
        <v>1243.5</v>
      </c>
      <c r="L44" s="177" t="s">
        <v>25</v>
      </c>
      <c r="M44" s="99" t="s">
        <v>247</v>
      </c>
      <c r="N44" s="93" t="s">
        <v>265</v>
      </c>
      <c r="O44" s="116">
        <f t="shared" si="14"/>
        <v>1</v>
      </c>
      <c r="P44" s="100" t="str">
        <f t="shared" si="3"/>
        <v>COMPLETATO</v>
      </c>
      <c r="Q44" s="100" t="s">
        <v>23</v>
      </c>
      <c r="R44" s="99" t="s">
        <v>242</v>
      </c>
      <c r="S44" s="242">
        <f>O43</f>
        <v>1</v>
      </c>
      <c r="T44" s="90">
        <f>T43+91</f>
        <v>45383</v>
      </c>
      <c r="U44" s="90"/>
      <c r="V44" s="90"/>
      <c r="W44" s="90">
        <f t="shared" ref="W44:W45" si="15">T45-1</f>
        <v>45473</v>
      </c>
      <c r="X44" s="90"/>
      <c r="Y44" s="102"/>
    </row>
    <row r="45" spans="1:97" s="75" customFormat="1" ht="21" x14ac:dyDescent="0.25">
      <c r="A45" s="238" t="s">
        <v>368</v>
      </c>
      <c r="B45" s="238"/>
      <c r="C45" s="103" t="s">
        <v>308</v>
      </c>
      <c r="D45" s="103"/>
      <c r="E45" s="107"/>
      <c r="F45" s="160"/>
      <c r="G45" s="161"/>
      <c r="H45" s="261">
        <f>13*207.25</f>
        <v>2694.25</v>
      </c>
      <c r="I45" s="104"/>
      <c r="J45" s="98">
        <f>SUM(G45:I45)</f>
        <v>2694.25</v>
      </c>
      <c r="K45" s="106">
        <f>H45</f>
        <v>2694.25</v>
      </c>
      <c r="L45" s="177" t="s">
        <v>25</v>
      </c>
      <c r="M45" s="99" t="s">
        <v>248</v>
      </c>
      <c r="N45" s="93" t="s">
        <v>265</v>
      </c>
      <c r="O45" s="116">
        <f t="shared" si="14"/>
        <v>1</v>
      </c>
      <c r="P45" s="100" t="str">
        <f t="shared" si="3"/>
        <v>COMPLETATO</v>
      </c>
      <c r="Q45" s="100" t="s">
        <v>23</v>
      </c>
      <c r="R45" s="99" t="s">
        <v>242</v>
      </c>
      <c r="S45" s="242">
        <f>O44</f>
        <v>1</v>
      </c>
      <c r="T45" s="90">
        <f t="shared" ref="T45" si="16">T44+91</f>
        <v>45474</v>
      </c>
      <c r="U45" s="90"/>
      <c r="V45" s="90"/>
      <c r="W45" s="90">
        <f t="shared" si="15"/>
        <v>45565</v>
      </c>
      <c r="X45" s="90"/>
      <c r="Y45" s="102"/>
    </row>
    <row r="46" spans="1:97" s="75" customFormat="1" ht="21" x14ac:dyDescent="0.25">
      <c r="A46" s="238" t="s">
        <v>369</v>
      </c>
      <c r="B46" s="238"/>
      <c r="C46" s="103" t="s">
        <v>309</v>
      </c>
      <c r="D46" s="103"/>
      <c r="E46" s="107"/>
      <c r="F46" s="160"/>
      <c r="G46" s="161"/>
      <c r="H46" s="425">
        <v>7000</v>
      </c>
      <c r="I46" s="104"/>
      <c r="J46" s="98">
        <f>SUM(G46:I46)</f>
        <v>7000</v>
      </c>
      <c r="K46" s="106">
        <v>0</v>
      </c>
      <c r="L46" s="177" t="s">
        <v>25</v>
      </c>
      <c r="M46" s="99" t="s">
        <v>249</v>
      </c>
      <c r="N46" s="93" t="s">
        <v>271</v>
      </c>
      <c r="O46" s="116">
        <v>1</v>
      </c>
      <c r="P46" s="276" t="s">
        <v>429</v>
      </c>
      <c r="Q46" s="404" t="s">
        <v>23</v>
      </c>
      <c r="R46" s="99" t="s">
        <v>242</v>
      </c>
      <c r="S46" s="242">
        <v>1</v>
      </c>
      <c r="T46" s="90">
        <f>T45+92</f>
        <v>45566</v>
      </c>
      <c r="U46" s="90"/>
      <c r="V46" s="90"/>
      <c r="W46" s="90">
        <f>T46+90</f>
        <v>45656</v>
      </c>
      <c r="X46" s="90"/>
      <c r="Y46" s="102"/>
    </row>
    <row r="47" spans="1:97" s="75" customFormat="1" ht="21" x14ac:dyDescent="0.25">
      <c r="A47" s="173" t="s">
        <v>370</v>
      </c>
      <c r="B47" s="173"/>
      <c r="C47" s="121" t="s">
        <v>407</v>
      </c>
      <c r="D47" s="121"/>
      <c r="E47" s="128"/>
      <c r="F47" s="121"/>
      <c r="G47" s="123">
        <f t="shared" ref="G47:H47" si="17">SUM(G48:G49)</f>
        <v>0</v>
      </c>
      <c r="H47" s="123">
        <f t="shared" si="17"/>
        <v>0</v>
      </c>
      <c r="I47" s="123">
        <f>SUM(I48:I49)</f>
        <v>48176</v>
      </c>
      <c r="J47" s="105">
        <f>SUM(G47:I47)</f>
        <v>48176</v>
      </c>
      <c r="K47" s="124"/>
      <c r="L47" s="124"/>
      <c r="M47" s="138"/>
      <c r="N47" s="126"/>
      <c r="O47" s="127"/>
      <c r="P47" s="129"/>
      <c r="Q47" s="129"/>
      <c r="R47" s="138"/>
      <c r="S47" s="248"/>
      <c r="T47" s="148"/>
      <c r="U47" s="90"/>
      <c r="V47" s="90"/>
      <c r="W47" s="90"/>
      <c r="X47" s="90"/>
      <c r="Y47" s="131"/>
    </row>
    <row r="48" spans="1:97" s="75" customFormat="1" ht="21" x14ac:dyDescent="0.25">
      <c r="A48" s="238" t="s">
        <v>371</v>
      </c>
      <c r="B48" s="238"/>
      <c r="C48" s="103" t="s">
        <v>275</v>
      </c>
      <c r="D48" s="103"/>
      <c r="E48" s="107"/>
      <c r="F48" s="103"/>
      <c r="G48" s="104"/>
      <c r="H48" s="165"/>
      <c r="I48" s="104">
        <v>24088</v>
      </c>
      <c r="J48" s="98">
        <f t="shared" si="13"/>
        <v>24088</v>
      </c>
      <c r="K48" s="106">
        <v>0</v>
      </c>
      <c r="L48" s="177" t="s">
        <v>25</v>
      </c>
      <c r="M48" s="99" t="s">
        <v>245</v>
      </c>
      <c r="N48" s="93" t="s">
        <v>271</v>
      </c>
      <c r="O48" s="116">
        <f t="shared" ref="O48:O49" si="18">K48/J48</f>
        <v>0</v>
      </c>
      <c r="P48" s="100" t="str">
        <f t="shared" si="3"/>
        <v>IN CORSO</v>
      </c>
      <c r="Q48" s="100" t="s">
        <v>22</v>
      </c>
      <c r="R48" s="99" t="s">
        <v>242</v>
      </c>
      <c r="S48" s="242">
        <v>0.3</v>
      </c>
      <c r="T48" s="90">
        <v>45658</v>
      </c>
      <c r="U48" s="90"/>
      <c r="V48" s="90"/>
      <c r="W48" s="90">
        <v>45747</v>
      </c>
      <c r="X48" s="90"/>
      <c r="Y48" s="102"/>
    </row>
    <row r="49" spans="1:96" s="75" customFormat="1" ht="21" x14ac:dyDescent="0.25">
      <c r="A49" s="238" t="s">
        <v>372</v>
      </c>
      <c r="B49" s="238"/>
      <c r="C49" s="103" t="s">
        <v>276</v>
      </c>
      <c r="D49" s="103"/>
      <c r="E49" s="107"/>
      <c r="F49" s="103"/>
      <c r="G49" s="104"/>
      <c r="H49" s="165"/>
      <c r="I49" s="104">
        <v>24088</v>
      </c>
      <c r="J49" s="98">
        <f t="shared" si="13"/>
        <v>24088</v>
      </c>
      <c r="K49" s="106">
        <v>0</v>
      </c>
      <c r="L49" s="177" t="s">
        <v>25</v>
      </c>
      <c r="M49" s="99" t="s">
        <v>246</v>
      </c>
      <c r="N49" s="93" t="s">
        <v>271</v>
      </c>
      <c r="O49" s="116">
        <f t="shared" si="18"/>
        <v>0</v>
      </c>
      <c r="P49" s="100" t="str">
        <f t="shared" si="3"/>
        <v>PIANIFICATO</v>
      </c>
      <c r="Q49" s="100" t="s">
        <v>35</v>
      </c>
      <c r="R49" s="99" t="s">
        <v>242</v>
      </c>
      <c r="S49" s="242">
        <v>0</v>
      </c>
      <c r="T49" s="90">
        <v>45748</v>
      </c>
      <c r="U49" s="90"/>
      <c r="V49" s="90"/>
      <c r="W49" s="90">
        <v>45838</v>
      </c>
      <c r="X49" s="90"/>
      <c r="Y49" s="102"/>
    </row>
    <row r="50" spans="1:96" s="383" customFormat="1" ht="21" x14ac:dyDescent="0.25">
      <c r="A50" s="300">
        <v>6</v>
      </c>
      <c r="B50" s="300"/>
      <c r="C50" s="377" t="s">
        <v>27</v>
      </c>
      <c r="D50" s="377"/>
      <c r="E50" s="378"/>
      <c r="F50" s="377"/>
      <c r="G50" s="379">
        <f>SUM(G51:G56)</f>
        <v>0</v>
      </c>
      <c r="H50" s="379">
        <f>SUM(H51:H56)</f>
        <v>7164</v>
      </c>
      <c r="I50" s="379">
        <f>SUM(I51:I56)</f>
        <v>10000</v>
      </c>
      <c r="J50" s="379">
        <f t="shared" ref="J50:J56" si="19">SUM(G50:I50)</f>
        <v>17164</v>
      </c>
      <c r="K50" s="379">
        <f>SUM(K51:K56)</f>
        <v>4164</v>
      </c>
      <c r="L50" s="157"/>
      <c r="M50" s="137"/>
      <c r="N50" s="380"/>
      <c r="O50" s="118"/>
      <c r="P50" s="118"/>
      <c r="Q50" s="381"/>
      <c r="R50" s="246"/>
      <c r="S50" s="246"/>
      <c r="T50" s="147"/>
      <c r="U50" s="147"/>
      <c r="V50" s="147"/>
      <c r="W50" s="92"/>
      <c r="X50" s="92"/>
      <c r="Y50" s="382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5"/>
      <c r="CR50" s="75"/>
    </row>
    <row r="51" spans="1:96" s="75" customFormat="1" ht="21" x14ac:dyDescent="0.25">
      <c r="A51" s="99" t="s">
        <v>304</v>
      </c>
      <c r="B51" s="99"/>
      <c r="C51" s="384" t="s">
        <v>349</v>
      </c>
      <c r="D51" s="385"/>
      <c r="E51" s="386"/>
      <c r="F51" s="385"/>
      <c r="G51" s="346">
        <v>0</v>
      </c>
      <c r="H51" s="261">
        <f>153*4</f>
        <v>612</v>
      </c>
      <c r="I51" s="346">
        <v>0</v>
      </c>
      <c r="J51" s="98">
        <f t="shared" si="19"/>
        <v>612</v>
      </c>
      <c r="K51" s="106">
        <f>H51</f>
        <v>612</v>
      </c>
      <c r="L51" s="177" t="s">
        <v>28</v>
      </c>
      <c r="M51" s="99" t="s">
        <v>244</v>
      </c>
      <c r="N51" s="93" t="s">
        <v>265</v>
      </c>
      <c r="O51" s="116">
        <f t="shared" ref="O51:O56" si="20">K51/J51</f>
        <v>1</v>
      </c>
      <c r="P51" s="276" t="str">
        <f t="shared" si="3"/>
        <v>COMPLETATO</v>
      </c>
      <c r="Q51" s="100" t="s">
        <v>23</v>
      </c>
      <c r="R51" s="316" t="s">
        <v>24</v>
      </c>
      <c r="S51" s="242">
        <v>1</v>
      </c>
      <c r="T51" s="90">
        <v>45292</v>
      </c>
      <c r="U51" s="90"/>
      <c r="V51" s="90"/>
      <c r="W51" s="90">
        <f>T52-1</f>
        <v>45382</v>
      </c>
      <c r="X51" s="90"/>
      <c r="Y51" s="102"/>
    </row>
    <row r="52" spans="1:96" s="75" customFormat="1" ht="21" x14ac:dyDescent="0.25">
      <c r="A52" s="99" t="s">
        <v>305</v>
      </c>
      <c r="B52" s="99"/>
      <c r="C52" s="384" t="s">
        <v>350</v>
      </c>
      <c r="D52" s="385"/>
      <c r="E52" s="386"/>
      <c r="F52" s="385"/>
      <c r="G52" s="346">
        <v>0</v>
      </c>
      <c r="H52" s="261">
        <f>547*4</f>
        <v>2188</v>
      </c>
      <c r="I52" s="346">
        <v>0</v>
      </c>
      <c r="J52" s="98">
        <f t="shared" si="19"/>
        <v>2188</v>
      </c>
      <c r="K52" s="106">
        <f>H52</f>
        <v>2188</v>
      </c>
      <c r="L52" s="177" t="s">
        <v>28</v>
      </c>
      <c r="M52" s="99" t="s">
        <v>247</v>
      </c>
      <c r="N52" s="93" t="s">
        <v>265</v>
      </c>
      <c r="O52" s="116">
        <f t="shared" si="20"/>
        <v>1</v>
      </c>
      <c r="P52" s="276" t="str">
        <f t="shared" si="3"/>
        <v>COMPLETATO</v>
      </c>
      <c r="Q52" s="100" t="s">
        <v>23</v>
      </c>
      <c r="R52" s="316" t="s">
        <v>24</v>
      </c>
      <c r="S52" s="242">
        <v>1</v>
      </c>
      <c r="T52" s="90">
        <f>T51+91</f>
        <v>45383</v>
      </c>
      <c r="U52" s="90"/>
      <c r="V52" s="90"/>
      <c r="W52" s="90">
        <f t="shared" ref="W52:W55" si="21">T53-1</f>
        <v>45473</v>
      </c>
      <c r="X52" s="90"/>
      <c r="Y52" s="102"/>
    </row>
    <row r="53" spans="1:96" s="75" customFormat="1" ht="21" x14ac:dyDescent="0.25">
      <c r="A53" s="99" t="s">
        <v>373</v>
      </c>
      <c r="B53" s="99"/>
      <c r="C53" s="384" t="s">
        <v>351</v>
      </c>
      <c r="D53" s="385"/>
      <c r="E53" s="386"/>
      <c r="F53" s="385"/>
      <c r="G53" s="346">
        <v>0</v>
      </c>
      <c r="H53" s="261">
        <f>341*4</f>
        <v>1364</v>
      </c>
      <c r="I53" s="346">
        <v>0</v>
      </c>
      <c r="J53" s="98">
        <f t="shared" si="19"/>
        <v>1364</v>
      </c>
      <c r="K53" s="106">
        <f>H53</f>
        <v>1364</v>
      </c>
      <c r="L53" s="177" t="s">
        <v>28</v>
      </c>
      <c r="M53" s="99" t="s">
        <v>248</v>
      </c>
      <c r="N53" s="93" t="s">
        <v>265</v>
      </c>
      <c r="O53" s="116">
        <f t="shared" si="20"/>
        <v>1</v>
      </c>
      <c r="P53" s="276" t="str">
        <f t="shared" si="3"/>
        <v>COMPLETATO</v>
      </c>
      <c r="Q53" s="100" t="s">
        <v>23</v>
      </c>
      <c r="R53" s="316" t="s">
        <v>24</v>
      </c>
      <c r="S53" s="242">
        <v>1</v>
      </c>
      <c r="T53" s="90">
        <f t="shared" ref="T53" si="22">T52+91</f>
        <v>45474</v>
      </c>
      <c r="U53" s="90"/>
      <c r="V53" s="90"/>
      <c r="W53" s="90">
        <f t="shared" si="21"/>
        <v>45565</v>
      </c>
      <c r="X53" s="90"/>
      <c r="Y53" s="102"/>
    </row>
    <row r="54" spans="1:96" s="75" customFormat="1" ht="18.75" customHeight="1" x14ac:dyDescent="0.25">
      <c r="A54" s="99" t="s">
        <v>374</v>
      </c>
      <c r="B54" s="99"/>
      <c r="C54" s="384" t="s">
        <v>352</v>
      </c>
      <c r="D54" s="385"/>
      <c r="E54" s="386"/>
      <c r="F54" s="385"/>
      <c r="G54" s="346">
        <v>0</v>
      </c>
      <c r="H54" s="425">
        <v>3000</v>
      </c>
      <c r="I54" s="346">
        <v>0</v>
      </c>
      <c r="J54" s="98">
        <f t="shared" si="19"/>
        <v>3000</v>
      </c>
      <c r="K54" s="106">
        <v>0</v>
      </c>
      <c r="L54" s="177" t="s">
        <v>28</v>
      </c>
      <c r="M54" s="99" t="s">
        <v>249</v>
      </c>
      <c r="N54" s="93" t="s">
        <v>265</v>
      </c>
      <c r="O54" s="116">
        <v>1</v>
      </c>
      <c r="P54" s="276" t="s">
        <v>429</v>
      </c>
      <c r="Q54" s="100" t="s">
        <v>23</v>
      </c>
      <c r="R54" s="316" t="s">
        <v>24</v>
      </c>
      <c r="S54" s="242">
        <v>1</v>
      </c>
      <c r="T54" s="90">
        <f>T53+92</f>
        <v>45566</v>
      </c>
      <c r="U54" s="90"/>
      <c r="V54" s="90"/>
      <c r="W54" s="90">
        <f t="shared" si="21"/>
        <v>45657</v>
      </c>
      <c r="X54" s="90"/>
      <c r="Y54" s="102"/>
    </row>
    <row r="55" spans="1:96" s="75" customFormat="1" ht="21" x14ac:dyDescent="0.25">
      <c r="A55" s="99" t="s">
        <v>375</v>
      </c>
      <c r="B55" s="99"/>
      <c r="C55" s="384" t="s">
        <v>353</v>
      </c>
      <c r="D55" s="385"/>
      <c r="E55" s="386"/>
      <c r="F55" s="385"/>
      <c r="G55" s="346">
        <v>0</v>
      </c>
      <c r="H55" s="165">
        <v>0</v>
      </c>
      <c r="I55" s="165">
        <v>5000</v>
      </c>
      <c r="J55" s="98">
        <f t="shared" si="19"/>
        <v>5000</v>
      </c>
      <c r="K55" s="106">
        <v>0</v>
      </c>
      <c r="L55" s="177" t="s">
        <v>28</v>
      </c>
      <c r="M55" s="99" t="s">
        <v>245</v>
      </c>
      <c r="N55" s="93" t="s">
        <v>271</v>
      </c>
      <c r="O55" s="116">
        <f t="shared" si="20"/>
        <v>0</v>
      </c>
      <c r="P55" s="100" t="str">
        <f t="shared" si="3"/>
        <v>IN CORSO</v>
      </c>
      <c r="Q55" s="100" t="s">
        <v>22</v>
      </c>
      <c r="R55" s="316" t="s">
        <v>24</v>
      </c>
      <c r="S55" s="242">
        <v>0.3</v>
      </c>
      <c r="T55" s="90">
        <f>T54+92</f>
        <v>45658</v>
      </c>
      <c r="U55" s="90"/>
      <c r="V55" s="90"/>
      <c r="W55" s="90">
        <f t="shared" si="21"/>
        <v>45747</v>
      </c>
      <c r="X55" s="90"/>
      <c r="Y55" s="102"/>
    </row>
    <row r="56" spans="1:96" s="75" customFormat="1" ht="21" x14ac:dyDescent="0.25">
      <c r="A56" s="99" t="s">
        <v>376</v>
      </c>
      <c r="B56" s="99"/>
      <c r="C56" s="384" t="s">
        <v>354</v>
      </c>
      <c r="D56" s="385"/>
      <c r="E56" s="386"/>
      <c r="F56" s="385"/>
      <c r="G56" s="346">
        <v>0</v>
      </c>
      <c r="H56" s="165">
        <v>0</v>
      </c>
      <c r="I56" s="165">
        <v>5000</v>
      </c>
      <c r="J56" s="98">
        <f t="shared" si="19"/>
        <v>5000</v>
      </c>
      <c r="K56" s="106">
        <v>0</v>
      </c>
      <c r="L56" s="177" t="s">
        <v>28</v>
      </c>
      <c r="M56" s="99" t="s">
        <v>246</v>
      </c>
      <c r="N56" s="93" t="s">
        <v>271</v>
      </c>
      <c r="O56" s="116">
        <f t="shared" si="20"/>
        <v>0</v>
      </c>
      <c r="P56" s="100" t="str">
        <f t="shared" si="3"/>
        <v>PIANIFICATO</v>
      </c>
      <c r="Q56" s="100" t="s">
        <v>35</v>
      </c>
      <c r="R56" s="316" t="s">
        <v>24</v>
      </c>
      <c r="S56" s="242">
        <v>0</v>
      </c>
      <c r="T56" s="90">
        <f>T55+90</f>
        <v>45748</v>
      </c>
      <c r="U56" s="90"/>
      <c r="V56" s="90"/>
      <c r="W56" s="90">
        <f>T56+90</f>
        <v>45838</v>
      </c>
      <c r="X56" s="90"/>
      <c r="Y56" s="102"/>
    </row>
    <row r="57" spans="1:96" s="327" customFormat="1" ht="42" x14ac:dyDescent="0.25">
      <c r="A57" s="322"/>
      <c r="B57" s="323"/>
      <c r="C57" s="387" t="s">
        <v>403</v>
      </c>
      <c r="D57" s="387"/>
      <c r="E57" s="387"/>
      <c r="F57" s="387"/>
      <c r="G57" s="388">
        <f>SUM(G58,G70)</f>
        <v>0</v>
      </c>
      <c r="H57" s="388">
        <f>SUM(H58,H70)</f>
        <v>0</v>
      </c>
      <c r="I57" s="389">
        <f>SUM(I58:I60,I70)</f>
        <v>-36692.089999999851</v>
      </c>
      <c r="J57" s="388">
        <f>SUM(J58,J70)</f>
        <v>0</v>
      </c>
      <c r="K57" s="388">
        <f>SUM(K58,K70)</f>
        <v>0</v>
      </c>
      <c r="L57" s="254"/>
      <c r="M57" s="256"/>
      <c r="N57" s="390"/>
      <c r="O57" s="255"/>
      <c r="P57" s="256"/>
      <c r="Q57" s="256"/>
      <c r="R57" s="391"/>
      <c r="S57" s="256"/>
      <c r="T57" s="256"/>
      <c r="U57" s="256"/>
      <c r="V57" s="256"/>
      <c r="W57" s="256"/>
      <c r="X57" s="83"/>
      <c r="Y57" s="83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</row>
    <row r="58" spans="1:96" x14ac:dyDescent="0.25">
      <c r="C58" s="342" t="s">
        <v>404</v>
      </c>
      <c r="D58" s="392"/>
      <c r="E58" s="393"/>
      <c r="F58" s="392"/>
      <c r="G58" s="394"/>
      <c r="H58" s="394"/>
      <c r="I58" s="395">
        <f>'Riepilogo Contratto'!J4-Gantt!J10</f>
        <v>-130702.83999999985</v>
      </c>
      <c r="J58" s="396"/>
      <c r="K58" s="397"/>
      <c r="L58" s="257"/>
      <c r="M58" s="258"/>
      <c r="N58" s="398"/>
      <c r="O58" s="258"/>
      <c r="P58" s="175"/>
      <c r="T58" s="399"/>
      <c r="U58" s="399"/>
      <c r="V58" s="399"/>
      <c r="W58" s="399"/>
    </row>
    <row r="59" spans="1:96" x14ac:dyDescent="0.25">
      <c r="C59" s="342" t="s">
        <v>405</v>
      </c>
      <c r="D59" s="392"/>
      <c r="E59" s="393"/>
      <c r="F59" s="392"/>
      <c r="G59" s="394"/>
      <c r="H59" s="394"/>
      <c r="I59" s="395">
        <f>'Riepilogo Contratto'!J8-Gantt!J41</f>
        <v>26177.25</v>
      </c>
      <c r="J59" s="396"/>
      <c r="K59" s="397"/>
      <c r="L59" s="257"/>
      <c r="M59" s="258"/>
      <c r="N59" s="398"/>
      <c r="O59" s="258"/>
      <c r="P59" s="175"/>
      <c r="T59" s="399"/>
      <c r="U59" s="399"/>
      <c r="V59" s="399"/>
      <c r="W59" s="399"/>
    </row>
    <row r="60" spans="1:96" x14ac:dyDescent="0.25">
      <c r="C60" s="342" t="s">
        <v>406</v>
      </c>
      <c r="D60" s="392"/>
      <c r="E60" s="393"/>
      <c r="F60" s="392"/>
      <c r="G60" s="394"/>
      <c r="H60" s="394"/>
      <c r="I60" s="395">
        <f>'Riepilogo Contratto'!J9-Gantt!J50</f>
        <v>67833.5</v>
      </c>
      <c r="J60" s="396"/>
      <c r="K60" s="397"/>
      <c r="L60" s="257"/>
      <c r="M60" s="258"/>
      <c r="N60" s="398"/>
      <c r="O60" s="258"/>
      <c r="P60" s="175"/>
      <c r="T60" s="399"/>
      <c r="U60" s="399"/>
      <c r="V60" s="399"/>
      <c r="W60" s="399"/>
    </row>
    <row r="61" spans="1:96" x14ac:dyDescent="0.25">
      <c r="C61" s="298"/>
      <c r="J61" s="293"/>
      <c r="K61" s="400"/>
      <c r="Q61" s="159"/>
      <c r="R61" s="297"/>
      <c r="S61" s="247"/>
    </row>
    <row r="62" spans="1:96" x14ac:dyDescent="0.25">
      <c r="C62" s="298"/>
      <c r="G62" s="325">
        <f>G10+G41+G50</f>
        <v>174540</v>
      </c>
      <c r="H62" s="325">
        <f>H10+H41+H50</f>
        <v>567275.48</v>
      </c>
      <c r="I62" s="325">
        <f>I10+I41+I50</f>
        <v>971172.61</v>
      </c>
      <c r="J62" s="325">
        <f>SUM(G62:I62)</f>
        <v>1712988.0899999999</v>
      </c>
      <c r="K62" s="401"/>
      <c r="Q62" s="159"/>
      <c r="R62" s="297"/>
      <c r="S62" s="247"/>
    </row>
    <row r="63" spans="1:96" x14ac:dyDescent="0.25">
      <c r="C63" s="298"/>
      <c r="K63" s="400"/>
      <c r="Q63" s="159"/>
      <c r="R63" s="297"/>
      <c r="S63" s="249"/>
    </row>
    <row r="64" spans="1:96" x14ac:dyDescent="0.25">
      <c r="H64" s="293"/>
      <c r="J64" s="325">
        <v>1676296</v>
      </c>
      <c r="K64" s="400"/>
      <c r="Q64" s="159"/>
      <c r="R64" s="297"/>
      <c r="S64" s="247"/>
    </row>
    <row r="65" spans="10:19" x14ac:dyDescent="0.25">
      <c r="K65" s="400"/>
      <c r="Q65" s="159"/>
      <c r="R65" s="297"/>
      <c r="S65" s="247"/>
    </row>
    <row r="66" spans="10:19" x14ac:dyDescent="0.25">
      <c r="J66" s="402">
        <f>J64-SUM(I58:I60,J62)</f>
        <v>0</v>
      </c>
      <c r="K66" s="400"/>
      <c r="Q66" s="159"/>
      <c r="R66" s="297"/>
      <c r="S66" s="247"/>
    </row>
    <row r="67" spans="10:19" x14ac:dyDescent="0.25">
      <c r="K67" s="400"/>
      <c r="Q67" s="159"/>
      <c r="R67" s="297"/>
      <c r="S67" s="247"/>
    </row>
    <row r="68" spans="10:19" x14ac:dyDescent="0.25">
      <c r="K68" s="400"/>
      <c r="Q68" s="159"/>
      <c r="R68" s="297"/>
      <c r="S68" s="247"/>
    </row>
    <row r="69" spans="10:19" x14ac:dyDescent="0.25">
      <c r="K69" s="400"/>
      <c r="Q69" s="159"/>
      <c r="R69" s="297"/>
      <c r="S69" s="247"/>
    </row>
    <row r="70" spans="10:19" x14ac:dyDescent="0.25">
      <c r="K70" s="400"/>
      <c r="Q70" s="159"/>
      <c r="R70" s="297"/>
      <c r="S70" s="247"/>
    </row>
    <row r="71" spans="10:19" x14ac:dyDescent="0.25">
      <c r="K71" s="400"/>
      <c r="Q71" s="159"/>
      <c r="R71" s="297"/>
      <c r="S71" s="247"/>
    </row>
    <row r="72" spans="10:19" x14ac:dyDescent="0.25">
      <c r="K72" s="400"/>
      <c r="Q72" s="159"/>
      <c r="R72" s="297"/>
      <c r="S72" s="247"/>
    </row>
    <row r="73" spans="10:19" x14ac:dyDescent="0.25">
      <c r="K73" s="400"/>
      <c r="Q73" s="159"/>
      <c r="R73" s="297"/>
      <c r="S73" s="247"/>
    </row>
    <row r="74" spans="10:19" x14ac:dyDescent="0.25">
      <c r="K74" s="400"/>
      <c r="Q74" s="159"/>
      <c r="R74" s="297"/>
      <c r="S74" s="247"/>
    </row>
    <row r="75" spans="10:19" x14ac:dyDescent="0.25">
      <c r="K75" s="400"/>
      <c r="Q75" s="159"/>
      <c r="R75" s="297"/>
      <c r="S75" s="247"/>
    </row>
    <row r="76" spans="10:19" x14ac:dyDescent="0.25">
      <c r="K76" s="400"/>
      <c r="Q76" s="159"/>
      <c r="R76" s="297"/>
      <c r="S76" s="247"/>
    </row>
    <row r="77" spans="10:19" x14ac:dyDescent="0.25">
      <c r="K77" s="400"/>
      <c r="Q77" s="159"/>
      <c r="R77" s="297"/>
      <c r="S77" s="247"/>
    </row>
    <row r="78" spans="10:19" x14ac:dyDescent="0.25">
      <c r="K78" s="400"/>
      <c r="Q78" s="159"/>
      <c r="R78" s="297"/>
      <c r="S78" s="247"/>
    </row>
    <row r="79" spans="10:19" x14ac:dyDescent="0.25">
      <c r="K79" s="400"/>
      <c r="Q79" s="159"/>
      <c r="R79" s="297"/>
      <c r="S79" s="247"/>
    </row>
    <row r="80" spans="10:19" x14ac:dyDescent="0.25">
      <c r="K80" s="400"/>
      <c r="Q80" s="159"/>
      <c r="R80" s="297"/>
      <c r="S80" s="247"/>
    </row>
    <row r="81" spans="11:19" x14ac:dyDescent="0.25">
      <c r="K81" s="400"/>
      <c r="Q81" s="159"/>
      <c r="R81" s="297"/>
      <c r="S81" s="247"/>
    </row>
    <row r="82" spans="11:19" x14ac:dyDescent="0.25">
      <c r="K82" s="400"/>
      <c r="Q82" s="159"/>
      <c r="R82" s="297"/>
      <c r="S82" s="247"/>
    </row>
    <row r="83" spans="11:19" x14ac:dyDescent="0.25">
      <c r="K83" s="400"/>
      <c r="Q83" s="159"/>
      <c r="R83" s="297"/>
      <c r="S83" s="247"/>
    </row>
    <row r="84" spans="11:19" x14ac:dyDescent="0.25">
      <c r="K84" s="400"/>
      <c r="Q84" s="159"/>
      <c r="R84" s="297"/>
      <c r="S84" s="247"/>
    </row>
    <row r="85" spans="11:19" x14ac:dyDescent="0.25">
      <c r="K85" s="400"/>
      <c r="Q85" s="159"/>
      <c r="R85" s="297"/>
      <c r="S85" s="247"/>
    </row>
    <row r="86" spans="11:19" x14ac:dyDescent="0.25">
      <c r="K86" s="400"/>
      <c r="Q86" s="159"/>
      <c r="R86" s="297"/>
      <c r="S86" s="247"/>
    </row>
    <row r="87" spans="11:19" x14ac:dyDescent="0.25">
      <c r="K87" s="400"/>
      <c r="Q87" s="159"/>
      <c r="R87" s="297"/>
      <c r="S87" s="247"/>
    </row>
    <row r="88" spans="11:19" x14ac:dyDescent="0.25">
      <c r="K88" s="400"/>
      <c r="Q88" s="159"/>
      <c r="R88" s="297"/>
      <c r="S88" s="247"/>
    </row>
    <row r="89" spans="11:19" x14ac:dyDescent="0.25">
      <c r="K89" s="400"/>
      <c r="Q89" s="159"/>
      <c r="R89" s="297"/>
      <c r="S89" s="247"/>
    </row>
    <row r="90" spans="11:19" x14ac:dyDescent="0.25">
      <c r="K90" s="400"/>
      <c r="Q90" s="159"/>
      <c r="R90" s="297"/>
      <c r="S90" s="247"/>
    </row>
    <row r="91" spans="11:19" x14ac:dyDescent="0.25">
      <c r="K91" s="400"/>
      <c r="Q91" s="159"/>
      <c r="R91" s="297"/>
      <c r="S91" s="247"/>
    </row>
    <row r="92" spans="11:19" x14ac:dyDescent="0.25">
      <c r="K92" s="400"/>
      <c r="Q92" s="159"/>
      <c r="R92" s="297"/>
      <c r="S92" s="247"/>
    </row>
    <row r="93" spans="11:19" x14ac:dyDescent="0.25">
      <c r="K93" s="400"/>
      <c r="Q93" s="159"/>
      <c r="R93" s="297"/>
      <c r="S93" s="247"/>
    </row>
    <row r="94" spans="11:19" x14ac:dyDescent="0.25">
      <c r="K94" s="400"/>
      <c r="Q94" s="159"/>
      <c r="R94" s="297"/>
      <c r="S94" s="247"/>
    </row>
    <row r="95" spans="11:19" x14ac:dyDescent="0.25">
      <c r="K95" s="400"/>
      <c r="Q95" s="159"/>
      <c r="R95" s="297"/>
      <c r="S95" s="247"/>
    </row>
    <row r="96" spans="11:19" x14ac:dyDescent="0.25">
      <c r="K96" s="400"/>
      <c r="Q96" s="159"/>
      <c r="R96" s="297"/>
      <c r="S96" s="247"/>
    </row>
    <row r="97" spans="11:19" x14ac:dyDescent="0.25">
      <c r="K97" s="400"/>
      <c r="Q97" s="159"/>
      <c r="R97" s="297"/>
      <c r="S97" s="247"/>
    </row>
    <row r="98" spans="11:19" x14ac:dyDescent="0.25">
      <c r="K98" s="400"/>
      <c r="Q98" s="159"/>
      <c r="R98" s="297"/>
      <c r="S98" s="247"/>
    </row>
    <row r="99" spans="11:19" x14ac:dyDescent="0.25">
      <c r="K99" s="400"/>
      <c r="Q99" s="159"/>
      <c r="R99" s="297"/>
      <c r="S99" s="247"/>
    </row>
    <row r="100" spans="11:19" x14ac:dyDescent="0.25">
      <c r="K100" s="400"/>
      <c r="Q100" s="159"/>
      <c r="R100" s="297"/>
      <c r="S100" s="247"/>
    </row>
    <row r="101" spans="11:19" x14ac:dyDescent="0.25">
      <c r="K101" s="400"/>
      <c r="Q101" s="159"/>
      <c r="R101" s="297"/>
      <c r="S101" s="247"/>
    </row>
    <row r="102" spans="11:19" x14ac:dyDescent="0.25">
      <c r="K102" s="400"/>
      <c r="Q102" s="159"/>
      <c r="R102" s="297"/>
      <c r="S102" s="247"/>
    </row>
    <row r="103" spans="11:19" x14ac:dyDescent="0.25">
      <c r="K103" s="400"/>
      <c r="Q103" s="159"/>
      <c r="R103" s="297"/>
      <c r="S103" s="247"/>
    </row>
    <row r="104" spans="11:19" x14ac:dyDescent="0.25">
      <c r="K104" s="400"/>
      <c r="Q104" s="159"/>
      <c r="R104" s="297"/>
      <c r="S104" s="247"/>
    </row>
    <row r="105" spans="11:19" x14ac:dyDescent="0.25">
      <c r="K105" s="400"/>
      <c r="Q105" s="159"/>
      <c r="R105" s="297"/>
      <c r="S105" s="247"/>
    </row>
    <row r="106" spans="11:19" x14ac:dyDescent="0.25">
      <c r="K106" s="400"/>
      <c r="Q106" s="159"/>
      <c r="R106" s="297"/>
      <c r="S106" s="247"/>
    </row>
    <row r="107" spans="11:19" x14ac:dyDescent="0.25">
      <c r="K107" s="400"/>
      <c r="Q107" s="159"/>
      <c r="R107" s="297"/>
      <c r="S107" s="247"/>
    </row>
    <row r="108" spans="11:19" x14ac:dyDescent="0.25">
      <c r="K108" s="400"/>
      <c r="Q108" s="159"/>
      <c r="R108" s="297"/>
      <c r="S108" s="247"/>
    </row>
    <row r="109" spans="11:19" x14ac:dyDescent="0.25">
      <c r="K109" s="400"/>
      <c r="Q109" s="159"/>
      <c r="R109" s="297"/>
      <c r="S109" s="247"/>
    </row>
    <row r="110" spans="11:19" x14ac:dyDescent="0.25">
      <c r="K110" s="400"/>
      <c r="Q110" s="159"/>
      <c r="R110" s="297"/>
      <c r="S110" s="247"/>
    </row>
    <row r="111" spans="11:19" x14ac:dyDescent="0.25">
      <c r="K111" s="400"/>
      <c r="Q111" s="159"/>
      <c r="R111" s="297"/>
      <c r="S111" s="247"/>
    </row>
    <row r="112" spans="11:19" x14ac:dyDescent="0.25">
      <c r="K112" s="400"/>
      <c r="Q112" s="159"/>
      <c r="R112" s="297"/>
      <c r="S112" s="247"/>
    </row>
    <row r="113" spans="11:19" x14ac:dyDescent="0.25">
      <c r="K113" s="400"/>
      <c r="Q113" s="159"/>
      <c r="R113" s="297"/>
      <c r="S113" s="247"/>
    </row>
    <row r="114" spans="11:19" x14ac:dyDescent="0.25">
      <c r="K114" s="400"/>
      <c r="Q114" s="159"/>
      <c r="R114" s="297"/>
      <c r="S114" s="247"/>
    </row>
    <row r="115" spans="11:19" x14ac:dyDescent="0.25">
      <c r="K115" s="400"/>
      <c r="Q115" s="159"/>
      <c r="R115" s="297"/>
      <c r="S115" s="247"/>
    </row>
    <row r="116" spans="11:19" x14ac:dyDescent="0.25">
      <c r="K116" s="400"/>
      <c r="Q116" s="159"/>
      <c r="R116" s="297"/>
      <c r="S116" s="247"/>
    </row>
    <row r="117" spans="11:19" x14ac:dyDescent="0.25">
      <c r="K117" s="400"/>
      <c r="Q117" s="159"/>
      <c r="R117" s="297"/>
      <c r="S117" s="247"/>
    </row>
    <row r="118" spans="11:19" x14ac:dyDescent="0.25">
      <c r="K118" s="400"/>
      <c r="Q118" s="159"/>
      <c r="R118" s="297"/>
      <c r="S118" s="247"/>
    </row>
    <row r="119" spans="11:19" x14ac:dyDescent="0.25">
      <c r="K119" s="400"/>
      <c r="Q119" s="159"/>
      <c r="R119" s="297"/>
      <c r="S119" s="247"/>
    </row>
    <row r="120" spans="11:19" x14ac:dyDescent="0.25">
      <c r="K120" s="400"/>
      <c r="Q120" s="159"/>
      <c r="R120" s="297"/>
      <c r="S120" s="247"/>
    </row>
    <row r="121" spans="11:19" x14ac:dyDescent="0.25">
      <c r="K121" s="400"/>
      <c r="Q121" s="159"/>
      <c r="R121" s="297"/>
      <c r="S121" s="247"/>
    </row>
    <row r="122" spans="11:19" x14ac:dyDescent="0.25">
      <c r="K122" s="400"/>
      <c r="Q122" s="159"/>
      <c r="R122" s="297"/>
      <c r="S122" s="247"/>
    </row>
    <row r="123" spans="11:19" x14ac:dyDescent="0.25">
      <c r="K123" s="400"/>
      <c r="Q123" s="159"/>
      <c r="R123" s="297"/>
      <c r="S123" s="247"/>
    </row>
    <row r="124" spans="11:19" x14ac:dyDescent="0.25">
      <c r="K124" s="400"/>
      <c r="Q124" s="159"/>
      <c r="R124" s="297"/>
      <c r="S124" s="247"/>
    </row>
    <row r="125" spans="11:19" x14ac:dyDescent="0.25">
      <c r="K125" s="400"/>
      <c r="Q125" s="159"/>
      <c r="R125" s="297"/>
      <c r="S125" s="247"/>
    </row>
    <row r="126" spans="11:19" x14ac:dyDescent="0.25">
      <c r="K126" s="400"/>
      <c r="Q126" s="159"/>
      <c r="R126" s="297"/>
      <c r="S126" s="247"/>
    </row>
    <row r="127" spans="11:19" x14ac:dyDescent="0.25">
      <c r="K127" s="400"/>
      <c r="Q127" s="159"/>
      <c r="R127" s="297"/>
      <c r="S127" s="247"/>
    </row>
    <row r="128" spans="11:19" x14ac:dyDescent="0.25">
      <c r="K128" s="400"/>
      <c r="Q128" s="159"/>
      <c r="R128" s="297"/>
      <c r="S128" s="247"/>
    </row>
    <row r="129" spans="11:19" x14ac:dyDescent="0.25">
      <c r="K129" s="400"/>
      <c r="Q129" s="159"/>
      <c r="R129" s="297"/>
      <c r="S129" s="247"/>
    </row>
    <row r="130" spans="11:19" x14ac:dyDescent="0.25">
      <c r="K130" s="400"/>
      <c r="Q130" s="159"/>
      <c r="R130" s="297"/>
      <c r="S130" s="247"/>
    </row>
    <row r="131" spans="11:19" x14ac:dyDescent="0.25">
      <c r="K131" s="400"/>
      <c r="Q131" s="159"/>
      <c r="R131" s="297"/>
      <c r="S131" s="247"/>
    </row>
    <row r="132" spans="11:19" x14ac:dyDescent="0.25">
      <c r="K132" s="400"/>
      <c r="Q132" s="159"/>
      <c r="R132" s="297"/>
      <c r="S132" s="247"/>
    </row>
    <row r="133" spans="11:19" x14ac:dyDescent="0.25">
      <c r="K133" s="400"/>
      <c r="Q133" s="159"/>
      <c r="R133" s="297"/>
      <c r="S133" s="247"/>
    </row>
    <row r="134" spans="11:19" x14ac:dyDescent="0.25">
      <c r="K134" s="400"/>
      <c r="Q134" s="159"/>
      <c r="R134" s="297"/>
      <c r="S134" s="247"/>
    </row>
    <row r="135" spans="11:19" x14ac:dyDescent="0.25">
      <c r="K135" s="400"/>
      <c r="Q135" s="159"/>
      <c r="R135" s="297"/>
      <c r="S135" s="247"/>
    </row>
    <row r="136" spans="11:19" x14ac:dyDescent="0.25">
      <c r="K136" s="400"/>
      <c r="Q136" s="159"/>
      <c r="R136" s="297"/>
      <c r="S136" s="247"/>
    </row>
    <row r="137" spans="11:19" x14ac:dyDescent="0.25">
      <c r="K137" s="400"/>
      <c r="Q137" s="159"/>
      <c r="R137" s="297"/>
      <c r="S137" s="247"/>
    </row>
    <row r="138" spans="11:19" x14ac:dyDescent="0.25">
      <c r="K138" s="400"/>
      <c r="Q138" s="159"/>
      <c r="R138" s="297"/>
      <c r="S138" s="247"/>
    </row>
    <row r="139" spans="11:19" x14ac:dyDescent="0.25">
      <c r="K139" s="400"/>
      <c r="Q139" s="159"/>
      <c r="R139" s="297"/>
      <c r="S139" s="247"/>
    </row>
    <row r="140" spans="11:19" x14ac:dyDescent="0.25">
      <c r="K140" s="400"/>
      <c r="Q140" s="159"/>
      <c r="R140" s="297"/>
      <c r="S140" s="247"/>
    </row>
    <row r="141" spans="11:19" x14ac:dyDescent="0.25">
      <c r="K141" s="400"/>
      <c r="Q141" s="159"/>
      <c r="R141" s="297"/>
      <c r="S141" s="247"/>
    </row>
    <row r="142" spans="11:19" x14ac:dyDescent="0.25">
      <c r="K142" s="400"/>
      <c r="Q142" s="159"/>
      <c r="R142" s="297"/>
      <c r="S142" s="247"/>
    </row>
    <row r="143" spans="11:19" x14ac:dyDescent="0.25">
      <c r="K143" s="400"/>
      <c r="Q143" s="159"/>
      <c r="R143" s="297"/>
      <c r="S143" s="247"/>
    </row>
    <row r="144" spans="11:19" x14ac:dyDescent="0.25">
      <c r="K144" s="400"/>
      <c r="Q144" s="159"/>
      <c r="R144" s="297"/>
      <c r="S144" s="247"/>
    </row>
    <row r="145" spans="11:19" x14ac:dyDescent="0.25">
      <c r="K145" s="400"/>
      <c r="Q145" s="159"/>
      <c r="R145" s="297"/>
      <c r="S145" s="247"/>
    </row>
    <row r="146" spans="11:19" x14ac:dyDescent="0.25">
      <c r="K146" s="400"/>
      <c r="Q146" s="159"/>
      <c r="R146" s="297"/>
      <c r="S146" s="247"/>
    </row>
    <row r="147" spans="11:19" x14ac:dyDescent="0.25">
      <c r="K147" s="400"/>
      <c r="Q147" s="159"/>
      <c r="R147" s="297"/>
      <c r="S147" s="247"/>
    </row>
    <row r="148" spans="11:19" x14ac:dyDescent="0.25">
      <c r="K148" s="400"/>
      <c r="Q148" s="159"/>
      <c r="R148" s="297"/>
      <c r="S148" s="247"/>
    </row>
    <row r="149" spans="11:19" x14ac:dyDescent="0.25">
      <c r="K149" s="400"/>
      <c r="Q149" s="159"/>
      <c r="R149" s="297"/>
      <c r="S149" s="247"/>
    </row>
    <row r="150" spans="11:19" x14ac:dyDescent="0.25">
      <c r="K150" s="400"/>
      <c r="Q150" s="159"/>
      <c r="R150" s="297"/>
      <c r="S150" s="247"/>
    </row>
    <row r="151" spans="11:19" x14ac:dyDescent="0.25">
      <c r="K151" s="400"/>
      <c r="Q151" s="159"/>
      <c r="R151" s="297"/>
      <c r="S151" s="247"/>
    </row>
    <row r="152" spans="11:19" x14ac:dyDescent="0.25">
      <c r="K152" s="400"/>
      <c r="Q152" s="159"/>
      <c r="R152" s="297"/>
      <c r="S152" s="247"/>
    </row>
    <row r="153" spans="11:19" x14ac:dyDescent="0.25">
      <c r="K153" s="400"/>
      <c r="Q153" s="159"/>
      <c r="R153" s="297"/>
      <c r="S153" s="247"/>
    </row>
    <row r="154" spans="11:19" x14ac:dyDescent="0.25">
      <c r="K154" s="400"/>
      <c r="Q154" s="159"/>
      <c r="R154" s="297"/>
      <c r="S154" s="247"/>
    </row>
    <row r="155" spans="11:19" x14ac:dyDescent="0.25">
      <c r="K155" s="400"/>
      <c r="Q155" s="159"/>
      <c r="R155" s="297"/>
      <c r="S155" s="247"/>
    </row>
    <row r="156" spans="11:19" x14ac:dyDescent="0.25">
      <c r="K156" s="400"/>
      <c r="Q156" s="159"/>
      <c r="R156" s="297"/>
      <c r="S156" s="247"/>
    </row>
    <row r="157" spans="11:19" x14ac:dyDescent="0.25">
      <c r="K157" s="400"/>
      <c r="Q157" s="159"/>
      <c r="R157" s="297"/>
      <c r="S157" s="247"/>
    </row>
    <row r="158" spans="11:19" x14ac:dyDescent="0.25">
      <c r="K158" s="400"/>
      <c r="Q158" s="159"/>
      <c r="R158" s="297"/>
      <c r="S158" s="247"/>
    </row>
    <row r="159" spans="11:19" x14ac:dyDescent="0.25">
      <c r="K159" s="400"/>
      <c r="Q159" s="159"/>
      <c r="R159" s="297"/>
      <c r="S159" s="247"/>
    </row>
    <row r="160" spans="11:19" x14ac:dyDescent="0.25">
      <c r="K160" s="400"/>
      <c r="Q160" s="159"/>
      <c r="R160" s="297"/>
      <c r="S160" s="247"/>
    </row>
    <row r="161" spans="11:19" x14ac:dyDescent="0.25">
      <c r="K161" s="400"/>
      <c r="Q161" s="159"/>
      <c r="R161" s="297"/>
      <c r="S161" s="247"/>
    </row>
    <row r="162" spans="11:19" x14ac:dyDescent="0.25">
      <c r="K162" s="400"/>
      <c r="Q162" s="159"/>
      <c r="R162" s="297"/>
      <c r="S162" s="247"/>
    </row>
    <row r="163" spans="11:19" x14ac:dyDescent="0.25">
      <c r="K163" s="400"/>
      <c r="Q163" s="159"/>
      <c r="R163" s="297"/>
      <c r="S163" s="247"/>
    </row>
    <row r="164" spans="11:19" x14ac:dyDescent="0.25">
      <c r="K164" s="400"/>
      <c r="Q164" s="159"/>
      <c r="R164" s="297"/>
      <c r="S164" s="247"/>
    </row>
    <row r="165" spans="11:19" x14ac:dyDescent="0.25">
      <c r="K165" s="400"/>
      <c r="Q165" s="159"/>
      <c r="R165" s="297"/>
      <c r="S165" s="247"/>
    </row>
    <row r="166" spans="11:19" x14ac:dyDescent="0.25">
      <c r="K166" s="400"/>
      <c r="Q166" s="159"/>
      <c r="R166" s="297"/>
      <c r="S166" s="247"/>
    </row>
    <row r="167" spans="11:19" x14ac:dyDescent="0.25">
      <c r="K167" s="400"/>
      <c r="Q167" s="159"/>
      <c r="R167" s="297"/>
      <c r="S167" s="247"/>
    </row>
    <row r="168" spans="11:19" x14ac:dyDescent="0.25">
      <c r="K168" s="400"/>
      <c r="Q168" s="159"/>
      <c r="R168" s="297"/>
      <c r="S168" s="247"/>
    </row>
    <row r="169" spans="11:19" x14ac:dyDescent="0.25">
      <c r="K169" s="400"/>
      <c r="Q169" s="159"/>
      <c r="R169" s="297"/>
      <c r="S169" s="247"/>
    </row>
    <row r="170" spans="11:19" x14ac:dyDescent="0.25">
      <c r="K170" s="400"/>
      <c r="Q170" s="159"/>
      <c r="R170" s="297"/>
      <c r="S170" s="247"/>
    </row>
    <row r="171" spans="11:19" x14ac:dyDescent="0.25">
      <c r="K171" s="400"/>
      <c r="Q171" s="159"/>
      <c r="R171" s="297"/>
      <c r="S171" s="247"/>
    </row>
    <row r="172" spans="11:19" x14ac:dyDescent="0.25">
      <c r="K172" s="400"/>
      <c r="Q172" s="159"/>
      <c r="R172" s="297"/>
      <c r="S172" s="247"/>
    </row>
    <row r="173" spans="11:19" x14ac:dyDescent="0.25">
      <c r="K173" s="400"/>
      <c r="Q173" s="159"/>
      <c r="R173" s="297"/>
      <c r="S173" s="247"/>
    </row>
    <row r="174" spans="11:19" x14ac:dyDescent="0.25">
      <c r="K174" s="400"/>
      <c r="Q174" s="159"/>
      <c r="R174" s="297"/>
      <c r="S174" s="247"/>
    </row>
    <row r="175" spans="11:19" x14ac:dyDescent="0.25">
      <c r="K175" s="400"/>
      <c r="Q175" s="159"/>
      <c r="R175" s="297"/>
      <c r="S175" s="247"/>
    </row>
    <row r="176" spans="11:19" x14ac:dyDescent="0.25">
      <c r="K176" s="400"/>
      <c r="Q176" s="159"/>
      <c r="R176" s="297"/>
      <c r="S176" s="247"/>
    </row>
    <row r="177" spans="11:19" x14ac:dyDescent="0.25">
      <c r="K177" s="400"/>
      <c r="Q177" s="159"/>
      <c r="R177" s="297"/>
      <c r="S177" s="247"/>
    </row>
    <row r="178" spans="11:19" x14ac:dyDescent="0.25">
      <c r="K178" s="400"/>
      <c r="Q178" s="159"/>
      <c r="R178" s="297"/>
      <c r="S178" s="247"/>
    </row>
    <row r="179" spans="11:19" x14ac:dyDescent="0.25">
      <c r="K179" s="400"/>
      <c r="Q179" s="159"/>
      <c r="R179" s="297"/>
      <c r="S179" s="247"/>
    </row>
    <row r="180" spans="11:19" x14ac:dyDescent="0.25">
      <c r="K180" s="400"/>
      <c r="Q180" s="159"/>
      <c r="R180" s="297"/>
      <c r="S180" s="247"/>
    </row>
    <row r="181" spans="11:19" x14ac:dyDescent="0.25">
      <c r="K181" s="400"/>
      <c r="Q181" s="159"/>
      <c r="R181" s="297"/>
      <c r="S181" s="247"/>
    </row>
    <row r="182" spans="11:19" x14ac:dyDescent="0.25">
      <c r="K182" s="400"/>
      <c r="Q182" s="159"/>
      <c r="R182" s="297"/>
      <c r="S182" s="247"/>
    </row>
    <row r="183" spans="11:19" x14ac:dyDescent="0.25">
      <c r="K183" s="400"/>
      <c r="Q183" s="159"/>
      <c r="R183" s="297"/>
      <c r="S183" s="247"/>
    </row>
    <row r="184" spans="11:19" x14ac:dyDescent="0.25">
      <c r="K184" s="400"/>
      <c r="Q184" s="159"/>
      <c r="R184" s="297"/>
      <c r="S184" s="247"/>
    </row>
    <row r="185" spans="11:19" x14ac:dyDescent="0.25">
      <c r="K185" s="400"/>
      <c r="Q185" s="159"/>
      <c r="R185" s="297"/>
      <c r="S185" s="247"/>
    </row>
    <row r="186" spans="11:19" x14ac:dyDescent="0.25">
      <c r="K186" s="400"/>
      <c r="Q186" s="159"/>
      <c r="R186" s="297"/>
      <c r="S186" s="247"/>
    </row>
    <row r="187" spans="11:19" x14ac:dyDescent="0.25">
      <c r="K187" s="400"/>
      <c r="Q187" s="159"/>
      <c r="R187" s="297"/>
      <c r="S187" s="247"/>
    </row>
    <row r="188" spans="11:19" x14ac:dyDescent="0.25">
      <c r="K188" s="400"/>
      <c r="Q188" s="159"/>
      <c r="R188" s="297"/>
      <c r="S188" s="247"/>
    </row>
    <row r="189" spans="11:19" x14ac:dyDescent="0.25">
      <c r="K189" s="400"/>
      <c r="Q189" s="159"/>
      <c r="R189" s="297"/>
      <c r="S189" s="247"/>
    </row>
    <row r="190" spans="11:19" x14ac:dyDescent="0.25">
      <c r="K190" s="400"/>
      <c r="Q190" s="159"/>
      <c r="R190" s="297"/>
      <c r="S190" s="247"/>
    </row>
    <row r="191" spans="11:19" x14ac:dyDescent="0.25">
      <c r="K191" s="400"/>
      <c r="Q191" s="159"/>
      <c r="R191" s="297"/>
      <c r="S191" s="247"/>
    </row>
    <row r="192" spans="11:19" x14ac:dyDescent="0.25">
      <c r="K192" s="400"/>
      <c r="Q192" s="159"/>
      <c r="R192" s="297"/>
      <c r="S192" s="247"/>
    </row>
    <row r="193" spans="11:19" x14ac:dyDescent="0.25">
      <c r="K193" s="400"/>
      <c r="Q193" s="159"/>
      <c r="R193" s="297"/>
      <c r="S193" s="247"/>
    </row>
    <row r="194" spans="11:19" x14ac:dyDescent="0.25">
      <c r="K194" s="400"/>
      <c r="Q194" s="159"/>
      <c r="R194" s="297"/>
      <c r="S194" s="247"/>
    </row>
    <row r="195" spans="11:19" x14ac:dyDescent="0.25">
      <c r="K195" s="400"/>
      <c r="Q195" s="159"/>
      <c r="R195" s="297"/>
      <c r="S195" s="247"/>
    </row>
    <row r="196" spans="11:19" x14ac:dyDescent="0.25">
      <c r="K196" s="400"/>
      <c r="Q196" s="159"/>
      <c r="R196" s="297"/>
      <c r="S196" s="247"/>
    </row>
    <row r="197" spans="11:19" x14ac:dyDescent="0.25">
      <c r="K197" s="400"/>
      <c r="Q197" s="159"/>
      <c r="R197" s="297"/>
      <c r="S197" s="247"/>
    </row>
    <row r="198" spans="11:19" x14ac:dyDescent="0.25">
      <c r="K198" s="400"/>
      <c r="Q198" s="159"/>
      <c r="R198" s="297"/>
      <c r="S198" s="247"/>
    </row>
    <row r="199" spans="11:19" x14ac:dyDescent="0.25">
      <c r="K199" s="400"/>
      <c r="Q199" s="159"/>
      <c r="R199" s="297"/>
      <c r="S199" s="247"/>
    </row>
    <row r="200" spans="11:19" x14ac:dyDescent="0.25">
      <c r="K200" s="400"/>
      <c r="Q200" s="159"/>
      <c r="R200" s="297"/>
      <c r="S200" s="247"/>
    </row>
    <row r="201" spans="11:19" x14ac:dyDescent="0.25">
      <c r="K201" s="400"/>
      <c r="Q201" s="159"/>
      <c r="R201" s="297"/>
      <c r="S201" s="247"/>
    </row>
    <row r="202" spans="11:19" x14ac:dyDescent="0.25">
      <c r="K202" s="400"/>
      <c r="Q202" s="159"/>
      <c r="R202" s="297"/>
      <c r="S202" s="247"/>
    </row>
    <row r="203" spans="11:19" x14ac:dyDescent="0.25">
      <c r="K203" s="400"/>
      <c r="Q203" s="159"/>
      <c r="R203" s="297"/>
      <c r="S203" s="247"/>
    </row>
    <row r="204" spans="11:19" x14ac:dyDescent="0.25">
      <c r="K204" s="400"/>
      <c r="Q204" s="159"/>
      <c r="R204" s="297"/>
      <c r="S204" s="247"/>
    </row>
    <row r="205" spans="11:19" x14ac:dyDescent="0.25">
      <c r="K205" s="400"/>
      <c r="Q205" s="159"/>
      <c r="R205" s="297"/>
      <c r="S205" s="247"/>
    </row>
    <row r="206" spans="11:19" x14ac:dyDescent="0.25">
      <c r="K206" s="400"/>
      <c r="Q206" s="159"/>
      <c r="R206" s="297"/>
      <c r="S206" s="247"/>
    </row>
    <row r="207" spans="11:19" x14ac:dyDescent="0.25">
      <c r="K207" s="400"/>
      <c r="Q207" s="159"/>
      <c r="R207" s="297"/>
      <c r="S207" s="247"/>
    </row>
    <row r="208" spans="11:19" x14ac:dyDescent="0.25">
      <c r="K208" s="400"/>
      <c r="Q208" s="159"/>
      <c r="R208" s="297"/>
      <c r="S208" s="247"/>
    </row>
    <row r="209" spans="11:19" x14ac:dyDescent="0.25">
      <c r="K209" s="400"/>
      <c r="Q209" s="159"/>
      <c r="R209" s="297"/>
      <c r="S209" s="247"/>
    </row>
    <row r="210" spans="11:19" x14ac:dyDescent="0.25">
      <c r="K210" s="400"/>
      <c r="Q210" s="159"/>
      <c r="R210" s="297"/>
      <c r="S210" s="247"/>
    </row>
    <row r="211" spans="11:19" x14ac:dyDescent="0.25">
      <c r="K211" s="400"/>
      <c r="Q211" s="159"/>
      <c r="R211" s="297"/>
      <c r="S211" s="247"/>
    </row>
    <row r="212" spans="11:19" x14ac:dyDescent="0.25">
      <c r="K212" s="400"/>
      <c r="Q212" s="159"/>
      <c r="R212" s="297"/>
      <c r="S212" s="247"/>
    </row>
    <row r="213" spans="11:19" x14ac:dyDescent="0.25">
      <c r="K213" s="400"/>
      <c r="Q213" s="159"/>
      <c r="R213" s="297"/>
      <c r="S213" s="247"/>
    </row>
    <row r="214" spans="11:19" x14ac:dyDescent="0.25">
      <c r="K214" s="400"/>
      <c r="Q214" s="159"/>
      <c r="R214" s="297"/>
      <c r="S214" s="247"/>
    </row>
    <row r="215" spans="11:19" x14ac:dyDescent="0.25">
      <c r="K215" s="400"/>
      <c r="Q215" s="159"/>
      <c r="R215" s="297"/>
      <c r="S215" s="247"/>
    </row>
    <row r="216" spans="11:19" x14ac:dyDescent="0.25">
      <c r="K216" s="400"/>
      <c r="Q216" s="159"/>
      <c r="R216" s="297"/>
      <c r="S216" s="247"/>
    </row>
    <row r="217" spans="11:19" x14ac:dyDescent="0.25">
      <c r="K217" s="400"/>
      <c r="Q217" s="159"/>
      <c r="R217" s="297"/>
      <c r="S217" s="247"/>
    </row>
    <row r="218" spans="11:19" x14ac:dyDescent="0.25">
      <c r="K218" s="400"/>
      <c r="Q218" s="159"/>
      <c r="R218" s="297"/>
      <c r="S218" s="247"/>
    </row>
    <row r="219" spans="11:19" x14ac:dyDescent="0.25">
      <c r="K219" s="400"/>
      <c r="Q219" s="159"/>
      <c r="R219" s="297"/>
      <c r="S219" s="247"/>
    </row>
    <row r="220" spans="11:19" x14ac:dyDescent="0.25">
      <c r="K220" s="400"/>
      <c r="Q220" s="159"/>
      <c r="R220" s="297"/>
      <c r="S220" s="247"/>
    </row>
    <row r="221" spans="11:19" x14ac:dyDescent="0.25">
      <c r="K221" s="400"/>
      <c r="Q221" s="159"/>
      <c r="R221" s="297"/>
      <c r="S221" s="247"/>
    </row>
    <row r="222" spans="11:19" x14ac:dyDescent="0.25">
      <c r="K222" s="400"/>
      <c r="Q222" s="159"/>
      <c r="R222" s="297"/>
      <c r="S222" s="247"/>
    </row>
    <row r="223" spans="11:19" x14ac:dyDescent="0.25">
      <c r="K223" s="400"/>
      <c r="Q223" s="159"/>
      <c r="R223" s="297"/>
      <c r="S223" s="247"/>
    </row>
    <row r="224" spans="11:19" x14ac:dyDescent="0.25">
      <c r="K224" s="400"/>
      <c r="Q224" s="159"/>
      <c r="R224" s="297"/>
      <c r="S224" s="247"/>
    </row>
    <row r="225" spans="11:19" x14ac:dyDescent="0.25">
      <c r="K225" s="400"/>
      <c r="Q225" s="159"/>
      <c r="R225" s="297"/>
      <c r="S225" s="247"/>
    </row>
    <row r="226" spans="11:19" x14ac:dyDescent="0.25">
      <c r="K226" s="400"/>
      <c r="Q226" s="159"/>
      <c r="R226" s="297"/>
      <c r="S226" s="247"/>
    </row>
    <row r="227" spans="11:19" x14ac:dyDescent="0.25">
      <c r="K227" s="400"/>
      <c r="Q227" s="159"/>
      <c r="R227" s="297"/>
      <c r="S227" s="247"/>
    </row>
    <row r="228" spans="11:19" x14ac:dyDescent="0.25">
      <c r="K228" s="400"/>
      <c r="Q228" s="159"/>
      <c r="R228" s="297"/>
      <c r="S228" s="247"/>
    </row>
    <row r="229" spans="11:19" x14ac:dyDescent="0.25">
      <c r="K229" s="400"/>
      <c r="Q229" s="159"/>
      <c r="R229" s="297"/>
      <c r="S229" s="247"/>
    </row>
    <row r="230" spans="11:19" x14ac:dyDescent="0.25">
      <c r="K230" s="400"/>
      <c r="Q230" s="159"/>
      <c r="R230" s="297"/>
      <c r="S230" s="247"/>
    </row>
    <row r="231" spans="11:19" x14ac:dyDescent="0.25">
      <c r="K231" s="400"/>
      <c r="Q231" s="159"/>
      <c r="R231" s="297"/>
      <c r="S231" s="247"/>
    </row>
    <row r="232" spans="11:19" x14ac:dyDescent="0.25">
      <c r="K232" s="400"/>
      <c r="Q232" s="159"/>
      <c r="R232" s="297"/>
      <c r="S232" s="247"/>
    </row>
    <row r="233" spans="11:19" x14ac:dyDescent="0.25">
      <c r="K233" s="400"/>
      <c r="Q233" s="159"/>
      <c r="R233" s="297"/>
      <c r="S233" s="247"/>
    </row>
    <row r="234" spans="11:19" x14ac:dyDescent="0.25">
      <c r="K234" s="400"/>
      <c r="Q234" s="159"/>
      <c r="R234" s="297"/>
      <c r="S234" s="247"/>
    </row>
    <row r="235" spans="11:19" x14ac:dyDescent="0.25">
      <c r="K235" s="400"/>
      <c r="Q235" s="159"/>
      <c r="R235" s="297"/>
      <c r="S235" s="247"/>
    </row>
    <row r="236" spans="11:19" x14ac:dyDescent="0.25">
      <c r="K236" s="400"/>
      <c r="Q236" s="159"/>
      <c r="R236" s="297"/>
      <c r="S236" s="247"/>
    </row>
    <row r="237" spans="11:19" x14ac:dyDescent="0.25">
      <c r="K237" s="400"/>
      <c r="Q237" s="159"/>
      <c r="R237" s="297"/>
      <c r="S237" s="247"/>
    </row>
    <row r="238" spans="11:19" x14ac:dyDescent="0.25">
      <c r="K238" s="400"/>
      <c r="Q238" s="159"/>
      <c r="R238" s="297"/>
      <c r="S238" s="247"/>
    </row>
    <row r="239" spans="11:19" x14ac:dyDescent="0.25">
      <c r="K239" s="400"/>
      <c r="Q239" s="159"/>
      <c r="R239" s="297"/>
      <c r="S239" s="247"/>
    </row>
    <row r="240" spans="11:19" x14ac:dyDescent="0.25">
      <c r="K240" s="400"/>
      <c r="Q240" s="159"/>
      <c r="R240" s="297"/>
      <c r="S240" s="247"/>
    </row>
    <row r="241" spans="11:19" x14ac:dyDescent="0.25">
      <c r="K241" s="400"/>
      <c r="Q241" s="159"/>
      <c r="R241" s="297"/>
      <c r="S241" s="247"/>
    </row>
    <row r="242" spans="11:19" x14ac:dyDescent="0.25">
      <c r="K242" s="400"/>
      <c r="Q242" s="159"/>
      <c r="R242" s="297"/>
      <c r="S242" s="247"/>
    </row>
    <row r="243" spans="11:19" x14ac:dyDescent="0.25">
      <c r="K243" s="400"/>
      <c r="Q243" s="159"/>
      <c r="R243" s="297"/>
      <c r="S243" s="247"/>
    </row>
    <row r="244" spans="11:19" x14ac:dyDescent="0.25">
      <c r="K244" s="400"/>
      <c r="Q244" s="159"/>
      <c r="R244" s="297"/>
      <c r="S244" s="247"/>
    </row>
    <row r="245" spans="11:19" x14ac:dyDescent="0.25">
      <c r="K245" s="400"/>
      <c r="Q245" s="159"/>
      <c r="R245" s="297"/>
      <c r="S245" s="247"/>
    </row>
    <row r="246" spans="11:19" x14ac:dyDescent="0.25">
      <c r="K246" s="400"/>
      <c r="Q246" s="159"/>
      <c r="R246" s="297"/>
      <c r="S246" s="247"/>
    </row>
    <row r="247" spans="11:19" x14ac:dyDescent="0.25">
      <c r="K247" s="400"/>
      <c r="Q247" s="159"/>
      <c r="R247" s="297"/>
      <c r="S247" s="247"/>
    </row>
    <row r="248" spans="11:19" x14ac:dyDescent="0.25">
      <c r="K248" s="400"/>
      <c r="Q248" s="159"/>
      <c r="R248" s="297"/>
      <c r="S248" s="247"/>
    </row>
    <row r="249" spans="11:19" x14ac:dyDescent="0.25">
      <c r="K249" s="400"/>
      <c r="Q249" s="159"/>
      <c r="R249" s="297"/>
      <c r="S249" s="247"/>
    </row>
    <row r="250" spans="11:19" x14ac:dyDescent="0.25">
      <c r="K250" s="400"/>
      <c r="Q250" s="159"/>
      <c r="R250" s="297"/>
      <c r="S250" s="247"/>
    </row>
    <row r="251" spans="11:19" x14ac:dyDescent="0.25">
      <c r="K251" s="400"/>
      <c r="Q251" s="159"/>
      <c r="R251" s="297"/>
      <c r="S251" s="247"/>
    </row>
    <row r="252" spans="11:19" x14ac:dyDescent="0.25">
      <c r="K252" s="400"/>
      <c r="Q252" s="159"/>
      <c r="R252" s="297"/>
      <c r="S252" s="247"/>
    </row>
    <row r="253" spans="11:19" x14ac:dyDescent="0.25">
      <c r="K253" s="400"/>
      <c r="Q253" s="159"/>
      <c r="R253" s="297"/>
      <c r="S253" s="247"/>
    </row>
    <row r="254" spans="11:19" x14ac:dyDescent="0.25">
      <c r="K254" s="400"/>
      <c r="Q254" s="159"/>
      <c r="R254" s="297"/>
      <c r="S254" s="247"/>
    </row>
    <row r="255" spans="11:19" x14ac:dyDescent="0.25">
      <c r="K255" s="400"/>
      <c r="Q255" s="159"/>
      <c r="R255" s="297"/>
      <c r="S255" s="247"/>
    </row>
    <row r="256" spans="11:19" x14ac:dyDescent="0.25">
      <c r="K256" s="400"/>
      <c r="Q256" s="159"/>
      <c r="R256" s="297"/>
      <c r="S256" s="247"/>
    </row>
    <row r="257" spans="11:19" x14ac:dyDescent="0.25">
      <c r="K257" s="400"/>
      <c r="Q257" s="159"/>
      <c r="R257" s="297"/>
      <c r="S257" s="247"/>
    </row>
    <row r="258" spans="11:19" x14ac:dyDescent="0.25">
      <c r="K258" s="400"/>
      <c r="Q258" s="159"/>
      <c r="R258" s="297"/>
      <c r="S258" s="247"/>
    </row>
    <row r="259" spans="11:19" x14ac:dyDescent="0.25">
      <c r="K259" s="400"/>
      <c r="Q259" s="159"/>
      <c r="R259" s="297"/>
      <c r="S259" s="247"/>
    </row>
    <row r="260" spans="11:19" x14ac:dyDescent="0.25">
      <c r="K260" s="400"/>
      <c r="Q260" s="159"/>
      <c r="R260" s="297"/>
      <c r="S260" s="247"/>
    </row>
    <row r="261" spans="11:19" x14ac:dyDescent="0.25">
      <c r="K261" s="400"/>
      <c r="Q261" s="159"/>
      <c r="R261" s="297"/>
      <c r="S261" s="247"/>
    </row>
    <row r="262" spans="11:19" x14ac:dyDescent="0.25">
      <c r="K262" s="400"/>
      <c r="Q262" s="159"/>
      <c r="R262" s="297"/>
      <c r="S262" s="247"/>
    </row>
    <row r="263" spans="11:19" x14ac:dyDescent="0.25">
      <c r="K263" s="400"/>
      <c r="Q263" s="159"/>
      <c r="R263" s="297"/>
      <c r="S263" s="247"/>
    </row>
    <row r="264" spans="11:19" x14ac:dyDescent="0.25">
      <c r="K264" s="400"/>
      <c r="Q264" s="159"/>
      <c r="R264" s="297"/>
      <c r="S264" s="247"/>
    </row>
    <row r="265" spans="11:19" x14ac:dyDescent="0.25">
      <c r="K265" s="400"/>
      <c r="Q265" s="159"/>
      <c r="R265" s="297"/>
      <c r="S265" s="247"/>
    </row>
    <row r="266" spans="11:19" x14ac:dyDescent="0.25">
      <c r="K266" s="400"/>
      <c r="Q266" s="159"/>
      <c r="R266" s="297"/>
      <c r="S266" s="247"/>
    </row>
    <row r="267" spans="11:19" x14ac:dyDescent="0.25">
      <c r="K267" s="400"/>
      <c r="Q267" s="159"/>
      <c r="R267" s="297"/>
      <c r="S267" s="247"/>
    </row>
    <row r="268" spans="11:19" x14ac:dyDescent="0.25">
      <c r="K268" s="400"/>
      <c r="Q268" s="159"/>
      <c r="R268" s="297"/>
      <c r="S268" s="247"/>
    </row>
    <row r="269" spans="11:19" x14ac:dyDescent="0.25">
      <c r="K269" s="400"/>
      <c r="Q269" s="159"/>
      <c r="R269" s="297"/>
      <c r="S269" s="247"/>
    </row>
    <row r="270" spans="11:19" x14ac:dyDescent="0.25">
      <c r="K270" s="400"/>
      <c r="Q270" s="159"/>
      <c r="R270" s="297"/>
      <c r="S270" s="247"/>
    </row>
    <row r="271" spans="11:19" x14ac:dyDescent="0.25">
      <c r="K271" s="400"/>
      <c r="Q271" s="159"/>
      <c r="R271" s="297"/>
      <c r="S271" s="247"/>
    </row>
    <row r="272" spans="11:19" x14ac:dyDescent="0.25">
      <c r="K272" s="400"/>
      <c r="Q272" s="159"/>
      <c r="R272" s="297"/>
      <c r="S272" s="247"/>
    </row>
    <row r="273" spans="11:19" x14ac:dyDescent="0.25">
      <c r="K273" s="400"/>
      <c r="Q273" s="159"/>
      <c r="R273" s="297"/>
      <c r="S273" s="247"/>
    </row>
    <row r="274" spans="11:19" x14ac:dyDescent="0.25">
      <c r="K274" s="400"/>
      <c r="Q274" s="159"/>
      <c r="R274" s="297"/>
      <c r="S274" s="247"/>
    </row>
    <row r="275" spans="11:19" x14ac:dyDescent="0.25">
      <c r="K275" s="400"/>
      <c r="Q275" s="159"/>
      <c r="R275" s="297"/>
      <c r="S275" s="247"/>
    </row>
    <row r="276" spans="11:19" x14ac:dyDescent="0.25">
      <c r="K276" s="400"/>
      <c r="Q276" s="159"/>
      <c r="R276" s="297"/>
      <c r="S276" s="247"/>
    </row>
    <row r="277" spans="11:19" x14ac:dyDescent="0.25">
      <c r="K277" s="400"/>
      <c r="Q277" s="159"/>
      <c r="R277" s="297"/>
      <c r="S277" s="247"/>
    </row>
    <row r="278" spans="11:19" x14ac:dyDescent="0.25">
      <c r="K278" s="400"/>
      <c r="Q278" s="159"/>
      <c r="R278" s="297"/>
      <c r="S278" s="247"/>
    </row>
    <row r="279" spans="11:19" x14ac:dyDescent="0.25">
      <c r="K279" s="400"/>
      <c r="Q279" s="159"/>
      <c r="R279" s="297"/>
      <c r="S279" s="247"/>
    </row>
    <row r="280" spans="11:19" x14ac:dyDescent="0.25">
      <c r="K280" s="400"/>
      <c r="Q280" s="159"/>
      <c r="R280" s="297"/>
      <c r="S280" s="247"/>
    </row>
    <row r="281" spans="11:19" x14ac:dyDescent="0.25">
      <c r="K281" s="400"/>
      <c r="Q281" s="159"/>
      <c r="R281" s="297"/>
      <c r="S281" s="247"/>
    </row>
    <row r="282" spans="11:19" x14ac:dyDescent="0.25">
      <c r="K282" s="400"/>
      <c r="Q282" s="159"/>
      <c r="R282" s="297"/>
      <c r="S282" s="247"/>
    </row>
    <row r="283" spans="11:19" x14ac:dyDescent="0.25">
      <c r="K283" s="400"/>
      <c r="Q283" s="159"/>
      <c r="R283" s="297"/>
      <c r="S283" s="247"/>
    </row>
    <row r="284" spans="11:19" x14ac:dyDescent="0.25">
      <c r="K284" s="400"/>
      <c r="Q284" s="159"/>
      <c r="R284" s="297"/>
      <c r="S284" s="247"/>
    </row>
    <row r="285" spans="11:19" x14ac:dyDescent="0.25">
      <c r="K285" s="400"/>
      <c r="Q285" s="159"/>
      <c r="R285" s="297"/>
      <c r="S285" s="247"/>
    </row>
    <row r="286" spans="11:19" x14ac:dyDescent="0.25">
      <c r="K286" s="400"/>
      <c r="Q286" s="159"/>
      <c r="R286" s="297"/>
      <c r="S286" s="247"/>
    </row>
    <row r="287" spans="11:19" x14ac:dyDescent="0.25">
      <c r="K287" s="400"/>
      <c r="Q287" s="159"/>
      <c r="R287" s="297"/>
      <c r="S287" s="247"/>
    </row>
    <row r="288" spans="11:19" x14ac:dyDescent="0.25">
      <c r="K288" s="400"/>
      <c r="Q288" s="159"/>
      <c r="R288" s="297"/>
      <c r="S288" s="247"/>
    </row>
    <row r="289" spans="11:19" x14ac:dyDescent="0.25">
      <c r="K289" s="400"/>
      <c r="Q289" s="159"/>
      <c r="R289" s="297"/>
      <c r="S289" s="247"/>
    </row>
    <row r="290" spans="11:19" x14ac:dyDescent="0.25">
      <c r="K290" s="400"/>
      <c r="Q290" s="159"/>
      <c r="R290" s="297"/>
      <c r="S290" s="247"/>
    </row>
    <row r="291" spans="11:19" x14ac:dyDescent="0.25">
      <c r="K291" s="400"/>
      <c r="Q291" s="159"/>
      <c r="R291" s="297"/>
      <c r="S291" s="247"/>
    </row>
    <row r="292" spans="11:19" x14ac:dyDescent="0.25">
      <c r="K292" s="400"/>
      <c r="Q292" s="159"/>
      <c r="R292" s="297"/>
      <c r="S292" s="247"/>
    </row>
    <row r="293" spans="11:19" x14ac:dyDescent="0.25">
      <c r="K293" s="400"/>
      <c r="Q293" s="159"/>
      <c r="R293" s="297"/>
      <c r="S293" s="247"/>
    </row>
    <row r="294" spans="11:19" x14ac:dyDescent="0.25">
      <c r="K294" s="400"/>
      <c r="Q294" s="159"/>
      <c r="R294" s="297"/>
      <c r="S294" s="247"/>
    </row>
    <row r="295" spans="11:19" x14ac:dyDescent="0.25">
      <c r="K295" s="400"/>
      <c r="Q295" s="159"/>
      <c r="R295" s="297"/>
      <c r="S295" s="247"/>
    </row>
    <row r="296" spans="11:19" x14ac:dyDescent="0.25">
      <c r="K296" s="400"/>
      <c r="Q296" s="159"/>
      <c r="R296" s="297"/>
      <c r="S296" s="247"/>
    </row>
    <row r="297" spans="11:19" x14ac:dyDescent="0.25">
      <c r="K297" s="400"/>
      <c r="Q297" s="159"/>
      <c r="R297" s="297"/>
      <c r="S297" s="247"/>
    </row>
    <row r="298" spans="11:19" x14ac:dyDescent="0.25">
      <c r="K298" s="400"/>
      <c r="Q298" s="159"/>
      <c r="R298" s="297"/>
      <c r="S298" s="247"/>
    </row>
    <row r="299" spans="11:19" x14ac:dyDescent="0.25">
      <c r="K299" s="400"/>
      <c r="Q299" s="159"/>
      <c r="R299" s="297"/>
      <c r="S299" s="247"/>
    </row>
    <row r="300" spans="11:19" x14ac:dyDescent="0.25">
      <c r="K300" s="400"/>
      <c r="Q300" s="159"/>
      <c r="R300" s="297"/>
      <c r="S300" s="247"/>
    </row>
    <row r="301" spans="11:19" x14ac:dyDescent="0.25">
      <c r="K301" s="400"/>
      <c r="Q301" s="159"/>
      <c r="R301" s="297"/>
      <c r="S301" s="247"/>
    </row>
    <row r="302" spans="11:19" x14ac:dyDescent="0.25">
      <c r="K302" s="400"/>
      <c r="Q302" s="159"/>
      <c r="R302" s="297"/>
      <c r="S302" s="247"/>
    </row>
    <row r="303" spans="11:19" x14ac:dyDescent="0.25">
      <c r="K303" s="400"/>
      <c r="Q303" s="159"/>
      <c r="R303" s="297"/>
      <c r="S303" s="247"/>
    </row>
    <row r="304" spans="11:19" x14ac:dyDescent="0.25">
      <c r="K304" s="400"/>
      <c r="Q304" s="159"/>
      <c r="R304" s="297"/>
      <c r="S304" s="247"/>
    </row>
    <row r="305" spans="11:19" x14ac:dyDescent="0.25">
      <c r="K305" s="400"/>
      <c r="Q305" s="159"/>
      <c r="R305" s="297"/>
      <c r="S305" s="247"/>
    </row>
    <row r="306" spans="11:19" x14ac:dyDescent="0.25">
      <c r="K306" s="400"/>
      <c r="Q306" s="159"/>
      <c r="R306" s="297"/>
      <c r="S306" s="247"/>
    </row>
    <row r="307" spans="11:19" x14ac:dyDescent="0.25">
      <c r="K307" s="400"/>
      <c r="Q307" s="159"/>
      <c r="R307" s="297"/>
      <c r="S307" s="247"/>
    </row>
    <row r="308" spans="11:19" x14ac:dyDescent="0.25">
      <c r="K308" s="400"/>
      <c r="Q308" s="159"/>
      <c r="R308" s="297"/>
      <c r="S308" s="247"/>
    </row>
    <row r="309" spans="11:19" x14ac:dyDescent="0.25">
      <c r="K309" s="400"/>
      <c r="Q309" s="159"/>
      <c r="R309" s="297"/>
      <c r="S309" s="247"/>
    </row>
    <row r="310" spans="11:19" x14ac:dyDescent="0.25">
      <c r="K310" s="400"/>
      <c r="Q310" s="159"/>
      <c r="R310" s="297"/>
      <c r="S310" s="247"/>
    </row>
    <row r="311" spans="11:19" x14ac:dyDescent="0.25">
      <c r="K311" s="400"/>
      <c r="Q311" s="159"/>
      <c r="R311" s="297"/>
      <c r="S311" s="247"/>
    </row>
    <row r="312" spans="11:19" x14ac:dyDescent="0.25">
      <c r="K312" s="400"/>
      <c r="Q312" s="159"/>
      <c r="R312" s="297"/>
      <c r="S312" s="247"/>
    </row>
    <row r="313" spans="11:19" x14ac:dyDescent="0.25">
      <c r="K313" s="400"/>
      <c r="Q313" s="159"/>
      <c r="R313" s="297"/>
      <c r="S313" s="247"/>
    </row>
    <row r="314" spans="11:19" x14ac:dyDescent="0.25">
      <c r="K314" s="400"/>
      <c r="Q314" s="159"/>
      <c r="R314" s="297"/>
      <c r="S314" s="247"/>
    </row>
    <row r="315" spans="11:19" x14ac:dyDescent="0.25">
      <c r="K315" s="400"/>
      <c r="Q315" s="159"/>
      <c r="R315" s="297"/>
      <c r="S315" s="247"/>
    </row>
    <row r="316" spans="11:19" x14ac:dyDescent="0.25">
      <c r="K316" s="400"/>
      <c r="Q316" s="159"/>
      <c r="R316" s="297"/>
      <c r="S316" s="247"/>
    </row>
    <row r="317" spans="11:19" x14ac:dyDescent="0.25">
      <c r="K317" s="400"/>
      <c r="Q317" s="159"/>
      <c r="R317" s="297"/>
      <c r="S317" s="247"/>
    </row>
    <row r="318" spans="11:19" x14ac:dyDescent="0.25">
      <c r="K318" s="400"/>
      <c r="Q318" s="159"/>
      <c r="R318" s="297"/>
      <c r="S318" s="247"/>
    </row>
    <row r="319" spans="11:19" x14ac:dyDescent="0.25">
      <c r="K319" s="400"/>
      <c r="Q319" s="159"/>
      <c r="R319" s="297"/>
      <c r="S319" s="247"/>
    </row>
    <row r="320" spans="11:19" x14ac:dyDescent="0.25">
      <c r="K320" s="400"/>
      <c r="Q320" s="159"/>
      <c r="R320" s="297"/>
      <c r="S320" s="247"/>
    </row>
    <row r="321" spans="11:19" x14ac:dyDescent="0.25">
      <c r="K321" s="400"/>
      <c r="Q321" s="159"/>
      <c r="R321" s="297"/>
      <c r="S321" s="247"/>
    </row>
    <row r="322" spans="11:19" x14ac:dyDescent="0.25">
      <c r="K322" s="400"/>
      <c r="Q322" s="159"/>
      <c r="R322" s="297"/>
      <c r="S322" s="247"/>
    </row>
    <row r="323" spans="11:19" x14ac:dyDescent="0.25">
      <c r="K323" s="400"/>
      <c r="Q323" s="159"/>
      <c r="R323" s="297"/>
      <c r="S323" s="247"/>
    </row>
    <row r="324" spans="11:19" x14ac:dyDescent="0.25">
      <c r="K324" s="400"/>
      <c r="Q324" s="159"/>
      <c r="R324" s="297"/>
      <c r="S324" s="247"/>
    </row>
    <row r="325" spans="11:19" x14ac:dyDescent="0.25">
      <c r="K325" s="400"/>
      <c r="Q325" s="159"/>
      <c r="R325" s="297"/>
      <c r="S325" s="247"/>
    </row>
    <row r="326" spans="11:19" x14ac:dyDescent="0.25">
      <c r="K326" s="400"/>
      <c r="Q326" s="159"/>
      <c r="R326" s="297"/>
      <c r="S326" s="247"/>
    </row>
    <row r="327" spans="11:19" x14ac:dyDescent="0.25">
      <c r="K327" s="400"/>
      <c r="Q327" s="159"/>
      <c r="R327" s="297"/>
      <c r="S327" s="247"/>
    </row>
    <row r="328" spans="11:19" x14ac:dyDescent="0.25">
      <c r="K328" s="400"/>
      <c r="Q328" s="159"/>
      <c r="R328" s="297"/>
      <c r="S328" s="247"/>
    </row>
    <row r="329" spans="11:19" x14ac:dyDescent="0.25">
      <c r="K329" s="400"/>
      <c r="Q329" s="159"/>
      <c r="R329" s="297"/>
      <c r="S329" s="247"/>
    </row>
    <row r="330" spans="11:19" x14ac:dyDescent="0.25">
      <c r="K330" s="400"/>
      <c r="Q330" s="159"/>
      <c r="R330" s="297"/>
      <c r="S330" s="247"/>
    </row>
    <row r="331" spans="11:19" x14ac:dyDescent="0.25">
      <c r="K331" s="400"/>
      <c r="Q331" s="159"/>
      <c r="R331" s="297"/>
      <c r="S331" s="247"/>
    </row>
    <row r="332" spans="11:19" x14ac:dyDescent="0.25">
      <c r="K332" s="400"/>
      <c r="Q332" s="159"/>
      <c r="R332" s="297"/>
      <c r="S332" s="247"/>
    </row>
    <row r="333" spans="11:19" x14ac:dyDescent="0.25">
      <c r="K333" s="400"/>
      <c r="Q333" s="159"/>
      <c r="R333" s="297"/>
      <c r="S333" s="247"/>
    </row>
    <row r="334" spans="11:19" x14ac:dyDescent="0.25">
      <c r="K334" s="400"/>
      <c r="Q334" s="159"/>
      <c r="R334" s="297"/>
      <c r="S334" s="247"/>
    </row>
    <row r="335" spans="11:19" x14ac:dyDescent="0.25">
      <c r="K335" s="400"/>
      <c r="Q335" s="159"/>
      <c r="R335" s="297"/>
      <c r="S335" s="247"/>
    </row>
    <row r="336" spans="11:19" x14ac:dyDescent="0.25">
      <c r="K336" s="400"/>
      <c r="Q336" s="159"/>
      <c r="R336" s="297"/>
      <c r="S336" s="247"/>
    </row>
    <row r="337" spans="11:19" x14ac:dyDescent="0.25">
      <c r="K337" s="400"/>
      <c r="Q337" s="159"/>
      <c r="R337" s="297"/>
      <c r="S337" s="247"/>
    </row>
    <row r="338" spans="11:19" x14ac:dyDescent="0.25">
      <c r="K338" s="400"/>
      <c r="Q338" s="159"/>
      <c r="R338" s="297"/>
      <c r="S338" s="247"/>
    </row>
    <row r="339" spans="11:19" x14ac:dyDescent="0.25">
      <c r="K339" s="400"/>
      <c r="Q339" s="159"/>
      <c r="R339" s="297"/>
      <c r="S339" s="247"/>
    </row>
    <row r="340" spans="11:19" x14ac:dyDescent="0.25">
      <c r="K340" s="400"/>
      <c r="Q340" s="159"/>
      <c r="R340" s="297"/>
      <c r="S340" s="247"/>
    </row>
    <row r="341" spans="11:19" x14ac:dyDescent="0.25">
      <c r="K341" s="400"/>
      <c r="Q341" s="159"/>
      <c r="R341" s="297"/>
      <c r="S341" s="247"/>
    </row>
    <row r="342" spans="11:19" x14ac:dyDescent="0.25">
      <c r="K342" s="400"/>
      <c r="Q342" s="159"/>
      <c r="R342" s="297"/>
      <c r="S342" s="247"/>
    </row>
    <row r="343" spans="11:19" x14ac:dyDescent="0.25">
      <c r="K343" s="400"/>
      <c r="Q343" s="159"/>
      <c r="R343" s="297"/>
      <c r="S343" s="247"/>
    </row>
    <row r="344" spans="11:19" x14ac:dyDescent="0.25">
      <c r="K344" s="400"/>
      <c r="Q344" s="159"/>
      <c r="R344" s="297"/>
      <c r="S344" s="247"/>
    </row>
    <row r="345" spans="11:19" x14ac:dyDescent="0.25">
      <c r="K345" s="400"/>
      <c r="Q345" s="159"/>
      <c r="R345" s="297"/>
      <c r="S345" s="247"/>
    </row>
    <row r="346" spans="11:19" x14ac:dyDescent="0.25">
      <c r="K346" s="400"/>
      <c r="Q346" s="159"/>
      <c r="R346" s="297"/>
      <c r="S346" s="247"/>
    </row>
    <row r="347" spans="11:19" x14ac:dyDescent="0.25">
      <c r="K347" s="400"/>
      <c r="Q347" s="159"/>
      <c r="R347" s="297"/>
      <c r="S347" s="247"/>
    </row>
    <row r="348" spans="11:19" x14ac:dyDescent="0.25">
      <c r="K348" s="400"/>
      <c r="Q348" s="159"/>
      <c r="R348" s="297"/>
      <c r="S348" s="247"/>
    </row>
    <row r="349" spans="11:19" x14ac:dyDescent="0.25">
      <c r="K349" s="400"/>
      <c r="Q349" s="159"/>
      <c r="R349" s="297"/>
      <c r="S349" s="247"/>
    </row>
    <row r="350" spans="11:19" x14ac:dyDescent="0.25">
      <c r="K350" s="400"/>
      <c r="Q350" s="159"/>
      <c r="R350" s="297"/>
      <c r="S350" s="247"/>
    </row>
    <row r="351" spans="11:19" x14ac:dyDescent="0.25">
      <c r="K351" s="400"/>
      <c r="Q351" s="159"/>
      <c r="R351" s="297"/>
      <c r="S351" s="247"/>
    </row>
    <row r="352" spans="11:19" x14ac:dyDescent="0.25">
      <c r="K352" s="400"/>
      <c r="Q352" s="159"/>
      <c r="R352" s="297"/>
      <c r="S352" s="247"/>
    </row>
    <row r="353" spans="11:19" x14ac:dyDescent="0.25">
      <c r="K353" s="400"/>
      <c r="Q353" s="159"/>
      <c r="R353" s="297"/>
      <c r="S353" s="247"/>
    </row>
    <row r="354" spans="11:19" x14ac:dyDescent="0.25">
      <c r="K354" s="400"/>
      <c r="Q354" s="159"/>
      <c r="R354" s="297"/>
      <c r="S354" s="247"/>
    </row>
    <row r="355" spans="11:19" x14ac:dyDescent="0.25">
      <c r="K355" s="400"/>
      <c r="Q355" s="159"/>
      <c r="R355" s="297"/>
      <c r="S355" s="247"/>
    </row>
    <row r="356" spans="11:19" x14ac:dyDescent="0.25">
      <c r="K356" s="400"/>
      <c r="Q356" s="159"/>
      <c r="R356" s="297"/>
      <c r="S356" s="247"/>
    </row>
    <row r="357" spans="11:19" x14ac:dyDescent="0.25">
      <c r="K357" s="400"/>
      <c r="Q357" s="159"/>
      <c r="R357" s="297"/>
      <c r="S357" s="247"/>
    </row>
    <row r="358" spans="11:19" x14ac:dyDescent="0.25">
      <c r="K358" s="400"/>
      <c r="Q358" s="159"/>
      <c r="R358" s="297"/>
      <c r="S358" s="247"/>
    </row>
    <row r="359" spans="11:19" x14ac:dyDescent="0.25">
      <c r="K359" s="400"/>
      <c r="Q359" s="159"/>
      <c r="R359" s="297"/>
      <c r="S359" s="247"/>
    </row>
    <row r="360" spans="11:19" x14ac:dyDescent="0.25">
      <c r="K360" s="400"/>
      <c r="Q360" s="159"/>
      <c r="R360" s="297"/>
      <c r="S360" s="247"/>
    </row>
    <row r="361" spans="11:19" x14ac:dyDescent="0.25">
      <c r="K361" s="400"/>
      <c r="Q361" s="159"/>
      <c r="R361" s="297"/>
      <c r="S361" s="247"/>
    </row>
    <row r="362" spans="11:19" x14ac:dyDescent="0.25">
      <c r="K362" s="400"/>
      <c r="Q362" s="159"/>
      <c r="R362" s="297"/>
      <c r="S362" s="247"/>
    </row>
    <row r="363" spans="11:19" x14ac:dyDescent="0.25">
      <c r="K363" s="400"/>
      <c r="Q363" s="159"/>
      <c r="R363" s="297"/>
      <c r="S363" s="247"/>
    </row>
    <row r="364" spans="11:19" x14ac:dyDescent="0.25">
      <c r="K364" s="400"/>
      <c r="Q364" s="159"/>
      <c r="R364" s="297"/>
      <c r="S364" s="247"/>
    </row>
    <row r="365" spans="11:19" x14ac:dyDescent="0.25">
      <c r="K365" s="400"/>
      <c r="Q365" s="159"/>
      <c r="R365" s="297"/>
      <c r="S365" s="247"/>
    </row>
    <row r="366" spans="11:19" x14ac:dyDescent="0.25">
      <c r="K366" s="400"/>
      <c r="Q366" s="159"/>
      <c r="R366" s="297"/>
      <c r="S366" s="247"/>
    </row>
    <row r="367" spans="11:19" x14ac:dyDescent="0.25">
      <c r="K367" s="400"/>
      <c r="Q367" s="159"/>
      <c r="R367" s="297"/>
      <c r="S367" s="247"/>
    </row>
    <row r="368" spans="11:19" x14ac:dyDescent="0.25">
      <c r="K368" s="400"/>
      <c r="Q368" s="159"/>
      <c r="R368" s="297"/>
      <c r="S368" s="247"/>
    </row>
    <row r="369" spans="11:19" x14ac:dyDescent="0.25">
      <c r="K369" s="400"/>
      <c r="Q369" s="159"/>
      <c r="R369" s="297"/>
      <c r="S369" s="247"/>
    </row>
    <row r="370" spans="11:19" x14ac:dyDescent="0.25">
      <c r="K370" s="400"/>
      <c r="Q370" s="159"/>
      <c r="R370" s="297"/>
      <c r="S370" s="247"/>
    </row>
    <row r="371" spans="11:19" x14ac:dyDescent="0.25">
      <c r="K371" s="400"/>
      <c r="Q371" s="159"/>
      <c r="R371" s="297"/>
      <c r="S371" s="247"/>
    </row>
    <row r="372" spans="11:19" x14ac:dyDescent="0.25">
      <c r="K372" s="400"/>
      <c r="Q372" s="159"/>
      <c r="R372" s="297"/>
      <c r="S372" s="247"/>
    </row>
    <row r="373" spans="11:19" x14ac:dyDescent="0.25">
      <c r="K373" s="400"/>
      <c r="Q373" s="159"/>
      <c r="R373" s="297"/>
      <c r="S373" s="247"/>
    </row>
    <row r="374" spans="11:19" x14ac:dyDescent="0.25">
      <c r="K374" s="400"/>
      <c r="Q374" s="159"/>
      <c r="R374" s="297"/>
      <c r="S374" s="247"/>
    </row>
    <row r="375" spans="11:19" x14ac:dyDescent="0.25">
      <c r="K375" s="400"/>
      <c r="Q375" s="159"/>
      <c r="R375" s="297"/>
      <c r="S375" s="247"/>
    </row>
    <row r="376" spans="11:19" x14ac:dyDescent="0.25">
      <c r="K376" s="400"/>
      <c r="Q376" s="159"/>
      <c r="R376" s="297"/>
      <c r="S376" s="247"/>
    </row>
    <row r="377" spans="11:19" x14ac:dyDescent="0.25">
      <c r="K377" s="400"/>
      <c r="Q377" s="159"/>
      <c r="R377" s="297"/>
      <c r="S377" s="247"/>
    </row>
    <row r="378" spans="11:19" x14ac:dyDescent="0.25">
      <c r="K378" s="400"/>
      <c r="Q378" s="159"/>
      <c r="R378" s="297"/>
      <c r="S378" s="247"/>
    </row>
    <row r="379" spans="11:19" x14ac:dyDescent="0.25">
      <c r="K379" s="400"/>
      <c r="Q379" s="159"/>
      <c r="R379" s="297"/>
      <c r="S379" s="247"/>
    </row>
    <row r="380" spans="11:19" x14ac:dyDescent="0.25">
      <c r="K380" s="400"/>
      <c r="Q380" s="159"/>
      <c r="R380" s="297"/>
      <c r="S380" s="247"/>
    </row>
    <row r="381" spans="11:19" x14ac:dyDescent="0.25">
      <c r="K381" s="400"/>
      <c r="Q381" s="159"/>
      <c r="R381" s="297"/>
      <c r="S381" s="247"/>
    </row>
    <row r="382" spans="11:19" x14ac:dyDescent="0.25">
      <c r="K382" s="400"/>
      <c r="Q382" s="159"/>
      <c r="R382" s="297"/>
      <c r="S382" s="247"/>
    </row>
    <row r="383" spans="11:19" x14ac:dyDescent="0.25">
      <c r="K383" s="400"/>
      <c r="Q383" s="159"/>
      <c r="R383" s="297"/>
      <c r="S383" s="247"/>
    </row>
    <row r="384" spans="11:19" x14ac:dyDescent="0.25">
      <c r="K384" s="400"/>
      <c r="Q384" s="159"/>
      <c r="R384" s="297"/>
      <c r="S384" s="247"/>
    </row>
    <row r="385" spans="11:19" x14ac:dyDescent="0.25">
      <c r="K385" s="400"/>
      <c r="Q385" s="159"/>
      <c r="R385" s="297"/>
      <c r="S385" s="247"/>
    </row>
    <row r="386" spans="11:19" x14ac:dyDescent="0.25">
      <c r="K386" s="400"/>
      <c r="Q386" s="159"/>
      <c r="R386" s="297"/>
      <c r="S386" s="247"/>
    </row>
    <row r="387" spans="11:19" x14ac:dyDescent="0.25">
      <c r="K387" s="400"/>
      <c r="Q387" s="159"/>
      <c r="R387" s="297"/>
      <c r="S387" s="247"/>
    </row>
    <row r="388" spans="11:19" x14ac:dyDescent="0.25">
      <c r="K388" s="400"/>
      <c r="Q388" s="159"/>
      <c r="R388" s="297"/>
      <c r="S388" s="247"/>
    </row>
    <row r="389" spans="11:19" x14ac:dyDescent="0.25">
      <c r="K389" s="400"/>
      <c r="Q389" s="159"/>
      <c r="R389" s="297"/>
      <c r="S389" s="247"/>
    </row>
    <row r="390" spans="11:19" x14ac:dyDescent="0.25">
      <c r="K390" s="400"/>
      <c r="Q390" s="159"/>
      <c r="R390" s="297"/>
      <c r="S390" s="247"/>
    </row>
    <row r="391" spans="11:19" x14ac:dyDescent="0.25">
      <c r="K391" s="400"/>
      <c r="Q391" s="159"/>
      <c r="R391" s="297"/>
      <c r="S391" s="247"/>
    </row>
    <row r="392" spans="11:19" x14ac:dyDescent="0.25">
      <c r="K392" s="400"/>
      <c r="Q392" s="159"/>
      <c r="R392" s="297"/>
      <c r="S392" s="247"/>
    </row>
    <row r="393" spans="11:19" x14ac:dyDescent="0.25">
      <c r="K393" s="400"/>
      <c r="Q393" s="159"/>
      <c r="R393" s="297"/>
      <c r="S393" s="247"/>
    </row>
    <row r="394" spans="11:19" x14ac:dyDescent="0.25">
      <c r="K394" s="400"/>
      <c r="Q394" s="159"/>
      <c r="R394" s="297"/>
      <c r="S394" s="247"/>
    </row>
    <row r="395" spans="11:19" x14ac:dyDescent="0.25">
      <c r="K395" s="400"/>
      <c r="Q395" s="159"/>
      <c r="R395" s="297"/>
      <c r="S395" s="247"/>
    </row>
    <row r="396" spans="11:19" x14ac:dyDescent="0.25">
      <c r="K396" s="400"/>
      <c r="Q396" s="159"/>
      <c r="R396" s="297"/>
      <c r="S396" s="247"/>
    </row>
    <row r="397" spans="11:19" x14ac:dyDescent="0.25">
      <c r="K397" s="400"/>
      <c r="Q397" s="159"/>
      <c r="R397" s="297"/>
      <c r="S397" s="247"/>
    </row>
    <row r="398" spans="11:19" x14ac:dyDescent="0.25">
      <c r="K398" s="400"/>
      <c r="Q398" s="159"/>
      <c r="R398" s="297"/>
      <c r="S398" s="247"/>
    </row>
    <row r="399" spans="11:19" x14ac:dyDescent="0.25">
      <c r="K399" s="400"/>
      <c r="Q399" s="159"/>
      <c r="R399" s="297"/>
      <c r="S399" s="247"/>
    </row>
    <row r="400" spans="11:19" x14ac:dyDescent="0.25">
      <c r="K400" s="400"/>
      <c r="Q400" s="159"/>
      <c r="R400" s="297"/>
      <c r="S400" s="247"/>
    </row>
    <row r="401" spans="11:19" x14ac:dyDescent="0.25">
      <c r="K401" s="400"/>
      <c r="Q401" s="159"/>
      <c r="R401" s="297"/>
      <c r="S401" s="247"/>
    </row>
    <row r="402" spans="11:19" x14ac:dyDescent="0.25">
      <c r="K402" s="400"/>
      <c r="Q402" s="159"/>
      <c r="R402" s="297"/>
      <c r="S402" s="247"/>
    </row>
    <row r="403" spans="11:19" x14ac:dyDescent="0.25">
      <c r="K403" s="400"/>
      <c r="Q403" s="159"/>
      <c r="R403" s="297"/>
      <c r="S403" s="247"/>
    </row>
    <row r="404" spans="11:19" x14ac:dyDescent="0.25">
      <c r="K404" s="400"/>
      <c r="Q404" s="159"/>
      <c r="R404" s="297"/>
      <c r="S404" s="247"/>
    </row>
    <row r="405" spans="11:19" x14ac:dyDescent="0.25">
      <c r="K405" s="400"/>
      <c r="Q405" s="159"/>
      <c r="R405" s="297"/>
      <c r="S405" s="247"/>
    </row>
    <row r="406" spans="11:19" x14ac:dyDescent="0.25">
      <c r="K406" s="400"/>
      <c r="Q406" s="159"/>
      <c r="R406" s="297"/>
      <c r="S406" s="247"/>
    </row>
    <row r="407" spans="11:19" x14ac:dyDescent="0.25">
      <c r="K407" s="400"/>
      <c r="Q407" s="159"/>
      <c r="R407" s="297"/>
      <c r="S407" s="247"/>
    </row>
    <row r="408" spans="11:19" x14ac:dyDescent="0.25">
      <c r="K408" s="400"/>
      <c r="Q408" s="159"/>
      <c r="R408" s="297"/>
      <c r="S408" s="247"/>
    </row>
    <row r="409" spans="11:19" x14ac:dyDescent="0.25">
      <c r="K409" s="400"/>
      <c r="Q409" s="159"/>
      <c r="R409" s="297"/>
      <c r="S409" s="247"/>
    </row>
    <row r="410" spans="11:19" x14ac:dyDescent="0.25">
      <c r="K410" s="400"/>
      <c r="Q410" s="159"/>
      <c r="R410" s="297"/>
      <c r="S410" s="247"/>
    </row>
    <row r="411" spans="11:19" x14ac:dyDescent="0.25">
      <c r="K411" s="400"/>
      <c r="Q411" s="159"/>
      <c r="R411" s="297"/>
      <c r="S411" s="247"/>
    </row>
    <row r="412" spans="11:19" x14ac:dyDescent="0.25">
      <c r="K412" s="400"/>
      <c r="Q412" s="159"/>
      <c r="R412" s="297"/>
      <c r="S412" s="247"/>
    </row>
    <row r="413" spans="11:19" x14ac:dyDescent="0.25">
      <c r="K413" s="400"/>
      <c r="Q413" s="159"/>
      <c r="R413" s="297"/>
      <c r="S413" s="247"/>
    </row>
    <row r="414" spans="11:19" x14ac:dyDescent="0.25">
      <c r="K414" s="400"/>
      <c r="Q414" s="159"/>
      <c r="R414" s="297"/>
      <c r="S414" s="247"/>
    </row>
    <row r="415" spans="11:19" x14ac:dyDescent="0.25">
      <c r="K415" s="400"/>
      <c r="Q415" s="159"/>
      <c r="R415" s="297"/>
      <c r="S415" s="247"/>
    </row>
    <row r="416" spans="11:19" x14ac:dyDescent="0.25">
      <c r="K416" s="400"/>
      <c r="Q416" s="159"/>
      <c r="R416" s="297"/>
      <c r="S416" s="247"/>
    </row>
    <row r="417" spans="11:19" x14ac:dyDescent="0.25">
      <c r="K417" s="400"/>
      <c r="Q417" s="159"/>
      <c r="R417" s="297"/>
      <c r="S417" s="247"/>
    </row>
    <row r="418" spans="11:19" x14ac:dyDescent="0.25">
      <c r="K418" s="400"/>
      <c r="Q418" s="159"/>
      <c r="R418" s="297"/>
      <c r="S418" s="247"/>
    </row>
    <row r="419" spans="11:19" x14ac:dyDescent="0.25">
      <c r="K419" s="400"/>
      <c r="Q419" s="159"/>
      <c r="R419" s="297"/>
      <c r="S419" s="247"/>
    </row>
    <row r="420" spans="11:19" x14ac:dyDescent="0.25">
      <c r="K420" s="400"/>
      <c r="Q420" s="159"/>
      <c r="R420" s="297"/>
      <c r="S420" s="247"/>
    </row>
    <row r="421" spans="11:19" x14ac:dyDescent="0.25">
      <c r="K421" s="400"/>
      <c r="Q421" s="159"/>
      <c r="R421" s="297"/>
      <c r="S421" s="247"/>
    </row>
    <row r="422" spans="11:19" x14ac:dyDescent="0.25">
      <c r="K422" s="400"/>
      <c r="Q422" s="159"/>
      <c r="R422" s="297"/>
      <c r="S422" s="247"/>
    </row>
    <row r="423" spans="11:19" x14ac:dyDescent="0.25">
      <c r="K423" s="400"/>
      <c r="Q423" s="159"/>
      <c r="R423" s="297"/>
      <c r="S423" s="247"/>
    </row>
    <row r="424" spans="11:19" x14ac:dyDescent="0.25">
      <c r="K424" s="400"/>
      <c r="Q424" s="159"/>
      <c r="R424" s="297"/>
      <c r="S424" s="247"/>
    </row>
    <row r="425" spans="11:19" x14ac:dyDescent="0.25">
      <c r="K425" s="400"/>
      <c r="Q425" s="159"/>
      <c r="R425" s="297"/>
      <c r="S425" s="247"/>
    </row>
    <row r="426" spans="11:19" x14ac:dyDescent="0.25">
      <c r="K426" s="400"/>
      <c r="Q426" s="159"/>
      <c r="R426" s="297"/>
      <c r="S426" s="247"/>
    </row>
    <row r="427" spans="11:19" x14ac:dyDescent="0.25">
      <c r="K427" s="400"/>
      <c r="Q427" s="159"/>
      <c r="R427" s="297"/>
      <c r="S427" s="247"/>
    </row>
    <row r="428" spans="11:19" x14ac:dyDescent="0.25">
      <c r="K428" s="400"/>
      <c r="Q428" s="159"/>
      <c r="R428" s="297"/>
      <c r="S428" s="247"/>
    </row>
    <row r="429" spans="11:19" x14ac:dyDescent="0.25">
      <c r="K429" s="400"/>
      <c r="Q429" s="159"/>
      <c r="R429" s="297"/>
      <c r="S429" s="247"/>
    </row>
    <row r="430" spans="11:19" x14ac:dyDescent="0.25">
      <c r="K430" s="400"/>
      <c r="Q430" s="159"/>
      <c r="R430" s="297"/>
      <c r="S430" s="247"/>
    </row>
    <row r="431" spans="11:19" x14ac:dyDescent="0.25">
      <c r="K431" s="400"/>
      <c r="Q431" s="159"/>
      <c r="R431" s="297"/>
      <c r="S431" s="247"/>
    </row>
    <row r="432" spans="11:19" x14ac:dyDescent="0.25">
      <c r="K432" s="400"/>
      <c r="Q432" s="159"/>
      <c r="R432" s="297"/>
      <c r="S432" s="247"/>
    </row>
    <row r="433" spans="11:19" x14ac:dyDescent="0.25">
      <c r="K433" s="400"/>
      <c r="Q433" s="159"/>
      <c r="R433" s="297"/>
      <c r="S433" s="247"/>
    </row>
    <row r="434" spans="11:19" x14ac:dyDescent="0.25">
      <c r="K434" s="400"/>
      <c r="Q434" s="159"/>
      <c r="R434" s="297"/>
      <c r="S434" s="247"/>
    </row>
    <row r="435" spans="11:19" x14ac:dyDescent="0.25">
      <c r="K435" s="400"/>
      <c r="Q435" s="159"/>
      <c r="R435" s="297"/>
      <c r="S435" s="247"/>
    </row>
    <row r="436" spans="11:19" x14ac:dyDescent="0.25">
      <c r="K436" s="400"/>
      <c r="Q436" s="159"/>
      <c r="R436" s="297"/>
      <c r="S436" s="247"/>
    </row>
    <row r="437" spans="11:19" x14ac:dyDescent="0.25">
      <c r="K437" s="400"/>
      <c r="Q437" s="159"/>
      <c r="R437" s="297"/>
      <c r="S437" s="247"/>
    </row>
    <row r="438" spans="11:19" x14ac:dyDescent="0.25">
      <c r="K438" s="400"/>
      <c r="Q438" s="159"/>
      <c r="R438" s="297"/>
      <c r="S438" s="247"/>
    </row>
    <row r="439" spans="11:19" x14ac:dyDescent="0.25">
      <c r="K439" s="400"/>
      <c r="Q439" s="159"/>
      <c r="R439" s="297"/>
      <c r="S439" s="247"/>
    </row>
    <row r="440" spans="11:19" x14ac:dyDescent="0.25">
      <c r="K440" s="400"/>
      <c r="Q440" s="159"/>
      <c r="R440" s="297"/>
      <c r="S440" s="247"/>
    </row>
    <row r="441" spans="11:19" x14ac:dyDescent="0.25">
      <c r="K441" s="400"/>
      <c r="Q441" s="159"/>
      <c r="R441" s="297"/>
      <c r="S441" s="247"/>
    </row>
    <row r="442" spans="11:19" x14ac:dyDescent="0.25">
      <c r="K442" s="400"/>
      <c r="Q442" s="159"/>
      <c r="R442" s="297"/>
      <c r="S442" s="247"/>
    </row>
    <row r="443" spans="11:19" x14ac:dyDescent="0.25">
      <c r="K443" s="400"/>
      <c r="Q443" s="159"/>
      <c r="R443" s="297"/>
      <c r="S443" s="247"/>
    </row>
    <row r="444" spans="11:19" x14ac:dyDescent="0.25">
      <c r="K444" s="400"/>
      <c r="Q444" s="159"/>
      <c r="R444" s="297"/>
      <c r="S444" s="247"/>
    </row>
    <row r="445" spans="11:19" x14ac:dyDescent="0.25">
      <c r="K445" s="400"/>
      <c r="Q445" s="159"/>
      <c r="R445" s="297"/>
      <c r="S445" s="247"/>
    </row>
    <row r="446" spans="11:19" x14ac:dyDescent="0.25">
      <c r="K446" s="400"/>
      <c r="Q446" s="159"/>
      <c r="R446" s="297"/>
      <c r="S446" s="247"/>
    </row>
    <row r="447" spans="11:19" x14ac:dyDescent="0.25">
      <c r="K447" s="400"/>
      <c r="Q447" s="159"/>
      <c r="R447" s="297"/>
      <c r="S447" s="247"/>
    </row>
    <row r="448" spans="11:19" x14ac:dyDescent="0.25">
      <c r="K448" s="400"/>
      <c r="Q448" s="159"/>
      <c r="R448" s="297"/>
      <c r="S448" s="247"/>
    </row>
    <row r="449" spans="11:19" x14ac:dyDescent="0.25">
      <c r="K449" s="400"/>
      <c r="Q449" s="159"/>
      <c r="R449" s="297"/>
      <c r="S449" s="247"/>
    </row>
    <row r="450" spans="11:19" x14ac:dyDescent="0.25">
      <c r="K450" s="400"/>
      <c r="Q450" s="159"/>
      <c r="R450" s="297"/>
      <c r="S450" s="247"/>
    </row>
    <row r="451" spans="11:19" x14ac:dyDescent="0.25">
      <c r="K451" s="400"/>
      <c r="Q451" s="159"/>
      <c r="R451" s="297"/>
      <c r="S451" s="247"/>
    </row>
    <row r="452" spans="11:19" x14ac:dyDescent="0.25">
      <c r="K452" s="400"/>
      <c r="Q452" s="159"/>
      <c r="R452" s="297"/>
      <c r="S452" s="247"/>
    </row>
    <row r="453" spans="11:19" x14ac:dyDescent="0.25">
      <c r="K453" s="400"/>
      <c r="Q453" s="159"/>
      <c r="R453" s="297"/>
      <c r="S453" s="247"/>
    </row>
    <row r="454" spans="11:19" x14ac:dyDescent="0.25">
      <c r="K454" s="400"/>
      <c r="Q454" s="159"/>
      <c r="R454" s="297"/>
      <c r="S454" s="247"/>
    </row>
    <row r="455" spans="11:19" x14ac:dyDescent="0.25">
      <c r="K455" s="400"/>
      <c r="Q455" s="159"/>
      <c r="R455" s="297"/>
      <c r="S455" s="247"/>
    </row>
    <row r="456" spans="11:19" x14ac:dyDescent="0.25">
      <c r="K456" s="400"/>
      <c r="Q456" s="159"/>
      <c r="R456" s="297"/>
      <c r="S456" s="247"/>
    </row>
    <row r="457" spans="11:19" x14ac:dyDescent="0.25">
      <c r="K457" s="400"/>
      <c r="Q457" s="159"/>
      <c r="R457" s="297"/>
      <c r="S457" s="247"/>
    </row>
    <row r="458" spans="11:19" x14ac:dyDescent="0.25">
      <c r="K458" s="400"/>
      <c r="Q458" s="159"/>
      <c r="R458" s="297"/>
      <c r="S458" s="247"/>
    </row>
    <row r="459" spans="11:19" x14ac:dyDescent="0.25">
      <c r="K459" s="400"/>
      <c r="Q459" s="159"/>
      <c r="R459" s="297"/>
      <c r="S459" s="247"/>
    </row>
    <row r="460" spans="11:19" x14ac:dyDescent="0.25">
      <c r="K460" s="400"/>
      <c r="Q460" s="159"/>
      <c r="R460" s="297"/>
      <c r="S460" s="247"/>
    </row>
    <row r="461" spans="11:19" x14ac:dyDescent="0.25">
      <c r="K461" s="400"/>
      <c r="Q461" s="159"/>
      <c r="R461" s="297"/>
      <c r="S461" s="247"/>
    </row>
    <row r="462" spans="11:19" x14ac:dyDescent="0.25">
      <c r="K462" s="400"/>
      <c r="Q462" s="159"/>
      <c r="R462" s="297"/>
      <c r="S462" s="247"/>
    </row>
    <row r="463" spans="11:19" x14ac:dyDescent="0.25">
      <c r="K463" s="400"/>
      <c r="Q463" s="159"/>
      <c r="R463" s="297"/>
      <c r="S463" s="247"/>
    </row>
    <row r="464" spans="11:19" x14ac:dyDescent="0.25">
      <c r="K464" s="400"/>
      <c r="Q464" s="159"/>
      <c r="R464" s="297"/>
      <c r="S464" s="247"/>
    </row>
    <row r="465" spans="11:19" x14ac:dyDescent="0.25">
      <c r="K465" s="400"/>
      <c r="Q465" s="159"/>
      <c r="R465" s="297"/>
      <c r="S465" s="247"/>
    </row>
    <row r="466" spans="11:19" x14ac:dyDescent="0.25">
      <c r="K466" s="400"/>
      <c r="Q466" s="159"/>
      <c r="R466" s="297"/>
      <c r="S466" s="247"/>
    </row>
    <row r="467" spans="11:19" x14ac:dyDescent="0.25">
      <c r="K467" s="400"/>
      <c r="Q467" s="159"/>
      <c r="R467" s="297"/>
      <c r="S467" s="247"/>
    </row>
    <row r="468" spans="11:19" x14ac:dyDescent="0.25">
      <c r="K468" s="400"/>
      <c r="Q468" s="159"/>
      <c r="R468" s="297"/>
      <c r="S468" s="247"/>
    </row>
    <row r="469" spans="11:19" x14ac:dyDescent="0.25">
      <c r="K469" s="400"/>
      <c r="Q469" s="159"/>
      <c r="R469" s="297"/>
      <c r="S469" s="247"/>
    </row>
    <row r="470" spans="11:19" x14ac:dyDescent="0.25">
      <c r="K470" s="400"/>
      <c r="Q470" s="159"/>
      <c r="R470" s="297"/>
      <c r="S470" s="247"/>
    </row>
    <row r="471" spans="11:19" x14ac:dyDescent="0.25">
      <c r="K471" s="400"/>
      <c r="Q471" s="159"/>
      <c r="R471" s="297"/>
      <c r="S471" s="247"/>
    </row>
    <row r="472" spans="11:19" x14ac:dyDescent="0.25">
      <c r="K472" s="400"/>
      <c r="Q472" s="159"/>
      <c r="R472" s="297"/>
      <c r="S472" s="247"/>
    </row>
    <row r="473" spans="11:19" x14ac:dyDescent="0.25">
      <c r="K473" s="400"/>
      <c r="Q473" s="159"/>
      <c r="R473" s="297"/>
      <c r="S473" s="247"/>
    </row>
    <row r="474" spans="11:19" x14ac:dyDescent="0.25">
      <c r="K474" s="400"/>
      <c r="Q474" s="159"/>
      <c r="R474" s="297"/>
      <c r="S474" s="247"/>
    </row>
    <row r="475" spans="11:19" x14ac:dyDescent="0.25">
      <c r="K475" s="400"/>
      <c r="Q475" s="159"/>
      <c r="R475" s="297"/>
      <c r="S475" s="247"/>
    </row>
    <row r="476" spans="11:19" x14ac:dyDescent="0.25">
      <c r="K476" s="400"/>
      <c r="Q476" s="159"/>
      <c r="R476" s="297"/>
      <c r="S476" s="247"/>
    </row>
    <row r="477" spans="11:19" x14ac:dyDescent="0.25">
      <c r="K477" s="400"/>
      <c r="Q477" s="159"/>
      <c r="R477" s="297"/>
      <c r="S477" s="247"/>
    </row>
    <row r="478" spans="11:19" x14ac:dyDescent="0.25">
      <c r="K478" s="400"/>
      <c r="Q478" s="159"/>
      <c r="R478" s="297"/>
      <c r="S478" s="247"/>
    </row>
    <row r="479" spans="11:19" x14ac:dyDescent="0.25">
      <c r="K479" s="400"/>
      <c r="Q479" s="159"/>
      <c r="R479" s="297"/>
      <c r="S479" s="247"/>
    </row>
    <row r="480" spans="11:19" x14ac:dyDescent="0.25">
      <c r="K480" s="400"/>
      <c r="Q480" s="159"/>
      <c r="R480" s="297"/>
      <c r="S480" s="247"/>
    </row>
    <row r="481" spans="11:19" x14ac:dyDescent="0.25">
      <c r="K481" s="400"/>
      <c r="Q481" s="159"/>
      <c r="R481" s="297"/>
      <c r="S481" s="247"/>
    </row>
    <row r="482" spans="11:19" x14ac:dyDescent="0.25">
      <c r="K482" s="400"/>
      <c r="Q482" s="159"/>
      <c r="R482" s="297"/>
      <c r="S482" s="247"/>
    </row>
    <row r="483" spans="11:19" x14ac:dyDescent="0.25">
      <c r="K483" s="400"/>
      <c r="Q483" s="159"/>
      <c r="R483" s="297"/>
      <c r="S483" s="247"/>
    </row>
    <row r="484" spans="11:19" x14ac:dyDescent="0.25">
      <c r="K484" s="400"/>
      <c r="Q484" s="159"/>
      <c r="R484" s="297"/>
      <c r="S484" s="247"/>
    </row>
    <row r="485" spans="11:19" x14ac:dyDescent="0.25">
      <c r="K485" s="400"/>
      <c r="Q485" s="159"/>
      <c r="R485" s="297"/>
      <c r="S485" s="247"/>
    </row>
    <row r="486" spans="11:19" x14ac:dyDescent="0.25">
      <c r="K486" s="400"/>
      <c r="Q486" s="159"/>
      <c r="R486" s="297"/>
      <c r="S486" s="247"/>
    </row>
    <row r="487" spans="11:19" x14ac:dyDescent="0.25">
      <c r="K487" s="400"/>
      <c r="Q487" s="159"/>
      <c r="R487" s="297"/>
      <c r="S487" s="247"/>
    </row>
    <row r="488" spans="11:19" x14ac:dyDescent="0.25">
      <c r="K488" s="400"/>
      <c r="Q488" s="159"/>
      <c r="R488" s="297"/>
      <c r="S488" s="247"/>
    </row>
    <row r="489" spans="11:19" x14ac:dyDescent="0.25">
      <c r="K489" s="400"/>
      <c r="Q489" s="159"/>
      <c r="R489" s="297"/>
      <c r="S489" s="247"/>
    </row>
    <row r="490" spans="11:19" x14ac:dyDescent="0.25">
      <c r="K490" s="400"/>
      <c r="Q490" s="159"/>
      <c r="R490" s="297"/>
      <c r="S490" s="247"/>
    </row>
    <row r="491" spans="11:19" x14ac:dyDescent="0.25">
      <c r="K491" s="400"/>
      <c r="Q491" s="159"/>
      <c r="R491" s="297"/>
      <c r="S491" s="247"/>
    </row>
    <row r="492" spans="11:19" x14ac:dyDescent="0.25">
      <c r="K492" s="400"/>
      <c r="Q492" s="159"/>
      <c r="R492" s="297"/>
      <c r="S492" s="247"/>
    </row>
    <row r="493" spans="11:19" x14ac:dyDescent="0.25">
      <c r="K493" s="400"/>
      <c r="Q493" s="159"/>
      <c r="R493" s="297"/>
      <c r="S493" s="247"/>
    </row>
    <row r="494" spans="11:19" x14ac:dyDescent="0.25">
      <c r="K494" s="400"/>
      <c r="Q494" s="159"/>
      <c r="R494" s="297"/>
      <c r="S494" s="247"/>
    </row>
    <row r="495" spans="11:19" x14ac:dyDescent="0.25">
      <c r="K495" s="400"/>
      <c r="Q495" s="159"/>
      <c r="R495" s="297"/>
      <c r="S495" s="247"/>
    </row>
    <row r="496" spans="11:19" x14ac:dyDescent="0.25">
      <c r="K496" s="400"/>
      <c r="Q496" s="159"/>
      <c r="R496" s="297"/>
      <c r="S496" s="247"/>
    </row>
    <row r="497" spans="11:19" x14ac:dyDescent="0.25">
      <c r="K497" s="400"/>
      <c r="Q497" s="159"/>
      <c r="R497" s="297"/>
      <c r="S497" s="247"/>
    </row>
    <row r="498" spans="11:19" x14ac:dyDescent="0.25">
      <c r="K498" s="400"/>
      <c r="Q498" s="159"/>
      <c r="R498" s="297"/>
      <c r="S498" s="247"/>
    </row>
    <row r="499" spans="11:19" x14ac:dyDescent="0.25">
      <c r="K499" s="400"/>
      <c r="Q499" s="159"/>
      <c r="R499" s="297"/>
      <c r="S499" s="247"/>
    </row>
    <row r="500" spans="11:19" x14ac:dyDescent="0.25">
      <c r="K500" s="400"/>
      <c r="Q500" s="159"/>
      <c r="R500" s="297"/>
      <c r="S500" s="247"/>
    </row>
    <row r="501" spans="11:19" x14ac:dyDescent="0.25">
      <c r="K501" s="400"/>
      <c r="Q501" s="159"/>
      <c r="R501" s="297"/>
      <c r="S501" s="247"/>
    </row>
    <row r="502" spans="11:19" x14ac:dyDescent="0.25">
      <c r="K502" s="400"/>
      <c r="Q502" s="159"/>
      <c r="R502" s="297"/>
      <c r="S502" s="247"/>
    </row>
    <row r="503" spans="11:19" x14ac:dyDescent="0.25">
      <c r="K503" s="400"/>
      <c r="Q503" s="159"/>
      <c r="R503" s="297"/>
      <c r="S503" s="247"/>
    </row>
    <row r="504" spans="11:19" x14ac:dyDescent="0.25">
      <c r="K504" s="400"/>
      <c r="Q504" s="159"/>
      <c r="R504" s="297"/>
      <c r="S504" s="247"/>
    </row>
    <row r="505" spans="11:19" x14ac:dyDescent="0.25">
      <c r="K505" s="400"/>
      <c r="Q505" s="159"/>
      <c r="R505" s="297"/>
      <c r="S505" s="247"/>
    </row>
    <row r="506" spans="11:19" x14ac:dyDescent="0.25">
      <c r="K506" s="400"/>
      <c r="Q506" s="159"/>
      <c r="R506" s="297"/>
      <c r="S506" s="247"/>
    </row>
    <row r="507" spans="11:19" x14ac:dyDescent="0.25">
      <c r="K507" s="400"/>
      <c r="Q507" s="159"/>
      <c r="R507" s="297"/>
      <c r="S507" s="247"/>
    </row>
    <row r="508" spans="11:19" x14ac:dyDescent="0.25">
      <c r="K508" s="400"/>
      <c r="Q508" s="159"/>
      <c r="R508" s="297"/>
      <c r="S508" s="247"/>
    </row>
    <row r="509" spans="11:19" x14ac:dyDescent="0.25">
      <c r="K509" s="400"/>
      <c r="Q509" s="159"/>
      <c r="R509" s="297"/>
      <c r="S509" s="247"/>
    </row>
    <row r="510" spans="11:19" x14ac:dyDescent="0.25">
      <c r="K510" s="400"/>
      <c r="Q510" s="159"/>
      <c r="R510" s="297"/>
      <c r="S510" s="247"/>
    </row>
    <row r="511" spans="11:19" x14ac:dyDescent="0.25">
      <c r="K511" s="400"/>
      <c r="Q511" s="159"/>
      <c r="R511" s="297"/>
      <c r="S511" s="247"/>
    </row>
    <row r="512" spans="11:19" x14ac:dyDescent="0.25">
      <c r="K512" s="400"/>
      <c r="Q512" s="159"/>
      <c r="R512" s="297"/>
      <c r="S512" s="247"/>
    </row>
    <row r="513" spans="11:19" x14ac:dyDescent="0.25">
      <c r="K513" s="400"/>
      <c r="Q513" s="159"/>
      <c r="R513" s="297"/>
      <c r="S513" s="247"/>
    </row>
    <row r="514" spans="11:19" x14ac:dyDescent="0.25">
      <c r="K514" s="400"/>
      <c r="Q514" s="159"/>
      <c r="R514" s="297"/>
      <c r="S514" s="247"/>
    </row>
    <row r="515" spans="11:19" x14ac:dyDescent="0.25">
      <c r="K515" s="400"/>
      <c r="Q515" s="159"/>
      <c r="R515" s="297"/>
      <c r="S515" s="247"/>
    </row>
    <row r="516" spans="11:19" x14ac:dyDescent="0.25">
      <c r="K516" s="400"/>
      <c r="Q516" s="159"/>
      <c r="R516" s="297"/>
      <c r="S516" s="247"/>
    </row>
    <row r="517" spans="11:19" x14ac:dyDescent="0.25">
      <c r="K517" s="400"/>
      <c r="Q517" s="159"/>
      <c r="R517" s="297"/>
      <c r="S517" s="247"/>
    </row>
    <row r="518" spans="11:19" x14ac:dyDescent="0.25">
      <c r="K518" s="400"/>
      <c r="Q518" s="159"/>
      <c r="R518" s="297"/>
      <c r="S518" s="247"/>
    </row>
    <row r="519" spans="11:19" x14ac:dyDescent="0.25">
      <c r="K519" s="400"/>
      <c r="Q519" s="159"/>
      <c r="R519" s="297"/>
      <c r="S519" s="247"/>
    </row>
    <row r="520" spans="11:19" x14ac:dyDescent="0.25">
      <c r="K520" s="400"/>
      <c r="Q520" s="159"/>
      <c r="R520" s="297"/>
      <c r="S520" s="247"/>
    </row>
    <row r="521" spans="11:19" x14ac:dyDescent="0.25">
      <c r="K521" s="400"/>
      <c r="Q521" s="159"/>
      <c r="R521" s="297"/>
      <c r="S521" s="247"/>
    </row>
    <row r="522" spans="11:19" x14ac:dyDescent="0.25">
      <c r="K522" s="400"/>
      <c r="Q522" s="159"/>
      <c r="R522" s="297"/>
      <c r="S522" s="247"/>
    </row>
    <row r="523" spans="11:19" x14ac:dyDescent="0.25">
      <c r="K523" s="400"/>
      <c r="Q523" s="159"/>
      <c r="R523" s="297"/>
      <c r="S523" s="247"/>
    </row>
    <row r="524" spans="11:19" x14ac:dyDescent="0.25">
      <c r="K524" s="400"/>
      <c r="Q524" s="159"/>
      <c r="R524" s="297"/>
      <c r="S524" s="247"/>
    </row>
    <row r="525" spans="11:19" x14ac:dyDescent="0.25">
      <c r="K525" s="400"/>
      <c r="Q525" s="159"/>
      <c r="R525" s="297"/>
      <c r="S525" s="247"/>
    </row>
    <row r="526" spans="11:19" x14ac:dyDescent="0.25">
      <c r="K526" s="400"/>
      <c r="Q526" s="159"/>
      <c r="R526" s="297"/>
      <c r="S526" s="247"/>
    </row>
    <row r="527" spans="11:19" x14ac:dyDescent="0.25">
      <c r="K527" s="400"/>
      <c r="Q527" s="159"/>
      <c r="R527" s="297"/>
      <c r="S527" s="247"/>
    </row>
    <row r="528" spans="11:19" x14ac:dyDescent="0.25">
      <c r="K528" s="400"/>
      <c r="Q528" s="159"/>
      <c r="R528" s="297"/>
      <c r="S528" s="247"/>
    </row>
    <row r="529" spans="11:19" x14ac:dyDescent="0.25">
      <c r="K529" s="400"/>
      <c r="Q529" s="159"/>
      <c r="R529" s="297"/>
      <c r="S529" s="247"/>
    </row>
    <row r="530" spans="11:19" x14ac:dyDescent="0.25">
      <c r="K530" s="400"/>
      <c r="Q530" s="174"/>
      <c r="R530" s="403"/>
      <c r="S530" s="250"/>
    </row>
    <row r="531" spans="11:19" x14ac:dyDescent="0.25">
      <c r="K531" s="400"/>
    </row>
    <row r="532" spans="11:19" x14ac:dyDescent="0.25">
      <c r="K532" s="400"/>
    </row>
    <row r="533" spans="11:19" x14ac:dyDescent="0.25">
      <c r="K533" s="400"/>
    </row>
    <row r="534" spans="11:19" x14ac:dyDescent="0.25">
      <c r="K534" s="400"/>
    </row>
    <row r="535" spans="11:19" x14ac:dyDescent="0.25">
      <c r="K535" s="400"/>
    </row>
    <row r="536" spans="11:19" x14ac:dyDescent="0.25">
      <c r="K536" s="400"/>
    </row>
    <row r="537" spans="11:19" x14ac:dyDescent="0.25">
      <c r="K537" s="400"/>
    </row>
    <row r="538" spans="11:19" x14ac:dyDescent="0.25">
      <c r="K538" s="400"/>
    </row>
    <row r="539" spans="11:19" x14ac:dyDescent="0.25">
      <c r="K539" s="400"/>
    </row>
    <row r="540" spans="11:19" x14ac:dyDescent="0.25">
      <c r="K540" s="400"/>
    </row>
    <row r="541" spans="11:19" x14ac:dyDescent="0.25">
      <c r="K541" s="400"/>
    </row>
    <row r="542" spans="11:19" x14ac:dyDescent="0.25">
      <c r="K542" s="400"/>
    </row>
    <row r="543" spans="11:19" x14ac:dyDescent="0.25">
      <c r="K543" s="400"/>
    </row>
    <row r="544" spans="11:19" x14ac:dyDescent="0.25">
      <c r="K544" s="400"/>
    </row>
    <row r="545" spans="11:11" x14ac:dyDescent="0.25">
      <c r="K545" s="400"/>
    </row>
    <row r="546" spans="11:11" x14ac:dyDescent="0.25">
      <c r="K546" s="400"/>
    </row>
    <row r="547" spans="11:11" x14ac:dyDescent="0.25">
      <c r="K547" s="400"/>
    </row>
    <row r="548" spans="11:11" x14ac:dyDescent="0.25">
      <c r="K548" s="400"/>
    </row>
    <row r="549" spans="11:11" x14ac:dyDescent="0.25">
      <c r="K549" s="400"/>
    </row>
    <row r="550" spans="11:11" x14ac:dyDescent="0.25">
      <c r="K550" s="400"/>
    </row>
    <row r="551" spans="11:11" x14ac:dyDescent="0.25">
      <c r="K551" s="400"/>
    </row>
    <row r="552" spans="11:11" x14ac:dyDescent="0.25">
      <c r="K552" s="400"/>
    </row>
    <row r="553" spans="11:11" x14ac:dyDescent="0.25">
      <c r="K553" s="400"/>
    </row>
    <row r="554" spans="11:11" x14ac:dyDescent="0.25">
      <c r="K554" s="400"/>
    </row>
    <row r="555" spans="11:11" x14ac:dyDescent="0.25">
      <c r="K555" s="400"/>
    </row>
    <row r="556" spans="11:11" x14ac:dyDescent="0.25">
      <c r="K556" s="400"/>
    </row>
    <row r="557" spans="11:11" x14ac:dyDescent="0.25">
      <c r="K557" s="400"/>
    </row>
    <row r="558" spans="11:11" x14ac:dyDescent="0.25">
      <c r="K558" s="400"/>
    </row>
    <row r="559" spans="11:11" x14ac:dyDescent="0.25">
      <c r="K559" s="400"/>
    </row>
    <row r="560" spans="11:11" x14ac:dyDescent="0.25">
      <c r="K560" s="400"/>
    </row>
    <row r="561" spans="11:11" x14ac:dyDescent="0.25">
      <c r="K561" s="400"/>
    </row>
    <row r="562" spans="11:11" x14ac:dyDescent="0.25">
      <c r="K562" s="400"/>
    </row>
    <row r="563" spans="11:11" x14ac:dyDescent="0.25">
      <c r="K563" s="400"/>
    </row>
    <row r="564" spans="11:11" x14ac:dyDescent="0.25">
      <c r="K564" s="400"/>
    </row>
    <row r="565" spans="11:11" x14ac:dyDescent="0.25">
      <c r="K565" s="400"/>
    </row>
    <row r="566" spans="11:11" x14ac:dyDescent="0.25">
      <c r="K566" s="400"/>
    </row>
    <row r="567" spans="11:11" x14ac:dyDescent="0.25">
      <c r="K567" s="400"/>
    </row>
    <row r="568" spans="11:11" x14ac:dyDescent="0.25">
      <c r="K568" s="400"/>
    </row>
    <row r="569" spans="11:11" x14ac:dyDescent="0.25">
      <c r="K569" s="400"/>
    </row>
    <row r="570" spans="11:11" x14ac:dyDescent="0.25">
      <c r="K570" s="400"/>
    </row>
    <row r="571" spans="11:11" x14ac:dyDescent="0.25">
      <c r="K571" s="400"/>
    </row>
    <row r="572" spans="11:11" x14ac:dyDescent="0.25">
      <c r="K572" s="400"/>
    </row>
    <row r="573" spans="11:11" x14ac:dyDescent="0.25">
      <c r="K573" s="400"/>
    </row>
    <row r="574" spans="11:11" x14ac:dyDescent="0.25">
      <c r="K574" s="400"/>
    </row>
    <row r="575" spans="11:11" x14ac:dyDescent="0.25">
      <c r="K575" s="400"/>
    </row>
    <row r="576" spans="11:11" x14ac:dyDescent="0.25">
      <c r="K576" s="400"/>
    </row>
    <row r="577" spans="11:11" x14ac:dyDescent="0.25">
      <c r="K577" s="400"/>
    </row>
    <row r="578" spans="11:11" x14ac:dyDescent="0.25">
      <c r="K578" s="400"/>
    </row>
    <row r="579" spans="11:11" x14ac:dyDescent="0.25">
      <c r="K579" s="400"/>
    </row>
    <row r="580" spans="11:11" x14ac:dyDescent="0.25">
      <c r="K580" s="400"/>
    </row>
    <row r="581" spans="11:11" x14ac:dyDescent="0.25">
      <c r="K581" s="400"/>
    </row>
    <row r="582" spans="11:11" x14ac:dyDescent="0.25">
      <c r="K582" s="400"/>
    </row>
    <row r="583" spans="11:11" x14ac:dyDescent="0.25">
      <c r="K583" s="400"/>
    </row>
    <row r="584" spans="11:11" x14ac:dyDescent="0.25">
      <c r="K584" s="400"/>
    </row>
    <row r="585" spans="11:11" x14ac:dyDescent="0.25">
      <c r="K585" s="400"/>
    </row>
    <row r="586" spans="11:11" x14ac:dyDescent="0.25">
      <c r="K586" s="400"/>
    </row>
    <row r="587" spans="11:11" x14ac:dyDescent="0.25">
      <c r="K587" s="400"/>
    </row>
    <row r="588" spans="11:11" x14ac:dyDescent="0.25">
      <c r="K588" s="400"/>
    </row>
    <row r="589" spans="11:11" x14ac:dyDescent="0.25">
      <c r="K589" s="400"/>
    </row>
    <row r="590" spans="11:11" x14ac:dyDescent="0.25">
      <c r="K590" s="400"/>
    </row>
    <row r="591" spans="11:11" x14ac:dyDescent="0.25">
      <c r="K591" s="400"/>
    </row>
    <row r="592" spans="11:11" x14ac:dyDescent="0.25">
      <c r="K592" s="400"/>
    </row>
    <row r="593" spans="11:11" x14ac:dyDescent="0.25">
      <c r="K593" s="400"/>
    </row>
    <row r="594" spans="11:11" x14ac:dyDescent="0.25">
      <c r="K594" s="400"/>
    </row>
    <row r="595" spans="11:11" x14ac:dyDescent="0.25">
      <c r="K595" s="400"/>
    </row>
    <row r="596" spans="11:11" x14ac:dyDescent="0.25">
      <c r="K596" s="400"/>
    </row>
    <row r="597" spans="11:11" x14ac:dyDescent="0.25">
      <c r="K597" s="400"/>
    </row>
    <row r="598" spans="11:11" x14ac:dyDescent="0.25">
      <c r="K598" s="400"/>
    </row>
    <row r="599" spans="11:11" x14ac:dyDescent="0.25">
      <c r="K599" s="400"/>
    </row>
    <row r="600" spans="11:11" x14ac:dyDescent="0.25">
      <c r="K600" s="400"/>
    </row>
    <row r="601" spans="11:11" x14ac:dyDescent="0.25">
      <c r="K601" s="400"/>
    </row>
    <row r="602" spans="11:11" x14ac:dyDescent="0.25">
      <c r="K602" s="400"/>
    </row>
    <row r="603" spans="11:11" x14ac:dyDescent="0.25">
      <c r="K603" s="400"/>
    </row>
    <row r="604" spans="11:11" x14ac:dyDescent="0.25">
      <c r="K604" s="400"/>
    </row>
    <row r="605" spans="11:11" x14ac:dyDescent="0.25">
      <c r="K605" s="400"/>
    </row>
    <row r="606" spans="11:11" x14ac:dyDescent="0.25">
      <c r="K606" s="400"/>
    </row>
    <row r="607" spans="11:11" x14ac:dyDescent="0.25">
      <c r="K607" s="400"/>
    </row>
    <row r="608" spans="11:11" x14ac:dyDescent="0.25">
      <c r="K608" s="400"/>
    </row>
    <row r="609" spans="11:11" x14ac:dyDescent="0.25">
      <c r="K609" s="400"/>
    </row>
    <row r="610" spans="11:11" x14ac:dyDescent="0.25">
      <c r="K610" s="400"/>
    </row>
    <row r="611" spans="11:11" x14ac:dyDescent="0.25">
      <c r="K611" s="400"/>
    </row>
    <row r="612" spans="11:11" x14ac:dyDescent="0.25">
      <c r="K612" s="400"/>
    </row>
    <row r="613" spans="11:11" x14ac:dyDescent="0.25">
      <c r="K613" s="400"/>
    </row>
    <row r="614" spans="11:11" x14ac:dyDescent="0.25">
      <c r="K614" s="400"/>
    </row>
    <row r="615" spans="11:11" x14ac:dyDescent="0.25">
      <c r="K615" s="400"/>
    </row>
    <row r="616" spans="11:11" x14ac:dyDescent="0.25">
      <c r="K616" s="400"/>
    </row>
    <row r="617" spans="11:11" x14ac:dyDescent="0.25">
      <c r="K617" s="400"/>
    </row>
    <row r="618" spans="11:11" x14ac:dyDescent="0.25">
      <c r="K618" s="400"/>
    </row>
    <row r="619" spans="11:11" x14ac:dyDescent="0.25">
      <c r="K619" s="400"/>
    </row>
    <row r="620" spans="11:11" x14ac:dyDescent="0.25">
      <c r="K620" s="400"/>
    </row>
    <row r="621" spans="11:11" x14ac:dyDescent="0.25">
      <c r="K621" s="400"/>
    </row>
    <row r="622" spans="11:11" x14ac:dyDescent="0.25">
      <c r="K622" s="400"/>
    </row>
    <row r="623" spans="11:11" x14ac:dyDescent="0.25">
      <c r="K623" s="400"/>
    </row>
    <row r="624" spans="11:11" x14ac:dyDescent="0.25">
      <c r="K624" s="400"/>
    </row>
    <row r="625" spans="11:11" x14ac:dyDescent="0.25">
      <c r="K625" s="400"/>
    </row>
    <row r="626" spans="11:11" x14ac:dyDescent="0.25">
      <c r="K626" s="400"/>
    </row>
    <row r="627" spans="11:11" x14ac:dyDescent="0.25">
      <c r="K627" s="400"/>
    </row>
    <row r="628" spans="11:11" x14ac:dyDescent="0.25">
      <c r="K628" s="400"/>
    </row>
    <row r="629" spans="11:11" x14ac:dyDescent="0.25">
      <c r="K629" s="400"/>
    </row>
    <row r="630" spans="11:11" x14ac:dyDescent="0.25">
      <c r="K630" s="400"/>
    </row>
    <row r="631" spans="11:11" x14ac:dyDescent="0.25">
      <c r="K631" s="400"/>
    </row>
    <row r="632" spans="11:11" x14ac:dyDescent="0.25">
      <c r="K632" s="400"/>
    </row>
    <row r="633" spans="11:11" x14ac:dyDescent="0.25">
      <c r="K633" s="400"/>
    </row>
    <row r="634" spans="11:11" x14ac:dyDescent="0.25">
      <c r="K634" s="400"/>
    </row>
    <row r="635" spans="11:11" x14ac:dyDescent="0.25">
      <c r="K635" s="400"/>
    </row>
    <row r="636" spans="11:11" x14ac:dyDescent="0.25">
      <c r="K636" s="400"/>
    </row>
    <row r="637" spans="11:11" x14ac:dyDescent="0.25">
      <c r="K637" s="400"/>
    </row>
    <row r="638" spans="11:11" x14ac:dyDescent="0.25">
      <c r="K638" s="400"/>
    </row>
    <row r="639" spans="11:11" x14ac:dyDescent="0.25">
      <c r="K639" s="400"/>
    </row>
    <row r="640" spans="11:11" x14ac:dyDescent="0.25">
      <c r="K640" s="400"/>
    </row>
    <row r="641" spans="11:11" x14ac:dyDescent="0.25">
      <c r="K641" s="400"/>
    </row>
    <row r="642" spans="11:11" x14ac:dyDescent="0.25">
      <c r="K642" s="400"/>
    </row>
    <row r="643" spans="11:11" x14ac:dyDescent="0.25">
      <c r="K643" s="400"/>
    </row>
    <row r="644" spans="11:11" x14ac:dyDescent="0.25">
      <c r="K644" s="400"/>
    </row>
    <row r="645" spans="11:11" x14ac:dyDescent="0.25">
      <c r="K645" s="400"/>
    </row>
    <row r="646" spans="11:11" x14ac:dyDescent="0.25">
      <c r="K646" s="400"/>
    </row>
    <row r="647" spans="11:11" x14ac:dyDescent="0.25">
      <c r="K647" s="400"/>
    </row>
    <row r="648" spans="11:11" x14ac:dyDescent="0.25">
      <c r="K648" s="400"/>
    </row>
    <row r="649" spans="11:11" x14ac:dyDescent="0.25">
      <c r="K649" s="400"/>
    </row>
    <row r="650" spans="11:11" x14ac:dyDescent="0.25">
      <c r="K650" s="400"/>
    </row>
    <row r="651" spans="11:11" x14ac:dyDescent="0.25">
      <c r="K651" s="400"/>
    </row>
    <row r="652" spans="11:11" x14ac:dyDescent="0.25">
      <c r="K652" s="400"/>
    </row>
    <row r="653" spans="11:11" x14ac:dyDescent="0.25">
      <c r="K653" s="400"/>
    </row>
    <row r="654" spans="11:11" x14ac:dyDescent="0.25">
      <c r="K654" s="400"/>
    </row>
    <row r="655" spans="11:11" x14ac:dyDescent="0.25">
      <c r="K655" s="400"/>
    </row>
    <row r="656" spans="11:11" x14ac:dyDescent="0.25">
      <c r="K656" s="400"/>
    </row>
    <row r="657" spans="11:11" x14ac:dyDescent="0.25">
      <c r="K657" s="400"/>
    </row>
    <row r="658" spans="11:11" x14ac:dyDescent="0.25">
      <c r="K658" s="400"/>
    </row>
    <row r="659" spans="11:11" x14ac:dyDescent="0.25">
      <c r="K659" s="400"/>
    </row>
    <row r="660" spans="11:11" x14ac:dyDescent="0.25">
      <c r="K660" s="400"/>
    </row>
    <row r="661" spans="11:11" x14ac:dyDescent="0.25">
      <c r="K661" s="400"/>
    </row>
    <row r="662" spans="11:11" x14ac:dyDescent="0.25">
      <c r="K662" s="400"/>
    </row>
    <row r="663" spans="11:11" x14ac:dyDescent="0.25">
      <c r="K663" s="400"/>
    </row>
    <row r="664" spans="11:11" x14ac:dyDescent="0.25">
      <c r="K664" s="400"/>
    </row>
    <row r="665" spans="11:11" x14ac:dyDescent="0.25">
      <c r="K665" s="400"/>
    </row>
    <row r="666" spans="11:11" x14ac:dyDescent="0.25">
      <c r="K666" s="400"/>
    </row>
    <row r="667" spans="11:11" x14ac:dyDescent="0.25">
      <c r="K667" s="400"/>
    </row>
    <row r="668" spans="11:11" x14ac:dyDescent="0.25">
      <c r="K668" s="400"/>
    </row>
    <row r="669" spans="11:11" x14ac:dyDescent="0.25">
      <c r="K669" s="400"/>
    </row>
    <row r="670" spans="11:11" x14ac:dyDescent="0.25">
      <c r="K670" s="400"/>
    </row>
    <row r="671" spans="11:11" x14ac:dyDescent="0.25">
      <c r="K671" s="400"/>
    </row>
    <row r="672" spans="11:11" x14ac:dyDescent="0.25">
      <c r="K672" s="400"/>
    </row>
    <row r="673" spans="11:11" x14ac:dyDescent="0.25">
      <c r="K673" s="400"/>
    </row>
    <row r="674" spans="11:11" x14ac:dyDescent="0.25">
      <c r="K674" s="400"/>
    </row>
    <row r="675" spans="11:11" x14ac:dyDescent="0.25">
      <c r="K675" s="400"/>
    </row>
    <row r="676" spans="11:11" x14ac:dyDescent="0.25">
      <c r="K676" s="400"/>
    </row>
    <row r="677" spans="11:11" x14ac:dyDescent="0.25">
      <c r="K677" s="400"/>
    </row>
    <row r="678" spans="11:11" x14ac:dyDescent="0.25">
      <c r="K678" s="400"/>
    </row>
    <row r="679" spans="11:11" x14ac:dyDescent="0.25">
      <c r="K679" s="400"/>
    </row>
    <row r="680" spans="11:11" x14ac:dyDescent="0.25">
      <c r="K680" s="400"/>
    </row>
    <row r="681" spans="11:11" x14ac:dyDescent="0.25">
      <c r="K681" s="400"/>
    </row>
    <row r="682" spans="11:11" x14ac:dyDescent="0.25">
      <c r="K682" s="400"/>
    </row>
    <row r="683" spans="11:11" x14ac:dyDescent="0.25">
      <c r="K683" s="400"/>
    </row>
    <row r="684" spans="11:11" x14ac:dyDescent="0.25">
      <c r="K684" s="400"/>
    </row>
    <row r="685" spans="11:11" x14ac:dyDescent="0.25">
      <c r="K685" s="400"/>
    </row>
    <row r="686" spans="11:11" x14ac:dyDescent="0.25">
      <c r="K686" s="400"/>
    </row>
    <row r="687" spans="11:11" x14ac:dyDescent="0.25">
      <c r="K687" s="400"/>
    </row>
    <row r="688" spans="11:11" x14ac:dyDescent="0.25">
      <c r="K688" s="400"/>
    </row>
    <row r="689" spans="11:11" x14ac:dyDescent="0.25">
      <c r="K689" s="400"/>
    </row>
    <row r="690" spans="11:11" x14ac:dyDescent="0.25">
      <c r="K690" s="400"/>
    </row>
    <row r="691" spans="11:11" x14ac:dyDescent="0.25">
      <c r="K691" s="400"/>
    </row>
    <row r="692" spans="11:11" x14ac:dyDescent="0.25">
      <c r="K692" s="400"/>
    </row>
    <row r="693" spans="11:11" x14ac:dyDescent="0.25">
      <c r="K693" s="400"/>
    </row>
    <row r="694" spans="11:11" x14ac:dyDescent="0.25">
      <c r="K694" s="400"/>
    </row>
    <row r="695" spans="11:11" x14ac:dyDescent="0.25">
      <c r="K695" s="400"/>
    </row>
    <row r="696" spans="11:11" x14ac:dyDescent="0.25">
      <c r="K696" s="400"/>
    </row>
    <row r="697" spans="11:11" x14ac:dyDescent="0.25">
      <c r="K697" s="400"/>
    </row>
    <row r="698" spans="11:11" x14ac:dyDescent="0.25">
      <c r="K698" s="400"/>
    </row>
    <row r="699" spans="11:11" x14ac:dyDescent="0.25">
      <c r="K699" s="400"/>
    </row>
    <row r="700" spans="11:11" x14ac:dyDescent="0.25">
      <c r="K700" s="400"/>
    </row>
    <row r="701" spans="11:11" x14ac:dyDescent="0.25">
      <c r="K701" s="400"/>
    </row>
    <row r="702" spans="11:11" x14ac:dyDescent="0.25">
      <c r="K702" s="400"/>
    </row>
    <row r="703" spans="11:11" x14ac:dyDescent="0.25">
      <c r="K703" s="400"/>
    </row>
    <row r="704" spans="11:11" x14ac:dyDescent="0.25">
      <c r="K704" s="400"/>
    </row>
    <row r="705" spans="11:11" x14ac:dyDescent="0.25">
      <c r="K705" s="400"/>
    </row>
    <row r="706" spans="11:11" x14ac:dyDescent="0.25">
      <c r="K706" s="400"/>
    </row>
    <row r="707" spans="11:11" x14ac:dyDescent="0.25">
      <c r="K707" s="400"/>
    </row>
    <row r="708" spans="11:11" x14ac:dyDescent="0.25">
      <c r="K708" s="400"/>
    </row>
    <row r="709" spans="11:11" x14ac:dyDescent="0.25">
      <c r="K709" s="400"/>
    </row>
    <row r="710" spans="11:11" x14ac:dyDescent="0.25">
      <c r="K710" s="400"/>
    </row>
    <row r="711" spans="11:11" x14ac:dyDescent="0.25">
      <c r="K711" s="400"/>
    </row>
    <row r="712" spans="11:11" x14ac:dyDescent="0.25">
      <c r="K712" s="400"/>
    </row>
    <row r="713" spans="11:11" x14ac:dyDescent="0.25">
      <c r="K713" s="400"/>
    </row>
    <row r="714" spans="11:11" x14ac:dyDescent="0.25">
      <c r="K714" s="400"/>
    </row>
    <row r="715" spans="11:11" x14ac:dyDescent="0.25">
      <c r="K715" s="400"/>
    </row>
    <row r="716" spans="11:11" x14ac:dyDescent="0.25">
      <c r="K716" s="400"/>
    </row>
    <row r="717" spans="11:11" x14ac:dyDescent="0.25">
      <c r="K717" s="400"/>
    </row>
    <row r="718" spans="11:11" x14ac:dyDescent="0.25">
      <c r="K718" s="400"/>
    </row>
    <row r="719" spans="11:11" x14ac:dyDescent="0.25">
      <c r="K719" s="400"/>
    </row>
    <row r="720" spans="11:11" x14ac:dyDescent="0.25">
      <c r="K720" s="400"/>
    </row>
    <row r="721" spans="11:11" x14ac:dyDescent="0.25">
      <c r="K721" s="400"/>
    </row>
    <row r="722" spans="11:11" x14ac:dyDescent="0.25">
      <c r="K722" s="400"/>
    </row>
    <row r="723" spans="11:11" x14ac:dyDescent="0.25">
      <c r="K723" s="400"/>
    </row>
    <row r="724" spans="11:11" x14ac:dyDescent="0.25">
      <c r="K724" s="400"/>
    </row>
    <row r="725" spans="11:11" x14ac:dyDescent="0.25">
      <c r="K725" s="400"/>
    </row>
    <row r="726" spans="11:11" x14ac:dyDescent="0.25">
      <c r="K726" s="400"/>
    </row>
    <row r="727" spans="11:11" x14ac:dyDescent="0.25">
      <c r="K727" s="400"/>
    </row>
    <row r="728" spans="11:11" x14ac:dyDescent="0.25">
      <c r="K728" s="400"/>
    </row>
    <row r="729" spans="11:11" x14ac:dyDescent="0.25">
      <c r="K729" s="400"/>
    </row>
    <row r="730" spans="11:11" x14ac:dyDescent="0.25">
      <c r="K730" s="400"/>
    </row>
    <row r="731" spans="11:11" x14ac:dyDescent="0.25">
      <c r="K731" s="400"/>
    </row>
    <row r="732" spans="11:11" x14ac:dyDescent="0.25">
      <c r="K732" s="400"/>
    </row>
    <row r="733" spans="11:11" x14ac:dyDescent="0.25">
      <c r="K733" s="400"/>
    </row>
    <row r="734" spans="11:11" x14ac:dyDescent="0.25">
      <c r="K734" s="400"/>
    </row>
    <row r="735" spans="11:11" x14ac:dyDescent="0.25">
      <c r="K735" s="400"/>
    </row>
    <row r="736" spans="11:11" x14ac:dyDescent="0.25">
      <c r="K736" s="400"/>
    </row>
    <row r="737" spans="11:11" x14ac:dyDescent="0.25">
      <c r="K737" s="400"/>
    </row>
    <row r="738" spans="11:11" x14ac:dyDescent="0.25">
      <c r="K738" s="400"/>
    </row>
    <row r="739" spans="11:11" x14ac:dyDescent="0.25">
      <c r="K739" s="400"/>
    </row>
    <row r="740" spans="11:11" x14ac:dyDescent="0.25">
      <c r="K740" s="400"/>
    </row>
    <row r="741" spans="11:11" x14ac:dyDescent="0.25">
      <c r="K741" s="400"/>
    </row>
    <row r="742" spans="11:11" x14ac:dyDescent="0.25">
      <c r="K742" s="400"/>
    </row>
    <row r="743" spans="11:11" x14ac:dyDescent="0.25">
      <c r="K743" s="400"/>
    </row>
    <row r="744" spans="11:11" x14ac:dyDescent="0.25">
      <c r="K744" s="400"/>
    </row>
    <row r="745" spans="11:11" x14ac:dyDescent="0.25">
      <c r="K745" s="400"/>
    </row>
    <row r="746" spans="11:11" x14ac:dyDescent="0.25">
      <c r="K746" s="400"/>
    </row>
    <row r="747" spans="11:11" x14ac:dyDescent="0.25">
      <c r="K747" s="400"/>
    </row>
    <row r="748" spans="11:11" x14ac:dyDescent="0.25">
      <c r="K748" s="400"/>
    </row>
    <row r="749" spans="11:11" x14ac:dyDescent="0.25">
      <c r="K749" s="400"/>
    </row>
    <row r="750" spans="11:11" x14ac:dyDescent="0.25">
      <c r="K750" s="400"/>
    </row>
    <row r="751" spans="11:11" x14ac:dyDescent="0.25">
      <c r="K751" s="400"/>
    </row>
    <row r="752" spans="11:11" x14ac:dyDescent="0.25">
      <c r="K752" s="400"/>
    </row>
    <row r="753" spans="11:11" x14ac:dyDescent="0.25">
      <c r="K753" s="400"/>
    </row>
    <row r="754" spans="11:11" x14ac:dyDescent="0.25">
      <c r="K754" s="400"/>
    </row>
    <row r="755" spans="11:11" x14ac:dyDescent="0.25">
      <c r="K755" s="400"/>
    </row>
    <row r="756" spans="11:11" x14ac:dyDescent="0.25">
      <c r="K756" s="400"/>
    </row>
    <row r="757" spans="11:11" x14ac:dyDescent="0.25">
      <c r="K757" s="400"/>
    </row>
    <row r="758" spans="11:11" x14ac:dyDescent="0.25">
      <c r="K758" s="400"/>
    </row>
    <row r="759" spans="11:11" x14ac:dyDescent="0.25">
      <c r="K759" s="400"/>
    </row>
    <row r="760" spans="11:11" x14ac:dyDescent="0.25">
      <c r="K760" s="400"/>
    </row>
    <row r="761" spans="11:11" x14ac:dyDescent="0.25">
      <c r="K761" s="400"/>
    </row>
    <row r="762" spans="11:11" x14ac:dyDescent="0.25">
      <c r="K762" s="400"/>
    </row>
    <row r="763" spans="11:11" x14ac:dyDescent="0.25">
      <c r="K763" s="400"/>
    </row>
    <row r="764" spans="11:11" x14ac:dyDescent="0.25">
      <c r="K764" s="400"/>
    </row>
    <row r="765" spans="11:11" x14ac:dyDescent="0.25">
      <c r="K765" s="400"/>
    </row>
    <row r="766" spans="11:11" x14ac:dyDescent="0.25">
      <c r="K766" s="400"/>
    </row>
    <row r="767" spans="11:11" x14ac:dyDescent="0.25">
      <c r="K767" s="400"/>
    </row>
    <row r="768" spans="11:11" x14ac:dyDescent="0.25">
      <c r="K768" s="400"/>
    </row>
    <row r="769" spans="11:11" x14ac:dyDescent="0.25">
      <c r="K769" s="400"/>
    </row>
    <row r="770" spans="11:11" x14ac:dyDescent="0.25">
      <c r="K770" s="400"/>
    </row>
    <row r="771" spans="11:11" x14ac:dyDescent="0.25">
      <c r="K771" s="400"/>
    </row>
    <row r="772" spans="11:11" x14ac:dyDescent="0.25">
      <c r="K772" s="400"/>
    </row>
    <row r="773" spans="11:11" x14ac:dyDescent="0.25">
      <c r="K773" s="400"/>
    </row>
    <row r="774" spans="11:11" x14ac:dyDescent="0.25">
      <c r="K774" s="400"/>
    </row>
    <row r="775" spans="11:11" x14ac:dyDescent="0.25">
      <c r="K775" s="400"/>
    </row>
    <row r="776" spans="11:11" x14ac:dyDescent="0.25">
      <c r="K776" s="400"/>
    </row>
    <row r="777" spans="11:11" x14ac:dyDescent="0.25">
      <c r="K777" s="400"/>
    </row>
    <row r="778" spans="11:11" x14ac:dyDescent="0.25">
      <c r="K778" s="400"/>
    </row>
    <row r="779" spans="11:11" x14ac:dyDescent="0.25">
      <c r="K779" s="400"/>
    </row>
    <row r="780" spans="11:11" x14ac:dyDescent="0.25">
      <c r="K780" s="400"/>
    </row>
    <row r="781" spans="11:11" x14ac:dyDescent="0.25">
      <c r="K781" s="400"/>
    </row>
    <row r="782" spans="11:11" x14ac:dyDescent="0.25">
      <c r="K782" s="400"/>
    </row>
    <row r="783" spans="11:11" x14ac:dyDescent="0.25">
      <c r="K783" s="400"/>
    </row>
    <row r="784" spans="11:11" x14ac:dyDescent="0.25">
      <c r="K784" s="400"/>
    </row>
    <row r="785" spans="11:11" x14ac:dyDescent="0.25">
      <c r="K785" s="400"/>
    </row>
    <row r="786" spans="11:11" x14ac:dyDescent="0.25">
      <c r="K786" s="400"/>
    </row>
    <row r="787" spans="11:11" x14ac:dyDescent="0.25">
      <c r="K787" s="400"/>
    </row>
    <row r="788" spans="11:11" x14ac:dyDescent="0.25">
      <c r="K788" s="400"/>
    </row>
    <row r="789" spans="11:11" x14ac:dyDescent="0.25">
      <c r="K789" s="400"/>
    </row>
    <row r="790" spans="11:11" x14ac:dyDescent="0.25">
      <c r="K790" s="400"/>
    </row>
    <row r="791" spans="11:11" x14ac:dyDescent="0.25">
      <c r="K791" s="400"/>
    </row>
    <row r="792" spans="11:11" x14ac:dyDescent="0.25">
      <c r="K792" s="400"/>
    </row>
    <row r="793" spans="11:11" x14ac:dyDescent="0.25">
      <c r="K793" s="400"/>
    </row>
    <row r="794" spans="11:11" x14ac:dyDescent="0.25">
      <c r="K794" s="400"/>
    </row>
    <row r="795" spans="11:11" x14ac:dyDescent="0.25">
      <c r="K795" s="400"/>
    </row>
    <row r="796" spans="11:11" x14ac:dyDescent="0.25">
      <c r="K796" s="400"/>
    </row>
    <row r="797" spans="11:11" x14ac:dyDescent="0.25">
      <c r="K797" s="400"/>
    </row>
    <row r="798" spans="11:11" x14ac:dyDescent="0.25">
      <c r="K798" s="400"/>
    </row>
    <row r="799" spans="11:11" x14ac:dyDescent="0.25">
      <c r="K799" s="400"/>
    </row>
    <row r="800" spans="11:11" x14ac:dyDescent="0.25">
      <c r="K800" s="400"/>
    </row>
    <row r="801" spans="11:11" x14ac:dyDescent="0.25">
      <c r="K801" s="400"/>
    </row>
    <row r="802" spans="11:11" x14ac:dyDescent="0.25">
      <c r="K802" s="400"/>
    </row>
    <row r="803" spans="11:11" x14ac:dyDescent="0.25">
      <c r="K803" s="400"/>
    </row>
    <row r="804" spans="11:11" x14ac:dyDescent="0.25">
      <c r="K804" s="400"/>
    </row>
    <row r="805" spans="11:11" x14ac:dyDescent="0.25">
      <c r="K805" s="400"/>
    </row>
    <row r="806" spans="11:11" x14ac:dyDescent="0.25">
      <c r="K806" s="400"/>
    </row>
    <row r="807" spans="11:11" x14ac:dyDescent="0.25">
      <c r="K807" s="400"/>
    </row>
    <row r="808" spans="11:11" x14ac:dyDescent="0.25">
      <c r="K808" s="400"/>
    </row>
    <row r="809" spans="11:11" x14ac:dyDescent="0.25">
      <c r="K809" s="400"/>
    </row>
    <row r="810" spans="11:11" x14ac:dyDescent="0.25">
      <c r="K810" s="400"/>
    </row>
    <row r="811" spans="11:11" x14ac:dyDescent="0.25">
      <c r="K811" s="400"/>
    </row>
    <row r="812" spans="11:11" x14ac:dyDescent="0.25">
      <c r="K812" s="400"/>
    </row>
    <row r="813" spans="11:11" x14ac:dyDescent="0.25">
      <c r="K813" s="400"/>
    </row>
    <row r="814" spans="11:11" x14ac:dyDescent="0.25">
      <c r="K814" s="400"/>
    </row>
    <row r="815" spans="11:11" x14ac:dyDescent="0.25">
      <c r="K815" s="400"/>
    </row>
    <row r="816" spans="11:11" x14ac:dyDescent="0.25">
      <c r="K816" s="400"/>
    </row>
    <row r="817" spans="11:11" x14ac:dyDescent="0.25">
      <c r="K817" s="400"/>
    </row>
    <row r="818" spans="11:11" x14ac:dyDescent="0.25">
      <c r="K818" s="400"/>
    </row>
    <row r="819" spans="11:11" x14ac:dyDescent="0.25">
      <c r="K819" s="400"/>
    </row>
    <row r="820" spans="11:11" x14ac:dyDescent="0.25">
      <c r="K820" s="400"/>
    </row>
    <row r="821" spans="11:11" x14ac:dyDescent="0.25">
      <c r="K821" s="400"/>
    </row>
    <row r="822" spans="11:11" x14ac:dyDescent="0.25">
      <c r="K822" s="400"/>
    </row>
    <row r="823" spans="11:11" x14ac:dyDescent="0.25">
      <c r="K823" s="400"/>
    </row>
    <row r="824" spans="11:11" x14ac:dyDescent="0.25">
      <c r="K824" s="400"/>
    </row>
    <row r="825" spans="11:11" x14ac:dyDescent="0.25">
      <c r="K825" s="400"/>
    </row>
    <row r="826" spans="11:11" x14ac:dyDescent="0.25">
      <c r="K826" s="400"/>
    </row>
    <row r="827" spans="11:11" x14ac:dyDescent="0.25">
      <c r="K827" s="400"/>
    </row>
    <row r="828" spans="11:11" x14ac:dyDescent="0.25">
      <c r="K828" s="400"/>
    </row>
    <row r="829" spans="11:11" x14ac:dyDescent="0.25">
      <c r="K829" s="400"/>
    </row>
    <row r="830" spans="11:11" x14ac:dyDescent="0.25">
      <c r="K830" s="400"/>
    </row>
    <row r="831" spans="11:11" x14ac:dyDescent="0.25">
      <c r="K831" s="400"/>
    </row>
    <row r="832" spans="11:11" x14ac:dyDescent="0.25">
      <c r="K832" s="400"/>
    </row>
    <row r="833" spans="11:11" x14ac:dyDescent="0.25">
      <c r="K833" s="400"/>
    </row>
    <row r="834" spans="11:11" x14ac:dyDescent="0.25">
      <c r="K834" s="400"/>
    </row>
    <row r="835" spans="11:11" x14ac:dyDescent="0.25">
      <c r="K835" s="400"/>
    </row>
    <row r="836" spans="11:11" x14ac:dyDescent="0.25">
      <c r="K836" s="400"/>
    </row>
    <row r="837" spans="11:11" x14ac:dyDescent="0.25">
      <c r="K837" s="400"/>
    </row>
    <row r="838" spans="11:11" x14ac:dyDescent="0.25">
      <c r="K838" s="400"/>
    </row>
    <row r="839" spans="11:11" x14ac:dyDescent="0.25">
      <c r="K839" s="400"/>
    </row>
    <row r="840" spans="11:11" x14ac:dyDescent="0.25">
      <c r="K840" s="400"/>
    </row>
    <row r="841" spans="11:11" x14ac:dyDescent="0.25">
      <c r="K841" s="400"/>
    </row>
    <row r="842" spans="11:11" x14ac:dyDescent="0.25">
      <c r="K842" s="400"/>
    </row>
    <row r="843" spans="11:11" x14ac:dyDescent="0.25">
      <c r="K843" s="400"/>
    </row>
    <row r="844" spans="11:11" x14ac:dyDescent="0.25">
      <c r="K844" s="400"/>
    </row>
    <row r="845" spans="11:11" x14ac:dyDescent="0.25">
      <c r="K845" s="400"/>
    </row>
    <row r="846" spans="11:11" x14ac:dyDescent="0.25">
      <c r="K846" s="400"/>
    </row>
    <row r="847" spans="11:11" x14ac:dyDescent="0.25">
      <c r="K847" s="400"/>
    </row>
    <row r="848" spans="11:11" x14ac:dyDescent="0.25">
      <c r="K848" s="400"/>
    </row>
    <row r="849" spans="11:11" x14ac:dyDescent="0.25">
      <c r="K849" s="400"/>
    </row>
    <row r="850" spans="11:11" x14ac:dyDescent="0.25">
      <c r="K850" s="400"/>
    </row>
    <row r="851" spans="11:11" x14ac:dyDescent="0.25">
      <c r="K851" s="400"/>
    </row>
    <row r="852" spans="11:11" x14ac:dyDescent="0.25">
      <c r="K852" s="400"/>
    </row>
    <row r="853" spans="11:11" x14ac:dyDescent="0.25">
      <c r="K853" s="400"/>
    </row>
    <row r="854" spans="11:11" x14ac:dyDescent="0.25">
      <c r="K854" s="400"/>
    </row>
    <row r="855" spans="11:11" x14ac:dyDescent="0.25">
      <c r="K855" s="400"/>
    </row>
    <row r="856" spans="11:11" x14ac:dyDescent="0.25">
      <c r="K856" s="400"/>
    </row>
    <row r="857" spans="11:11" x14ac:dyDescent="0.25">
      <c r="K857" s="400"/>
    </row>
    <row r="858" spans="11:11" x14ac:dyDescent="0.25">
      <c r="K858" s="400"/>
    </row>
    <row r="859" spans="11:11" x14ac:dyDescent="0.25">
      <c r="K859" s="400"/>
    </row>
    <row r="860" spans="11:11" x14ac:dyDescent="0.25">
      <c r="K860" s="400"/>
    </row>
    <row r="861" spans="11:11" x14ac:dyDescent="0.25">
      <c r="K861" s="400"/>
    </row>
    <row r="862" spans="11:11" x14ac:dyDescent="0.25">
      <c r="K862" s="400"/>
    </row>
    <row r="863" spans="11:11" x14ac:dyDescent="0.25">
      <c r="K863" s="400"/>
    </row>
    <row r="864" spans="11:11" x14ac:dyDescent="0.25">
      <c r="K864" s="400"/>
    </row>
    <row r="865" spans="11:11" x14ac:dyDescent="0.25">
      <c r="K865" s="400"/>
    </row>
    <row r="866" spans="11:11" x14ac:dyDescent="0.25">
      <c r="K866" s="400"/>
    </row>
    <row r="867" spans="11:11" x14ac:dyDescent="0.25">
      <c r="K867" s="400"/>
    </row>
    <row r="868" spans="11:11" x14ac:dyDescent="0.25">
      <c r="K868" s="400"/>
    </row>
    <row r="869" spans="11:11" x14ac:dyDescent="0.25">
      <c r="K869" s="400"/>
    </row>
    <row r="870" spans="11:11" x14ac:dyDescent="0.25">
      <c r="K870" s="400"/>
    </row>
    <row r="871" spans="11:11" x14ac:dyDescent="0.25">
      <c r="K871" s="400"/>
    </row>
    <row r="872" spans="11:11" x14ac:dyDescent="0.25">
      <c r="K872" s="400"/>
    </row>
    <row r="873" spans="11:11" x14ac:dyDescent="0.25">
      <c r="K873" s="400"/>
    </row>
    <row r="874" spans="11:11" x14ac:dyDescent="0.25">
      <c r="K874" s="400"/>
    </row>
    <row r="875" spans="11:11" x14ac:dyDescent="0.25">
      <c r="K875" s="400"/>
    </row>
    <row r="876" spans="11:11" x14ac:dyDescent="0.25">
      <c r="K876" s="400"/>
    </row>
    <row r="877" spans="11:11" x14ac:dyDescent="0.25">
      <c r="K877" s="400"/>
    </row>
    <row r="878" spans="11:11" x14ac:dyDescent="0.25">
      <c r="K878" s="400"/>
    </row>
    <row r="879" spans="11:11" x14ac:dyDescent="0.25">
      <c r="K879" s="400"/>
    </row>
    <row r="880" spans="11:11" x14ac:dyDescent="0.25">
      <c r="K880" s="400"/>
    </row>
    <row r="881" spans="11:11" x14ac:dyDescent="0.25">
      <c r="K881" s="400"/>
    </row>
    <row r="882" spans="11:11" x14ac:dyDescent="0.25">
      <c r="K882" s="400"/>
    </row>
    <row r="883" spans="11:11" x14ac:dyDescent="0.25">
      <c r="K883" s="400"/>
    </row>
    <row r="884" spans="11:11" x14ac:dyDescent="0.25">
      <c r="K884" s="400"/>
    </row>
    <row r="885" spans="11:11" x14ac:dyDescent="0.25">
      <c r="K885" s="400"/>
    </row>
    <row r="886" spans="11:11" x14ac:dyDescent="0.25">
      <c r="K886" s="400"/>
    </row>
    <row r="887" spans="11:11" x14ac:dyDescent="0.25">
      <c r="K887" s="400"/>
    </row>
    <row r="888" spans="11:11" x14ac:dyDescent="0.25">
      <c r="K888" s="400"/>
    </row>
    <row r="889" spans="11:11" x14ac:dyDescent="0.25">
      <c r="K889" s="400"/>
    </row>
    <row r="890" spans="11:11" x14ac:dyDescent="0.25">
      <c r="K890" s="400"/>
    </row>
    <row r="891" spans="11:11" x14ac:dyDescent="0.25">
      <c r="K891" s="400"/>
    </row>
    <row r="892" spans="11:11" x14ac:dyDescent="0.25">
      <c r="K892" s="400"/>
    </row>
    <row r="893" spans="11:11" x14ac:dyDescent="0.25">
      <c r="K893" s="400"/>
    </row>
    <row r="894" spans="11:11" x14ac:dyDescent="0.25">
      <c r="K894" s="400"/>
    </row>
    <row r="895" spans="11:11" x14ac:dyDescent="0.25">
      <c r="K895" s="400"/>
    </row>
    <row r="896" spans="11:11" x14ac:dyDescent="0.25">
      <c r="K896" s="400"/>
    </row>
    <row r="897" spans="11:11" x14ac:dyDescent="0.25">
      <c r="K897" s="400"/>
    </row>
    <row r="898" spans="11:11" x14ac:dyDescent="0.25">
      <c r="K898" s="400"/>
    </row>
    <row r="899" spans="11:11" x14ac:dyDescent="0.25">
      <c r="K899" s="400"/>
    </row>
    <row r="900" spans="11:11" x14ac:dyDescent="0.25">
      <c r="K900" s="400"/>
    </row>
    <row r="901" spans="11:11" x14ac:dyDescent="0.25">
      <c r="K901" s="400"/>
    </row>
    <row r="902" spans="11:11" x14ac:dyDescent="0.25">
      <c r="K902" s="400"/>
    </row>
    <row r="903" spans="11:11" x14ac:dyDescent="0.25">
      <c r="K903" s="400"/>
    </row>
    <row r="904" spans="11:11" x14ac:dyDescent="0.25">
      <c r="K904" s="400"/>
    </row>
    <row r="905" spans="11:11" x14ac:dyDescent="0.25">
      <c r="K905" s="400"/>
    </row>
    <row r="906" spans="11:11" x14ac:dyDescent="0.25">
      <c r="K906" s="400"/>
    </row>
    <row r="907" spans="11:11" x14ac:dyDescent="0.25">
      <c r="K907" s="400"/>
    </row>
    <row r="908" spans="11:11" x14ac:dyDescent="0.25">
      <c r="K908" s="400"/>
    </row>
    <row r="909" spans="11:11" x14ac:dyDescent="0.25">
      <c r="K909" s="400"/>
    </row>
    <row r="910" spans="11:11" x14ac:dyDescent="0.25">
      <c r="K910" s="400"/>
    </row>
    <row r="911" spans="11:11" x14ac:dyDescent="0.25">
      <c r="K911" s="400"/>
    </row>
    <row r="912" spans="11:11" x14ac:dyDescent="0.25">
      <c r="K912" s="400"/>
    </row>
    <row r="913" spans="11:11" x14ac:dyDescent="0.25">
      <c r="K913" s="400"/>
    </row>
    <row r="914" spans="11:11" x14ac:dyDescent="0.25">
      <c r="K914" s="400"/>
    </row>
    <row r="915" spans="11:11" x14ac:dyDescent="0.25">
      <c r="K915" s="400"/>
    </row>
    <row r="916" spans="11:11" x14ac:dyDescent="0.25">
      <c r="K916" s="400"/>
    </row>
    <row r="917" spans="11:11" x14ac:dyDescent="0.25">
      <c r="K917" s="400"/>
    </row>
    <row r="918" spans="11:11" x14ac:dyDescent="0.25">
      <c r="K918" s="400"/>
    </row>
    <row r="919" spans="11:11" x14ac:dyDescent="0.25">
      <c r="K919" s="400"/>
    </row>
    <row r="920" spans="11:11" x14ac:dyDescent="0.25">
      <c r="K920" s="400"/>
    </row>
    <row r="921" spans="11:11" x14ac:dyDescent="0.25">
      <c r="K921" s="400"/>
    </row>
    <row r="922" spans="11:11" x14ac:dyDescent="0.25">
      <c r="K922" s="400"/>
    </row>
    <row r="923" spans="11:11" x14ac:dyDescent="0.25">
      <c r="K923" s="400"/>
    </row>
    <row r="924" spans="11:11" x14ac:dyDescent="0.25">
      <c r="K924" s="400"/>
    </row>
    <row r="925" spans="11:11" x14ac:dyDescent="0.25">
      <c r="K925" s="400"/>
    </row>
    <row r="926" spans="11:11" x14ac:dyDescent="0.25">
      <c r="K926" s="400"/>
    </row>
    <row r="927" spans="11:11" x14ac:dyDescent="0.25">
      <c r="K927" s="400"/>
    </row>
    <row r="928" spans="11:11" x14ac:dyDescent="0.25">
      <c r="K928" s="400"/>
    </row>
    <row r="929" spans="11:11" x14ac:dyDescent="0.25">
      <c r="K929" s="400"/>
    </row>
    <row r="930" spans="11:11" x14ac:dyDescent="0.25">
      <c r="K930" s="400"/>
    </row>
    <row r="931" spans="11:11" x14ac:dyDescent="0.25">
      <c r="K931" s="400"/>
    </row>
    <row r="932" spans="11:11" x14ac:dyDescent="0.25">
      <c r="K932" s="400"/>
    </row>
    <row r="933" spans="11:11" x14ac:dyDescent="0.25">
      <c r="K933" s="400"/>
    </row>
    <row r="934" spans="11:11" x14ac:dyDescent="0.25">
      <c r="K934" s="400"/>
    </row>
    <row r="935" spans="11:11" x14ac:dyDescent="0.25">
      <c r="K935" s="400"/>
    </row>
    <row r="936" spans="11:11" x14ac:dyDescent="0.25">
      <c r="K936" s="400"/>
    </row>
    <row r="937" spans="11:11" x14ac:dyDescent="0.25">
      <c r="K937" s="400"/>
    </row>
    <row r="938" spans="11:11" x14ac:dyDescent="0.25">
      <c r="K938" s="400"/>
    </row>
    <row r="939" spans="11:11" x14ac:dyDescent="0.25">
      <c r="K939" s="400"/>
    </row>
    <row r="940" spans="11:11" x14ac:dyDescent="0.25">
      <c r="K940" s="400"/>
    </row>
    <row r="941" spans="11:11" x14ac:dyDescent="0.25">
      <c r="K941" s="400"/>
    </row>
    <row r="942" spans="11:11" x14ac:dyDescent="0.25">
      <c r="K942" s="400"/>
    </row>
    <row r="943" spans="11:11" x14ac:dyDescent="0.25">
      <c r="K943" s="400"/>
    </row>
    <row r="944" spans="11:11" x14ac:dyDescent="0.25">
      <c r="K944" s="400"/>
    </row>
    <row r="945" spans="11:11" x14ac:dyDescent="0.25">
      <c r="K945" s="400"/>
    </row>
    <row r="946" spans="11:11" x14ac:dyDescent="0.25">
      <c r="K946" s="400"/>
    </row>
    <row r="947" spans="11:11" x14ac:dyDescent="0.25">
      <c r="K947" s="400"/>
    </row>
    <row r="948" spans="11:11" x14ac:dyDescent="0.25">
      <c r="K948" s="400"/>
    </row>
    <row r="949" spans="11:11" x14ac:dyDescent="0.25">
      <c r="K949" s="400"/>
    </row>
    <row r="950" spans="11:11" x14ac:dyDescent="0.25">
      <c r="K950" s="400"/>
    </row>
    <row r="951" spans="11:11" x14ac:dyDescent="0.25">
      <c r="K951" s="400"/>
    </row>
    <row r="952" spans="11:11" x14ac:dyDescent="0.25">
      <c r="K952" s="400"/>
    </row>
    <row r="953" spans="11:11" x14ac:dyDescent="0.25">
      <c r="K953" s="400"/>
    </row>
    <row r="954" spans="11:11" x14ac:dyDescent="0.25">
      <c r="K954" s="400"/>
    </row>
    <row r="955" spans="11:11" x14ac:dyDescent="0.25">
      <c r="K955" s="400"/>
    </row>
    <row r="956" spans="11:11" x14ac:dyDescent="0.25">
      <c r="K956" s="400"/>
    </row>
    <row r="957" spans="11:11" x14ac:dyDescent="0.25">
      <c r="K957" s="400"/>
    </row>
    <row r="958" spans="11:11" x14ac:dyDescent="0.25">
      <c r="K958" s="400"/>
    </row>
    <row r="959" spans="11:11" x14ac:dyDescent="0.25">
      <c r="K959" s="400"/>
    </row>
    <row r="960" spans="11:11" x14ac:dyDescent="0.25">
      <c r="K960" s="400"/>
    </row>
    <row r="961" spans="11:11" x14ac:dyDescent="0.25">
      <c r="K961" s="400"/>
    </row>
    <row r="962" spans="11:11" x14ac:dyDescent="0.25">
      <c r="K962" s="400"/>
    </row>
    <row r="963" spans="11:11" x14ac:dyDescent="0.25">
      <c r="K963" s="400"/>
    </row>
    <row r="964" spans="11:11" x14ac:dyDescent="0.25">
      <c r="K964" s="400"/>
    </row>
    <row r="965" spans="11:11" x14ac:dyDescent="0.25">
      <c r="K965" s="400"/>
    </row>
    <row r="966" spans="11:11" x14ac:dyDescent="0.25">
      <c r="K966" s="400"/>
    </row>
    <row r="967" spans="11:11" x14ac:dyDescent="0.25">
      <c r="K967" s="400"/>
    </row>
    <row r="968" spans="11:11" x14ac:dyDescent="0.25">
      <c r="K968" s="400"/>
    </row>
    <row r="969" spans="11:11" x14ac:dyDescent="0.25">
      <c r="K969" s="400"/>
    </row>
    <row r="970" spans="11:11" x14ac:dyDescent="0.25">
      <c r="K970" s="400"/>
    </row>
    <row r="971" spans="11:11" x14ac:dyDescent="0.25">
      <c r="K971" s="400"/>
    </row>
    <row r="972" spans="11:11" x14ac:dyDescent="0.25">
      <c r="K972" s="400"/>
    </row>
    <row r="973" spans="11:11" x14ac:dyDescent="0.25">
      <c r="K973" s="400"/>
    </row>
    <row r="974" spans="11:11" x14ac:dyDescent="0.25">
      <c r="K974" s="400"/>
    </row>
    <row r="975" spans="11:11" x14ac:dyDescent="0.25">
      <c r="K975" s="400"/>
    </row>
    <row r="976" spans="11:11" x14ac:dyDescent="0.25">
      <c r="K976" s="400"/>
    </row>
    <row r="977" spans="11:11" x14ac:dyDescent="0.25">
      <c r="K977" s="400"/>
    </row>
    <row r="978" spans="11:11" x14ac:dyDescent="0.25">
      <c r="K978" s="400"/>
    </row>
    <row r="979" spans="11:11" x14ac:dyDescent="0.25">
      <c r="K979" s="400"/>
    </row>
    <row r="980" spans="11:11" x14ac:dyDescent="0.25">
      <c r="K980" s="400"/>
    </row>
    <row r="981" spans="11:11" x14ac:dyDescent="0.25">
      <c r="K981" s="400"/>
    </row>
    <row r="982" spans="11:11" x14ac:dyDescent="0.25">
      <c r="K982" s="400"/>
    </row>
    <row r="983" spans="11:11" x14ac:dyDescent="0.25">
      <c r="K983" s="400"/>
    </row>
    <row r="984" spans="11:11" x14ac:dyDescent="0.25">
      <c r="K984" s="400"/>
    </row>
    <row r="985" spans="11:11" x14ac:dyDescent="0.25">
      <c r="K985" s="400"/>
    </row>
    <row r="986" spans="11:11" x14ac:dyDescent="0.25">
      <c r="K986" s="400"/>
    </row>
    <row r="987" spans="11:11" x14ac:dyDescent="0.25">
      <c r="K987" s="400"/>
    </row>
    <row r="988" spans="11:11" x14ac:dyDescent="0.25">
      <c r="K988" s="400"/>
    </row>
    <row r="989" spans="11:11" x14ac:dyDescent="0.25">
      <c r="K989" s="400"/>
    </row>
    <row r="990" spans="11:11" x14ac:dyDescent="0.25">
      <c r="K990" s="400"/>
    </row>
    <row r="991" spans="11:11" x14ac:dyDescent="0.25">
      <c r="K991" s="400"/>
    </row>
    <row r="992" spans="11:11" x14ac:dyDescent="0.25">
      <c r="K992" s="400"/>
    </row>
    <row r="993" spans="11:11" x14ac:dyDescent="0.25">
      <c r="K993" s="400"/>
    </row>
    <row r="994" spans="11:11" x14ac:dyDescent="0.25">
      <c r="K994" s="400"/>
    </row>
    <row r="995" spans="11:11" x14ac:dyDescent="0.25">
      <c r="K995" s="400"/>
    </row>
    <row r="996" spans="11:11" x14ac:dyDescent="0.25">
      <c r="K996" s="400"/>
    </row>
    <row r="997" spans="11:11" x14ac:dyDescent="0.25">
      <c r="K997" s="400"/>
    </row>
    <row r="998" spans="11:11" x14ac:dyDescent="0.25">
      <c r="K998" s="400"/>
    </row>
    <row r="999" spans="11:11" x14ac:dyDescent="0.25">
      <c r="K999" s="400"/>
    </row>
    <row r="1000" spans="11:11" x14ac:dyDescent="0.25">
      <c r="K1000" s="400"/>
    </row>
    <row r="1001" spans="11:11" x14ac:dyDescent="0.25">
      <c r="K1001" s="400"/>
    </row>
    <row r="1002" spans="11:11" x14ac:dyDescent="0.25">
      <c r="K1002" s="400"/>
    </row>
    <row r="1003" spans="11:11" x14ac:dyDescent="0.25">
      <c r="K1003" s="400"/>
    </row>
    <row r="1004" spans="11:11" x14ac:dyDescent="0.25">
      <c r="K1004" s="400"/>
    </row>
    <row r="1005" spans="11:11" x14ac:dyDescent="0.25">
      <c r="K1005" s="400"/>
    </row>
    <row r="1006" spans="11:11" x14ac:dyDescent="0.25">
      <c r="K1006" s="400"/>
    </row>
    <row r="1007" spans="11:11" x14ac:dyDescent="0.25">
      <c r="K1007" s="400"/>
    </row>
    <row r="1008" spans="11:11" x14ac:dyDescent="0.25">
      <c r="K1008" s="400"/>
    </row>
    <row r="1009" spans="11:11" x14ac:dyDescent="0.25">
      <c r="K1009" s="400"/>
    </row>
    <row r="1010" spans="11:11" x14ac:dyDescent="0.25">
      <c r="K1010" s="400"/>
    </row>
    <row r="1011" spans="11:11" x14ac:dyDescent="0.25">
      <c r="K1011" s="400"/>
    </row>
    <row r="1012" spans="11:11" x14ac:dyDescent="0.25">
      <c r="K1012" s="400"/>
    </row>
    <row r="1013" spans="11:11" x14ac:dyDescent="0.25">
      <c r="K1013" s="400"/>
    </row>
    <row r="1014" spans="11:11" x14ac:dyDescent="0.25">
      <c r="K1014" s="400"/>
    </row>
    <row r="1015" spans="11:11" x14ac:dyDescent="0.25">
      <c r="K1015" s="400"/>
    </row>
    <row r="1016" spans="11:11" x14ac:dyDescent="0.25">
      <c r="K1016" s="400"/>
    </row>
    <row r="1017" spans="11:11" x14ac:dyDescent="0.25">
      <c r="K1017" s="400"/>
    </row>
    <row r="1018" spans="11:11" x14ac:dyDescent="0.25">
      <c r="K1018" s="400"/>
    </row>
    <row r="1019" spans="11:11" x14ac:dyDescent="0.25">
      <c r="K1019" s="400"/>
    </row>
    <row r="1020" spans="11:11" x14ac:dyDescent="0.25">
      <c r="K1020" s="400"/>
    </row>
    <row r="1021" spans="11:11" x14ac:dyDescent="0.25">
      <c r="K1021" s="400"/>
    </row>
    <row r="1022" spans="11:11" x14ac:dyDescent="0.25">
      <c r="K1022" s="400"/>
    </row>
    <row r="1023" spans="11:11" x14ac:dyDescent="0.25">
      <c r="K1023" s="400"/>
    </row>
    <row r="1024" spans="11:11" x14ac:dyDescent="0.25">
      <c r="K1024" s="400"/>
    </row>
    <row r="1025" spans="11:11" x14ac:dyDescent="0.25">
      <c r="K1025" s="400"/>
    </row>
    <row r="1026" spans="11:11" x14ac:dyDescent="0.25">
      <c r="K1026" s="400"/>
    </row>
    <row r="1027" spans="11:11" x14ac:dyDescent="0.25">
      <c r="K1027" s="400"/>
    </row>
    <row r="1028" spans="11:11" x14ac:dyDescent="0.25">
      <c r="K1028" s="400"/>
    </row>
    <row r="1029" spans="11:11" x14ac:dyDescent="0.25">
      <c r="K1029" s="400"/>
    </row>
    <row r="1030" spans="11:11" x14ac:dyDescent="0.25">
      <c r="K1030" s="400"/>
    </row>
    <row r="1031" spans="11:11" x14ac:dyDescent="0.25">
      <c r="K1031" s="400"/>
    </row>
    <row r="1032" spans="11:11" x14ac:dyDescent="0.25">
      <c r="K1032" s="400"/>
    </row>
    <row r="1033" spans="11:11" x14ac:dyDescent="0.25">
      <c r="K1033" s="400"/>
    </row>
    <row r="1034" spans="11:11" x14ac:dyDescent="0.25">
      <c r="K1034" s="400"/>
    </row>
    <row r="1035" spans="11:11" x14ac:dyDescent="0.25">
      <c r="K1035" s="400"/>
    </row>
    <row r="1036" spans="11:11" x14ac:dyDescent="0.25">
      <c r="K1036" s="400"/>
    </row>
    <row r="1037" spans="11:11" x14ac:dyDescent="0.25">
      <c r="K1037" s="400"/>
    </row>
    <row r="1038" spans="11:11" x14ac:dyDescent="0.25">
      <c r="K1038" s="400"/>
    </row>
    <row r="1039" spans="11:11" x14ac:dyDescent="0.25">
      <c r="K1039" s="400"/>
    </row>
    <row r="1040" spans="11:11" x14ac:dyDescent="0.25">
      <c r="K1040" s="400"/>
    </row>
    <row r="1041" spans="11:11" x14ac:dyDescent="0.25">
      <c r="K1041" s="400"/>
    </row>
    <row r="1042" spans="11:11" x14ac:dyDescent="0.25">
      <c r="K1042" s="400"/>
    </row>
    <row r="1043" spans="11:11" x14ac:dyDescent="0.25">
      <c r="K1043" s="400"/>
    </row>
    <row r="1044" spans="11:11" x14ac:dyDescent="0.25">
      <c r="K1044" s="400"/>
    </row>
    <row r="1045" spans="11:11" x14ac:dyDescent="0.25">
      <c r="K1045" s="400"/>
    </row>
    <row r="1046" spans="11:11" x14ac:dyDescent="0.25">
      <c r="K1046" s="400"/>
    </row>
    <row r="1047" spans="11:11" x14ac:dyDescent="0.25">
      <c r="K1047" s="400"/>
    </row>
    <row r="1048" spans="11:11" x14ac:dyDescent="0.25">
      <c r="K1048" s="400"/>
    </row>
    <row r="1049" spans="11:11" x14ac:dyDescent="0.25">
      <c r="K1049" s="400"/>
    </row>
    <row r="1050" spans="11:11" x14ac:dyDescent="0.25">
      <c r="K1050" s="400"/>
    </row>
    <row r="1051" spans="11:11" x14ac:dyDescent="0.25">
      <c r="K1051" s="400"/>
    </row>
    <row r="1052" spans="11:11" x14ac:dyDescent="0.25">
      <c r="K1052" s="400"/>
    </row>
    <row r="1053" spans="11:11" x14ac:dyDescent="0.25">
      <c r="K1053" s="400"/>
    </row>
    <row r="1054" spans="11:11" x14ac:dyDescent="0.25">
      <c r="K1054" s="400"/>
    </row>
    <row r="1055" spans="11:11" x14ac:dyDescent="0.25">
      <c r="K1055" s="400"/>
    </row>
    <row r="1056" spans="11:11" x14ac:dyDescent="0.25">
      <c r="K1056" s="400"/>
    </row>
    <row r="1057" spans="11:11" x14ac:dyDescent="0.25">
      <c r="K1057" s="400"/>
    </row>
    <row r="1058" spans="11:11" x14ac:dyDescent="0.25">
      <c r="K1058" s="400"/>
    </row>
    <row r="1059" spans="11:11" x14ac:dyDescent="0.25">
      <c r="K1059" s="400"/>
    </row>
    <row r="1060" spans="11:11" x14ac:dyDescent="0.25">
      <c r="K1060" s="400"/>
    </row>
    <row r="1061" spans="11:11" x14ac:dyDescent="0.25">
      <c r="K1061" s="400"/>
    </row>
    <row r="1062" spans="11:11" x14ac:dyDescent="0.25">
      <c r="K1062" s="400"/>
    </row>
    <row r="1063" spans="11:11" x14ac:dyDescent="0.25">
      <c r="K1063" s="400"/>
    </row>
    <row r="1064" spans="11:11" x14ac:dyDescent="0.25">
      <c r="K1064" s="400"/>
    </row>
    <row r="1065" spans="11:11" x14ac:dyDescent="0.25">
      <c r="K1065" s="400"/>
    </row>
    <row r="1066" spans="11:11" x14ac:dyDescent="0.25">
      <c r="K1066" s="400"/>
    </row>
    <row r="1067" spans="11:11" x14ac:dyDescent="0.25">
      <c r="K1067" s="400"/>
    </row>
    <row r="1068" spans="11:11" x14ac:dyDescent="0.25">
      <c r="K1068" s="400"/>
    </row>
    <row r="1069" spans="11:11" x14ac:dyDescent="0.25">
      <c r="K1069" s="400"/>
    </row>
    <row r="1070" spans="11:11" x14ac:dyDescent="0.25">
      <c r="K1070" s="400"/>
    </row>
    <row r="1071" spans="11:11" x14ac:dyDescent="0.25">
      <c r="K1071" s="400"/>
    </row>
    <row r="1072" spans="11:11" x14ac:dyDescent="0.25">
      <c r="K1072" s="400"/>
    </row>
    <row r="1073" spans="11:11" x14ac:dyDescent="0.25">
      <c r="K1073" s="400"/>
    </row>
    <row r="1074" spans="11:11" x14ac:dyDescent="0.25">
      <c r="K1074" s="400"/>
    </row>
    <row r="1075" spans="11:11" x14ac:dyDescent="0.25">
      <c r="K1075" s="400"/>
    </row>
    <row r="1076" spans="11:11" x14ac:dyDescent="0.25">
      <c r="K1076" s="400"/>
    </row>
    <row r="1077" spans="11:11" x14ac:dyDescent="0.25">
      <c r="K1077" s="400"/>
    </row>
    <row r="1078" spans="11:11" x14ac:dyDescent="0.25">
      <c r="K1078" s="400"/>
    </row>
    <row r="1079" spans="11:11" x14ac:dyDescent="0.25">
      <c r="K1079" s="400"/>
    </row>
    <row r="1080" spans="11:11" x14ac:dyDescent="0.25">
      <c r="K1080" s="400"/>
    </row>
    <row r="1081" spans="11:11" x14ac:dyDescent="0.25">
      <c r="K1081" s="400"/>
    </row>
    <row r="1082" spans="11:11" x14ac:dyDescent="0.25">
      <c r="K1082" s="400"/>
    </row>
    <row r="1083" spans="11:11" x14ac:dyDescent="0.25">
      <c r="K1083" s="400"/>
    </row>
    <row r="1084" spans="11:11" x14ac:dyDescent="0.25">
      <c r="K1084" s="400"/>
    </row>
    <row r="1085" spans="11:11" x14ac:dyDescent="0.25">
      <c r="K1085" s="400"/>
    </row>
    <row r="1086" spans="11:11" x14ac:dyDescent="0.25">
      <c r="K1086" s="400"/>
    </row>
    <row r="1087" spans="11:11" x14ac:dyDescent="0.25">
      <c r="K1087" s="400"/>
    </row>
    <row r="1088" spans="11:11" x14ac:dyDescent="0.25">
      <c r="K1088" s="400"/>
    </row>
    <row r="1089" spans="11:11" x14ac:dyDescent="0.25">
      <c r="K1089" s="400"/>
    </row>
    <row r="1090" spans="11:11" x14ac:dyDescent="0.25">
      <c r="K1090" s="400"/>
    </row>
    <row r="1091" spans="11:11" x14ac:dyDescent="0.25">
      <c r="K1091" s="400"/>
    </row>
    <row r="1092" spans="11:11" x14ac:dyDescent="0.25">
      <c r="K1092" s="400"/>
    </row>
    <row r="1093" spans="11:11" x14ac:dyDescent="0.25">
      <c r="K1093" s="400"/>
    </row>
    <row r="1094" spans="11:11" x14ac:dyDescent="0.25">
      <c r="K1094" s="400"/>
    </row>
    <row r="1095" spans="11:11" x14ac:dyDescent="0.25">
      <c r="K1095" s="400"/>
    </row>
    <row r="1096" spans="11:11" x14ac:dyDescent="0.25">
      <c r="K1096" s="400"/>
    </row>
    <row r="1097" spans="11:11" x14ac:dyDescent="0.25">
      <c r="K1097" s="400"/>
    </row>
    <row r="1098" spans="11:11" x14ac:dyDescent="0.25">
      <c r="K1098" s="400"/>
    </row>
    <row r="1099" spans="11:11" x14ac:dyDescent="0.25">
      <c r="K1099" s="400"/>
    </row>
    <row r="1100" spans="11:11" x14ac:dyDescent="0.25">
      <c r="K1100" s="400"/>
    </row>
    <row r="1101" spans="11:11" x14ac:dyDescent="0.25">
      <c r="K1101" s="400"/>
    </row>
    <row r="1102" spans="11:11" x14ac:dyDescent="0.25">
      <c r="K1102" s="400"/>
    </row>
    <row r="1103" spans="11:11" x14ac:dyDescent="0.25">
      <c r="K1103" s="400"/>
    </row>
    <row r="1104" spans="11:11" x14ac:dyDescent="0.25">
      <c r="K1104" s="400"/>
    </row>
    <row r="1105" spans="11:11" x14ac:dyDescent="0.25">
      <c r="K1105" s="400"/>
    </row>
    <row r="1106" spans="11:11" x14ac:dyDescent="0.25">
      <c r="K1106" s="400"/>
    </row>
    <row r="1107" spans="11:11" x14ac:dyDescent="0.25">
      <c r="K1107" s="400"/>
    </row>
    <row r="1108" spans="11:11" x14ac:dyDescent="0.25">
      <c r="K1108" s="400"/>
    </row>
    <row r="1109" spans="11:11" x14ac:dyDescent="0.25">
      <c r="K1109" s="400"/>
    </row>
    <row r="1110" spans="11:11" x14ac:dyDescent="0.25">
      <c r="K1110" s="400"/>
    </row>
    <row r="1111" spans="11:11" x14ac:dyDescent="0.25">
      <c r="K1111" s="400"/>
    </row>
    <row r="1112" spans="11:11" x14ac:dyDescent="0.25">
      <c r="K1112" s="400"/>
    </row>
    <row r="1113" spans="11:11" x14ac:dyDescent="0.25">
      <c r="K1113" s="400"/>
    </row>
    <row r="1114" spans="11:11" x14ac:dyDescent="0.25">
      <c r="K1114" s="400"/>
    </row>
    <row r="1115" spans="11:11" x14ac:dyDescent="0.25">
      <c r="K1115" s="400"/>
    </row>
    <row r="1116" spans="11:11" x14ac:dyDescent="0.25">
      <c r="K1116" s="400"/>
    </row>
    <row r="1117" spans="11:11" x14ac:dyDescent="0.25">
      <c r="K1117" s="400"/>
    </row>
    <row r="1118" spans="11:11" x14ac:dyDescent="0.25">
      <c r="K1118" s="400"/>
    </row>
    <row r="1119" spans="11:11" x14ac:dyDescent="0.25">
      <c r="K1119" s="400"/>
    </row>
    <row r="1120" spans="11:11" x14ac:dyDescent="0.25">
      <c r="K1120" s="400"/>
    </row>
    <row r="1121" spans="11:11" x14ac:dyDescent="0.25">
      <c r="K1121" s="400"/>
    </row>
    <row r="1122" spans="11:11" x14ac:dyDescent="0.25">
      <c r="K1122" s="400"/>
    </row>
    <row r="1123" spans="11:11" x14ac:dyDescent="0.25">
      <c r="K1123" s="400"/>
    </row>
    <row r="1124" spans="11:11" x14ac:dyDescent="0.25">
      <c r="K1124" s="400"/>
    </row>
    <row r="1125" spans="11:11" x14ac:dyDescent="0.25">
      <c r="K1125" s="400"/>
    </row>
    <row r="1126" spans="11:11" x14ac:dyDescent="0.25">
      <c r="K1126" s="400"/>
    </row>
    <row r="1127" spans="11:11" x14ac:dyDescent="0.25">
      <c r="K1127" s="400"/>
    </row>
    <row r="1128" spans="11:11" x14ac:dyDescent="0.25">
      <c r="K1128" s="400"/>
    </row>
    <row r="1129" spans="11:11" x14ac:dyDescent="0.25">
      <c r="K1129" s="400"/>
    </row>
    <row r="1130" spans="11:11" x14ac:dyDescent="0.25">
      <c r="K1130" s="400"/>
    </row>
    <row r="1131" spans="11:11" x14ac:dyDescent="0.25">
      <c r="K1131" s="400"/>
    </row>
    <row r="1132" spans="11:11" x14ac:dyDescent="0.25">
      <c r="K1132" s="400"/>
    </row>
    <row r="1133" spans="11:11" x14ac:dyDescent="0.25">
      <c r="K1133" s="400"/>
    </row>
    <row r="1134" spans="11:11" x14ac:dyDescent="0.25">
      <c r="K1134" s="400"/>
    </row>
    <row r="1135" spans="11:11" x14ac:dyDescent="0.25">
      <c r="K1135" s="400"/>
    </row>
    <row r="1136" spans="11:11" x14ac:dyDescent="0.25">
      <c r="K1136" s="400"/>
    </row>
    <row r="1137" spans="11:11" x14ac:dyDescent="0.25">
      <c r="K1137" s="400"/>
    </row>
    <row r="1138" spans="11:11" x14ac:dyDescent="0.25">
      <c r="K1138" s="400"/>
    </row>
    <row r="1139" spans="11:11" x14ac:dyDescent="0.25">
      <c r="K1139" s="400"/>
    </row>
    <row r="1140" spans="11:11" x14ac:dyDescent="0.25">
      <c r="K1140" s="400"/>
    </row>
    <row r="1141" spans="11:11" x14ac:dyDescent="0.25">
      <c r="K1141" s="400"/>
    </row>
    <row r="1142" spans="11:11" x14ac:dyDescent="0.25">
      <c r="K1142" s="400"/>
    </row>
    <row r="1143" spans="11:11" x14ac:dyDescent="0.25">
      <c r="K1143" s="400"/>
    </row>
    <row r="1144" spans="11:11" x14ac:dyDescent="0.25">
      <c r="K1144" s="400"/>
    </row>
    <row r="1145" spans="11:11" x14ac:dyDescent="0.25">
      <c r="K1145" s="400"/>
    </row>
    <row r="1146" spans="11:11" x14ac:dyDescent="0.25">
      <c r="K1146" s="400"/>
    </row>
    <row r="1147" spans="11:11" x14ac:dyDescent="0.25">
      <c r="K1147" s="400"/>
    </row>
    <row r="1148" spans="11:11" x14ac:dyDescent="0.25">
      <c r="K1148" s="400"/>
    </row>
    <row r="1149" spans="11:11" x14ac:dyDescent="0.25">
      <c r="K1149" s="400"/>
    </row>
    <row r="1150" spans="11:11" x14ac:dyDescent="0.25">
      <c r="K1150" s="400"/>
    </row>
    <row r="1151" spans="11:11" x14ac:dyDescent="0.25">
      <c r="K1151" s="400"/>
    </row>
    <row r="1152" spans="11:11" x14ac:dyDescent="0.25">
      <c r="K1152" s="400"/>
    </row>
    <row r="1153" spans="11:11" x14ac:dyDescent="0.25">
      <c r="K1153" s="400"/>
    </row>
    <row r="1154" spans="11:11" x14ac:dyDescent="0.25">
      <c r="K1154" s="400"/>
    </row>
    <row r="1155" spans="11:11" x14ac:dyDescent="0.25">
      <c r="K1155" s="400"/>
    </row>
    <row r="1156" spans="11:11" x14ac:dyDescent="0.25">
      <c r="K1156" s="400"/>
    </row>
    <row r="1157" spans="11:11" x14ac:dyDescent="0.25">
      <c r="K1157" s="400"/>
    </row>
    <row r="1158" spans="11:11" x14ac:dyDescent="0.25">
      <c r="K1158" s="400"/>
    </row>
    <row r="1159" spans="11:11" x14ac:dyDescent="0.25">
      <c r="K1159" s="400"/>
    </row>
    <row r="1160" spans="11:11" x14ac:dyDescent="0.25">
      <c r="K1160" s="400"/>
    </row>
    <row r="1161" spans="11:11" x14ac:dyDescent="0.25">
      <c r="K1161" s="400"/>
    </row>
    <row r="1162" spans="11:11" x14ac:dyDescent="0.25">
      <c r="K1162" s="400"/>
    </row>
    <row r="1163" spans="11:11" x14ac:dyDescent="0.25">
      <c r="K1163" s="400"/>
    </row>
    <row r="1164" spans="11:11" x14ac:dyDescent="0.25">
      <c r="K1164" s="400"/>
    </row>
    <row r="1165" spans="11:11" x14ac:dyDescent="0.25">
      <c r="K1165" s="400"/>
    </row>
    <row r="1166" spans="11:11" x14ac:dyDescent="0.25">
      <c r="K1166" s="400"/>
    </row>
    <row r="1167" spans="11:11" x14ac:dyDescent="0.25">
      <c r="K1167" s="400"/>
    </row>
    <row r="1168" spans="11:11" x14ac:dyDescent="0.25">
      <c r="K1168" s="400"/>
    </row>
    <row r="1169" spans="11:11" x14ac:dyDescent="0.25">
      <c r="K1169" s="400"/>
    </row>
    <row r="1170" spans="11:11" x14ac:dyDescent="0.25">
      <c r="K1170" s="400"/>
    </row>
    <row r="1171" spans="11:11" x14ac:dyDescent="0.25">
      <c r="K1171" s="400"/>
    </row>
    <row r="1172" spans="11:11" x14ac:dyDescent="0.25">
      <c r="K1172" s="400"/>
    </row>
    <row r="1173" spans="11:11" x14ac:dyDescent="0.25">
      <c r="K1173" s="400"/>
    </row>
    <row r="1174" spans="11:11" x14ac:dyDescent="0.25">
      <c r="K1174" s="400"/>
    </row>
    <row r="1175" spans="11:11" x14ac:dyDescent="0.25">
      <c r="K1175" s="400"/>
    </row>
    <row r="1176" spans="11:11" x14ac:dyDescent="0.25">
      <c r="K1176" s="400"/>
    </row>
    <row r="1177" spans="11:11" x14ac:dyDescent="0.25">
      <c r="K1177" s="400"/>
    </row>
    <row r="1178" spans="11:11" x14ac:dyDescent="0.25">
      <c r="K1178" s="400"/>
    </row>
    <row r="1179" spans="11:11" x14ac:dyDescent="0.25">
      <c r="K1179" s="400"/>
    </row>
    <row r="1180" spans="11:11" x14ac:dyDescent="0.25">
      <c r="K1180" s="400"/>
    </row>
    <row r="1181" spans="11:11" x14ac:dyDescent="0.25">
      <c r="K1181" s="400"/>
    </row>
    <row r="1182" spans="11:11" x14ac:dyDescent="0.25">
      <c r="K1182" s="400"/>
    </row>
    <row r="1183" spans="11:11" x14ac:dyDescent="0.25">
      <c r="K1183" s="400"/>
    </row>
    <row r="1184" spans="11:11" x14ac:dyDescent="0.25">
      <c r="K1184" s="400"/>
    </row>
    <row r="1185" spans="11:11" x14ac:dyDescent="0.25">
      <c r="K1185" s="400"/>
    </row>
    <row r="1186" spans="11:11" x14ac:dyDescent="0.25">
      <c r="K1186" s="400"/>
    </row>
    <row r="1187" spans="11:11" x14ac:dyDescent="0.25">
      <c r="K1187" s="400"/>
    </row>
    <row r="1188" spans="11:11" x14ac:dyDescent="0.25">
      <c r="K1188" s="400"/>
    </row>
    <row r="1189" spans="11:11" x14ac:dyDescent="0.25">
      <c r="K1189" s="400"/>
    </row>
    <row r="1190" spans="11:11" x14ac:dyDescent="0.25">
      <c r="K1190" s="400"/>
    </row>
    <row r="1191" spans="11:11" x14ac:dyDescent="0.25">
      <c r="K1191" s="400"/>
    </row>
    <row r="1192" spans="11:11" x14ac:dyDescent="0.25">
      <c r="K1192" s="400"/>
    </row>
    <row r="1193" spans="11:11" x14ac:dyDescent="0.25">
      <c r="K1193" s="400"/>
    </row>
    <row r="1194" spans="11:11" x14ac:dyDescent="0.25">
      <c r="K1194" s="400"/>
    </row>
    <row r="1195" spans="11:11" x14ac:dyDescent="0.25">
      <c r="K1195" s="400"/>
    </row>
    <row r="1196" spans="11:11" x14ac:dyDescent="0.25">
      <c r="K1196" s="400"/>
    </row>
    <row r="1197" spans="11:11" x14ac:dyDescent="0.25">
      <c r="K1197" s="400"/>
    </row>
    <row r="1198" spans="11:11" x14ac:dyDescent="0.25">
      <c r="K1198" s="400"/>
    </row>
    <row r="1199" spans="11:11" x14ac:dyDescent="0.25">
      <c r="K1199" s="400"/>
    </row>
    <row r="1200" spans="11:11" x14ac:dyDescent="0.25">
      <c r="K1200" s="400"/>
    </row>
    <row r="1201" spans="11:11" x14ac:dyDescent="0.25">
      <c r="K1201" s="400"/>
    </row>
    <row r="1202" spans="11:11" x14ac:dyDescent="0.25">
      <c r="K1202" s="400"/>
    </row>
    <row r="1203" spans="11:11" x14ac:dyDescent="0.25">
      <c r="K1203" s="400"/>
    </row>
    <row r="1204" spans="11:11" x14ac:dyDescent="0.25">
      <c r="K1204" s="400"/>
    </row>
    <row r="1205" spans="11:11" x14ac:dyDescent="0.25">
      <c r="K1205" s="400"/>
    </row>
    <row r="1206" spans="11:11" x14ac:dyDescent="0.25">
      <c r="K1206" s="400"/>
    </row>
    <row r="1207" spans="11:11" x14ac:dyDescent="0.25">
      <c r="K1207" s="400"/>
    </row>
    <row r="1208" spans="11:11" x14ac:dyDescent="0.25">
      <c r="K1208" s="400"/>
    </row>
    <row r="1209" spans="11:11" x14ac:dyDescent="0.25">
      <c r="K1209" s="400"/>
    </row>
    <row r="1210" spans="11:11" x14ac:dyDescent="0.25">
      <c r="K1210" s="400"/>
    </row>
    <row r="1211" spans="11:11" x14ac:dyDescent="0.25">
      <c r="K1211" s="400"/>
    </row>
    <row r="1212" spans="11:11" x14ac:dyDescent="0.25">
      <c r="K1212" s="400"/>
    </row>
    <row r="1213" spans="11:11" x14ac:dyDescent="0.25">
      <c r="K1213" s="400"/>
    </row>
    <row r="1214" spans="11:11" x14ac:dyDescent="0.25">
      <c r="K1214" s="400"/>
    </row>
    <row r="1215" spans="11:11" x14ac:dyDescent="0.25">
      <c r="K1215" s="400"/>
    </row>
    <row r="1216" spans="11:11" x14ac:dyDescent="0.25">
      <c r="K1216" s="400"/>
    </row>
    <row r="1217" spans="11:11" x14ac:dyDescent="0.25">
      <c r="K1217" s="400"/>
    </row>
    <row r="1218" spans="11:11" x14ac:dyDescent="0.25">
      <c r="K1218" s="400"/>
    </row>
    <row r="1219" spans="11:11" x14ac:dyDescent="0.25">
      <c r="K1219" s="400"/>
    </row>
    <row r="1220" spans="11:11" x14ac:dyDescent="0.25">
      <c r="K1220" s="400"/>
    </row>
    <row r="1221" spans="11:11" x14ac:dyDescent="0.25">
      <c r="K1221" s="400"/>
    </row>
    <row r="1222" spans="11:11" x14ac:dyDescent="0.25">
      <c r="K1222" s="400"/>
    </row>
    <row r="1223" spans="11:11" x14ac:dyDescent="0.25">
      <c r="K1223" s="400"/>
    </row>
    <row r="1224" spans="11:11" x14ac:dyDescent="0.25">
      <c r="K1224" s="400"/>
    </row>
    <row r="1225" spans="11:11" x14ac:dyDescent="0.25">
      <c r="K1225" s="400"/>
    </row>
    <row r="1226" spans="11:11" x14ac:dyDescent="0.25">
      <c r="K1226" s="400"/>
    </row>
    <row r="1227" spans="11:11" x14ac:dyDescent="0.25">
      <c r="K1227" s="400"/>
    </row>
    <row r="1228" spans="11:11" x14ac:dyDescent="0.25">
      <c r="K1228" s="400"/>
    </row>
    <row r="1229" spans="11:11" x14ac:dyDescent="0.25">
      <c r="K1229" s="400"/>
    </row>
    <row r="1230" spans="11:11" x14ac:dyDescent="0.25">
      <c r="K1230" s="400"/>
    </row>
    <row r="1231" spans="11:11" x14ac:dyDescent="0.25">
      <c r="K1231" s="400"/>
    </row>
    <row r="1232" spans="11:11" x14ac:dyDescent="0.25">
      <c r="K1232" s="400"/>
    </row>
    <row r="1233" spans="11:11" x14ac:dyDescent="0.25">
      <c r="K1233" s="400"/>
    </row>
    <row r="1234" spans="11:11" x14ac:dyDescent="0.25">
      <c r="K1234" s="400"/>
    </row>
    <row r="1235" spans="11:11" x14ac:dyDescent="0.25">
      <c r="K1235" s="400"/>
    </row>
    <row r="1236" spans="11:11" x14ac:dyDescent="0.25">
      <c r="K1236" s="400"/>
    </row>
    <row r="1237" spans="11:11" x14ac:dyDescent="0.25">
      <c r="K1237" s="400"/>
    </row>
    <row r="1238" spans="11:11" x14ac:dyDescent="0.25">
      <c r="K1238" s="400"/>
    </row>
    <row r="1239" spans="11:11" x14ac:dyDescent="0.25">
      <c r="K1239" s="400"/>
    </row>
    <row r="1240" spans="11:11" x14ac:dyDescent="0.25">
      <c r="K1240" s="400"/>
    </row>
    <row r="1241" spans="11:11" x14ac:dyDescent="0.25">
      <c r="K1241" s="400"/>
    </row>
    <row r="1242" spans="11:11" x14ac:dyDescent="0.25">
      <c r="K1242" s="400"/>
    </row>
    <row r="1243" spans="11:11" x14ac:dyDescent="0.25">
      <c r="K1243" s="400"/>
    </row>
    <row r="1244" spans="11:11" x14ac:dyDescent="0.25">
      <c r="K1244" s="400"/>
    </row>
    <row r="1245" spans="11:11" x14ac:dyDescent="0.25">
      <c r="K1245" s="400"/>
    </row>
    <row r="1246" spans="11:11" x14ac:dyDescent="0.25">
      <c r="K1246" s="400"/>
    </row>
    <row r="1247" spans="11:11" x14ac:dyDescent="0.25">
      <c r="K1247" s="400"/>
    </row>
    <row r="1248" spans="11:11" x14ac:dyDescent="0.25">
      <c r="K1248" s="400"/>
    </row>
    <row r="1249" spans="11:11" x14ac:dyDescent="0.25">
      <c r="K1249" s="400"/>
    </row>
    <row r="1250" spans="11:11" x14ac:dyDescent="0.25">
      <c r="K1250" s="400"/>
    </row>
    <row r="1251" spans="11:11" x14ac:dyDescent="0.25">
      <c r="K1251" s="400"/>
    </row>
    <row r="1252" spans="11:11" x14ac:dyDescent="0.25">
      <c r="K1252" s="400"/>
    </row>
    <row r="1253" spans="11:11" x14ac:dyDescent="0.25">
      <c r="K1253" s="400"/>
    </row>
    <row r="1254" spans="11:11" x14ac:dyDescent="0.25">
      <c r="K1254" s="400"/>
    </row>
    <row r="1255" spans="11:11" x14ac:dyDescent="0.25">
      <c r="K1255" s="400"/>
    </row>
    <row r="1256" spans="11:11" x14ac:dyDescent="0.25">
      <c r="K1256" s="400"/>
    </row>
    <row r="1257" spans="11:11" x14ac:dyDescent="0.25">
      <c r="K1257" s="400"/>
    </row>
    <row r="1258" spans="11:11" x14ac:dyDescent="0.25">
      <c r="K1258" s="400"/>
    </row>
    <row r="1259" spans="11:11" x14ac:dyDescent="0.25">
      <c r="K1259" s="400"/>
    </row>
    <row r="1260" spans="11:11" x14ac:dyDescent="0.25">
      <c r="K1260" s="400"/>
    </row>
    <row r="1261" spans="11:11" x14ac:dyDescent="0.25">
      <c r="K1261" s="400"/>
    </row>
    <row r="1262" spans="11:11" x14ac:dyDescent="0.25">
      <c r="K1262" s="400"/>
    </row>
    <row r="1263" spans="11:11" x14ac:dyDescent="0.25">
      <c r="K1263" s="400"/>
    </row>
    <row r="1264" spans="11:11" x14ac:dyDescent="0.25">
      <c r="K1264" s="400"/>
    </row>
    <row r="1265" spans="11:11" x14ac:dyDescent="0.25">
      <c r="K1265" s="400"/>
    </row>
    <row r="1266" spans="11:11" x14ac:dyDescent="0.25">
      <c r="K1266" s="400"/>
    </row>
    <row r="1267" spans="11:11" x14ac:dyDescent="0.25">
      <c r="K1267" s="400"/>
    </row>
    <row r="1268" spans="11:11" x14ac:dyDescent="0.25">
      <c r="K1268" s="400"/>
    </row>
    <row r="1269" spans="11:11" x14ac:dyDescent="0.25">
      <c r="K1269" s="400"/>
    </row>
    <row r="1270" spans="11:11" x14ac:dyDescent="0.25">
      <c r="K1270" s="400"/>
    </row>
    <row r="1271" spans="11:11" x14ac:dyDescent="0.25">
      <c r="K1271" s="400"/>
    </row>
    <row r="1272" spans="11:11" x14ac:dyDescent="0.25">
      <c r="K1272" s="400"/>
    </row>
    <row r="1273" spans="11:11" x14ac:dyDescent="0.25">
      <c r="K1273" s="400"/>
    </row>
    <row r="1274" spans="11:11" x14ac:dyDescent="0.25">
      <c r="K1274" s="400"/>
    </row>
    <row r="1275" spans="11:11" x14ac:dyDescent="0.25">
      <c r="K1275" s="400"/>
    </row>
    <row r="1276" spans="11:11" x14ac:dyDescent="0.25">
      <c r="K1276" s="400"/>
    </row>
    <row r="1277" spans="11:11" x14ac:dyDescent="0.25">
      <c r="K1277" s="400"/>
    </row>
    <row r="1278" spans="11:11" x14ac:dyDescent="0.25">
      <c r="K1278" s="400"/>
    </row>
    <row r="1279" spans="11:11" x14ac:dyDescent="0.25">
      <c r="K1279" s="400"/>
    </row>
    <row r="1280" spans="11:11" x14ac:dyDescent="0.25">
      <c r="K1280" s="400"/>
    </row>
    <row r="1281" spans="11:11" x14ac:dyDescent="0.25">
      <c r="K1281" s="400"/>
    </row>
    <row r="1282" spans="11:11" x14ac:dyDescent="0.25">
      <c r="K1282" s="400"/>
    </row>
    <row r="1283" spans="11:11" x14ac:dyDescent="0.25">
      <c r="K1283" s="400"/>
    </row>
    <row r="1284" spans="11:11" x14ac:dyDescent="0.25">
      <c r="K1284" s="400"/>
    </row>
    <row r="1285" spans="11:11" x14ac:dyDescent="0.25">
      <c r="K1285" s="400"/>
    </row>
    <row r="1286" spans="11:11" x14ac:dyDescent="0.25">
      <c r="K1286" s="400"/>
    </row>
    <row r="1287" spans="11:11" x14ac:dyDescent="0.25">
      <c r="K1287" s="400"/>
    </row>
    <row r="1288" spans="11:11" x14ac:dyDescent="0.25">
      <c r="K1288" s="400"/>
    </row>
    <row r="1289" spans="11:11" x14ac:dyDescent="0.25">
      <c r="K1289" s="400"/>
    </row>
    <row r="1290" spans="11:11" x14ac:dyDescent="0.25">
      <c r="K1290" s="400"/>
    </row>
    <row r="1291" spans="11:11" x14ac:dyDescent="0.25">
      <c r="K1291" s="400"/>
    </row>
    <row r="1292" spans="11:11" x14ac:dyDescent="0.25">
      <c r="K1292" s="400"/>
    </row>
    <row r="1293" spans="11:11" x14ac:dyDescent="0.25">
      <c r="K1293" s="400"/>
    </row>
    <row r="1294" spans="11:11" x14ac:dyDescent="0.25">
      <c r="K1294" s="400"/>
    </row>
    <row r="1295" spans="11:11" x14ac:dyDescent="0.25">
      <c r="K1295" s="400"/>
    </row>
    <row r="1296" spans="11:11" x14ac:dyDescent="0.25">
      <c r="K1296" s="400"/>
    </row>
    <row r="1297" spans="11:11" x14ac:dyDescent="0.25">
      <c r="K1297" s="400"/>
    </row>
    <row r="1298" spans="11:11" x14ac:dyDescent="0.25">
      <c r="K1298" s="400"/>
    </row>
    <row r="1299" spans="11:11" x14ac:dyDescent="0.25">
      <c r="K1299" s="400"/>
    </row>
    <row r="1300" spans="11:11" x14ac:dyDescent="0.25">
      <c r="K1300" s="400"/>
    </row>
    <row r="1301" spans="11:11" x14ac:dyDescent="0.25">
      <c r="K1301" s="400"/>
    </row>
    <row r="1302" spans="11:11" x14ac:dyDescent="0.25">
      <c r="K1302" s="400"/>
    </row>
    <row r="1303" spans="11:11" x14ac:dyDescent="0.25">
      <c r="K1303" s="400"/>
    </row>
    <row r="1304" spans="11:11" x14ac:dyDescent="0.25">
      <c r="K1304" s="400"/>
    </row>
    <row r="1305" spans="11:11" x14ac:dyDescent="0.25">
      <c r="K1305" s="400"/>
    </row>
    <row r="1306" spans="11:11" x14ac:dyDescent="0.25">
      <c r="K1306" s="400"/>
    </row>
    <row r="1307" spans="11:11" x14ac:dyDescent="0.25">
      <c r="K1307" s="400"/>
    </row>
    <row r="1308" spans="11:11" x14ac:dyDescent="0.25">
      <c r="K1308" s="400"/>
    </row>
    <row r="1309" spans="11:11" x14ac:dyDescent="0.25">
      <c r="K1309" s="400"/>
    </row>
    <row r="1310" spans="11:11" x14ac:dyDescent="0.25">
      <c r="K1310" s="400"/>
    </row>
    <row r="1311" spans="11:11" x14ac:dyDescent="0.25">
      <c r="K1311" s="400"/>
    </row>
    <row r="1312" spans="11:11" x14ac:dyDescent="0.25">
      <c r="K1312" s="400"/>
    </row>
    <row r="1313" spans="11:11" x14ac:dyDescent="0.25">
      <c r="K1313" s="400"/>
    </row>
    <row r="1314" spans="11:11" x14ac:dyDescent="0.25">
      <c r="K1314" s="400"/>
    </row>
    <row r="1315" spans="11:11" x14ac:dyDescent="0.25">
      <c r="K1315" s="400"/>
    </row>
    <row r="1316" spans="11:11" x14ac:dyDescent="0.25">
      <c r="K1316" s="400"/>
    </row>
    <row r="1317" spans="11:11" x14ac:dyDescent="0.25">
      <c r="K1317" s="400"/>
    </row>
    <row r="1318" spans="11:11" x14ac:dyDescent="0.25">
      <c r="K1318" s="400"/>
    </row>
    <row r="1319" spans="11:11" x14ac:dyDescent="0.25">
      <c r="K1319" s="400"/>
    </row>
    <row r="1320" spans="11:11" x14ac:dyDescent="0.25">
      <c r="K1320" s="400"/>
    </row>
    <row r="1321" spans="11:11" x14ac:dyDescent="0.25">
      <c r="K1321" s="400"/>
    </row>
    <row r="1322" spans="11:11" x14ac:dyDescent="0.25">
      <c r="K1322" s="400"/>
    </row>
    <row r="1323" spans="11:11" x14ac:dyDescent="0.25">
      <c r="K1323" s="400"/>
    </row>
    <row r="1324" spans="11:11" x14ac:dyDescent="0.25">
      <c r="K1324" s="400"/>
    </row>
    <row r="1325" spans="11:11" x14ac:dyDescent="0.25">
      <c r="K1325" s="400"/>
    </row>
    <row r="1326" spans="11:11" x14ac:dyDescent="0.25">
      <c r="K1326" s="400"/>
    </row>
    <row r="1327" spans="11:11" x14ac:dyDescent="0.25">
      <c r="K1327" s="400"/>
    </row>
    <row r="1328" spans="11:11" x14ac:dyDescent="0.25">
      <c r="K1328" s="400"/>
    </row>
    <row r="1329" spans="11:11" x14ac:dyDescent="0.25">
      <c r="K1329" s="400"/>
    </row>
    <row r="1330" spans="11:11" x14ac:dyDescent="0.25">
      <c r="K1330" s="400"/>
    </row>
    <row r="1331" spans="11:11" x14ac:dyDescent="0.25">
      <c r="K1331" s="400"/>
    </row>
    <row r="1332" spans="11:11" x14ac:dyDescent="0.25">
      <c r="K1332" s="400"/>
    </row>
    <row r="1333" spans="11:11" x14ac:dyDescent="0.25">
      <c r="K1333" s="400"/>
    </row>
    <row r="1334" spans="11:11" x14ac:dyDescent="0.25">
      <c r="K1334" s="400"/>
    </row>
    <row r="1335" spans="11:11" x14ac:dyDescent="0.25">
      <c r="K1335" s="400"/>
    </row>
    <row r="1336" spans="11:11" x14ac:dyDescent="0.25">
      <c r="K1336" s="400"/>
    </row>
    <row r="1337" spans="11:11" x14ac:dyDescent="0.25">
      <c r="K1337" s="400"/>
    </row>
    <row r="1338" spans="11:11" x14ac:dyDescent="0.25">
      <c r="K1338" s="400"/>
    </row>
    <row r="1339" spans="11:11" x14ac:dyDescent="0.25">
      <c r="K1339" s="400"/>
    </row>
    <row r="1340" spans="11:11" x14ac:dyDescent="0.25">
      <c r="K1340" s="400"/>
    </row>
    <row r="1341" spans="11:11" x14ac:dyDescent="0.25">
      <c r="K1341" s="400"/>
    </row>
    <row r="1342" spans="11:11" x14ac:dyDescent="0.25">
      <c r="K1342" s="400"/>
    </row>
    <row r="1343" spans="11:11" x14ac:dyDescent="0.25">
      <c r="K1343" s="400"/>
    </row>
    <row r="1344" spans="11:11" x14ac:dyDescent="0.25">
      <c r="K1344" s="400"/>
    </row>
    <row r="1345" spans="11:11" x14ac:dyDescent="0.25">
      <c r="K1345" s="400"/>
    </row>
    <row r="1346" spans="11:11" x14ac:dyDescent="0.25">
      <c r="K1346" s="400"/>
    </row>
    <row r="1347" spans="11:11" x14ac:dyDescent="0.25">
      <c r="K1347" s="400"/>
    </row>
    <row r="1348" spans="11:11" x14ac:dyDescent="0.25">
      <c r="K1348" s="400"/>
    </row>
    <row r="1349" spans="11:11" x14ac:dyDescent="0.25">
      <c r="K1349" s="400"/>
    </row>
    <row r="1350" spans="11:11" x14ac:dyDescent="0.25">
      <c r="K1350" s="400"/>
    </row>
    <row r="1351" spans="11:11" x14ac:dyDescent="0.25">
      <c r="K1351" s="400"/>
    </row>
    <row r="1352" spans="11:11" x14ac:dyDescent="0.25">
      <c r="K1352" s="400"/>
    </row>
    <row r="1353" spans="11:11" x14ac:dyDescent="0.25">
      <c r="K1353" s="400"/>
    </row>
    <row r="1354" spans="11:11" x14ac:dyDescent="0.25">
      <c r="K1354" s="400"/>
    </row>
    <row r="1355" spans="11:11" x14ac:dyDescent="0.25">
      <c r="K1355" s="400"/>
    </row>
    <row r="1356" spans="11:11" x14ac:dyDescent="0.25">
      <c r="K1356" s="400"/>
    </row>
    <row r="1357" spans="11:11" x14ac:dyDescent="0.25">
      <c r="K1357" s="400"/>
    </row>
    <row r="1358" spans="11:11" x14ac:dyDescent="0.25">
      <c r="K1358" s="400"/>
    </row>
    <row r="1359" spans="11:11" x14ac:dyDescent="0.25">
      <c r="K1359" s="400"/>
    </row>
    <row r="1360" spans="11:11" x14ac:dyDescent="0.25">
      <c r="K1360" s="400"/>
    </row>
    <row r="1361" spans="11:11" x14ac:dyDescent="0.25">
      <c r="K1361" s="400"/>
    </row>
    <row r="1362" spans="11:11" x14ac:dyDescent="0.25">
      <c r="K1362" s="400"/>
    </row>
    <row r="1363" spans="11:11" x14ac:dyDescent="0.25">
      <c r="K1363" s="400"/>
    </row>
    <row r="1364" spans="11:11" x14ac:dyDescent="0.25">
      <c r="K1364" s="400"/>
    </row>
    <row r="1365" spans="11:11" x14ac:dyDescent="0.25">
      <c r="K1365" s="400"/>
    </row>
    <row r="1366" spans="11:11" x14ac:dyDescent="0.25">
      <c r="K1366" s="400"/>
    </row>
    <row r="1367" spans="11:11" x14ac:dyDescent="0.25">
      <c r="K1367" s="400"/>
    </row>
    <row r="1368" spans="11:11" x14ac:dyDescent="0.25">
      <c r="K1368" s="400"/>
    </row>
    <row r="1369" spans="11:11" x14ac:dyDescent="0.25">
      <c r="K1369" s="400"/>
    </row>
    <row r="1370" spans="11:11" x14ac:dyDescent="0.25">
      <c r="K1370" s="400"/>
    </row>
    <row r="1371" spans="11:11" x14ac:dyDescent="0.25">
      <c r="K1371" s="400"/>
    </row>
    <row r="1372" spans="11:11" x14ac:dyDescent="0.25">
      <c r="K1372" s="400"/>
    </row>
    <row r="1373" spans="11:11" x14ac:dyDescent="0.25">
      <c r="K1373" s="400"/>
    </row>
    <row r="1374" spans="11:11" x14ac:dyDescent="0.25">
      <c r="K1374" s="400"/>
    </row>
    <row r="1375" spans="11:11" x14ac:dyDescent="0.25">
      <c r="K1375" s="400"/>
    </row>
    <row r="1376" spans="11:11" x14ac:dyDescent="0.25">
      <c r="K1376" s="400"/>
    </row>
    <row r="1377" spans="11:11" x14ac:dyDescent="0.25">
      <c r="K1377" s="400"/>
    </row>
    <row r="1378" spans="11:11" x14ac:dyDescent="0.25">
      <c r="K1378" s="400"/>
    </row>
    <row r="1379" spans="11:11" x14ac:dyDescent="0.25">
      <c r="K1379" s="400"/>
    </row>
    <row r="1380" spans="11:11" x14ac:dyDescent="0.25">
      <c r="K1380" s="400"/>
    </row>
    <row r="1381" spans="11:11" x14ac:dyDescent="0.25">
      <c r="K1381" s="400"/>
    </row>
    <row r="1382" spans="11:11" x14ac:dyDescent="0.25">
      <c r="K1382" s="400"/>
    </row>
    <row r="1383" spans="11:11" x14ac:dyDescent="0.25">
      <c r="K1383" s="400"/>
    </row>
    <row r="1384" spans="11:11" x14ac:dyDescent="0.25">
      <c r="K1384" s="400"/>
    </row>
    <row r="1385" spans="11:11" x14ac:dyDescent="0.25">
      <c r="K1385" s="400"/>
    </row>
    <row r="1386" spans="11:11" x14ac:dyDescent="0.25">
      <c r="K1386" s="400"/>
    </row>
    <row r="1387" spans="11:11" x14ac:dyDescent="0.25">
      <c r="K1387" s="400"/>
    </row>
    <row r="1388" spans="11:11" x14ac:dyDescent="0.25">
      <c r="K1388" s="400"/>
    </row>
    <row r="1389" spans="11:11" x14ac:dyDescent="0.25">
      <c r="K1389" s="400"/>
    </row>
    <row r="1390" spans="11:11" x14ac:dyDescent="0.25">
      <c r="K1390" s="400"/>
    </row>
    <row r="1391" spans="11:11" x14ac:dyDescent="0.25">
      <c r="K1391" s="400"/>
    </row>
    <row r="1392" spans="11:11" x14ac:dyDescent="0.25">
      <c r="K1392" s="400"/>
    </row>
    <row r="1393" spans="11:11" x14ac:dyDescent="0.25">
      <c r="K1393" s="400"/>
    </row>
    <row r="1394" spans="11:11" x14ac:dyDescent="0.25">
      <c r="K1394" s="400"/>
    </row>
    <row r="1395" spans="11:11" x14ac:dyDescent="0.25">
      <c r="K1395" s="400"/>
    </row>
    <row r="1396" spans="11:11" x14ac:dyDescent="0.25">
      <c r="K1396" s="400"/>
    </row>
    <row r="1397" spans="11:11" x14ac:dyDescent="0.25">
      <c r="K1397" s="400"/>
    </row>
    <row r="1398" spans="11:11" x14ac:dyDescent="0.25">
      <c r="K1398" s="400"/>
    </row>
    <row r="1399" spans="11:11" x14ac:dyDescent="0.25">
      <c r="K1399" s="400"/>
    </row>
    <row r="1400" spans="11:11" x14ac:dyDescent="0.25">
      <c r="K1400" s="400"/>
    </row>
    <row r="1401" spans="11:11" x14ac:dyDescent="0.25">
      <c r="K1401" s="400"/>
    </row>
    <row r="1402" spans="11:11" x14ac:dyDescent="0.25">
      <c r="K1402" s="400"/>
    </row>
    <row r="1403" spans="11:11" x14ac:dyDescent="0.25">
      <c r="K1403" s="400"/>
    </row>
    <row r="1404" spans="11:11" x14ac:dyDescent="0.25">
      <c r="K1404" s="400"/>
    </row>
    <row r="1405" spans="11:11" x14ac:dyDescent="0.25">
      <c r="K1405" s="400"/>
    </row>
    <row r="1406" spans="11:11" x14ac:dyDescent="0.25">
      <c r="K1406" s="400"/>
    </row>
    <row r="1407" spans="11:11" x14ac:dyDescent="0.25">
      <c r="K1407" s="400"/>
    </row>
    <row r="1408" spans="11:11" x14ac:dyDescent="0.25">
      <c r="K1408" s="400"/>
    </row>
    <row r="1409" spans="11:11" x14ac:dyDescent="0.25">
      <c r="K1409" s="400"/>
    </row>
    <row r="1410" spans="11:11" x14ac:dyDescent="0.25">
      <c r="K1410" s="400"/>
    </row>
    <row r="1411" spans="11:11" x14ac:dyDescent="0.25">
      <c r="K1411" s="400"/>
    </row>
    <row r="1412" spans="11:11" x14ac:dyDescent="0.25">
      <c r="K1412" s="400"/>
    </row>
    <row r="1413" spans="11:11" x14ac:dyDescent="0.25">
      <c r="K1413" s="400"/>
    </row>
    <row r="1414" spans="11:11" x14ac:dyDescent="0.25">
      <c r="K1414" s="400"/>
    </row>
    <row r="1415" spans="11:11" x14ac:dyDescent="0.25">
      <c r="K1415" s="400"/>
    </row>
    <row r="1416" spans="11:11" x14ac:dyDescent="0.25">
      <c r="K1416" s="400"/>
    </row>
    <row r="1417" spans="11:11" x14ac:dyDescent="0.25">
      <c r="K1417" s="400"/>
    </row>
    <row r="1418" spans="11:11" x14ac:dyDescent="0.25">
      <c r="K1418" s="400"/>
    </row>
    <row r="1419" spans="11:11" x14ac:dyDescent="0.25">
      <c r="K1419" s="400"/>
    </row>
    <row r="1420" spans="11:11" x14ac:dyDescent="0.25">
      <c r="K1420" s="400"/>
    </row>
    <row r="1421" spans="11:11" x14ac:dyDescent="0.25">
      <c r="K1421" s="400"/>
    </row>
    <row r="1422" spans="11:11" x14ac:dyDescent="0.25">
      <c r="K1422" s="400"/>
    </row>
    <row r="1423" spans="11:11" x14ac:dyDescent="0.25">
      <c r="K1423" s="400"/>
    </row>
    <row r="1424" spans="11:11" x14ac:dyDescent="0.25">
      <c r="K1424" s="400"/>
    </row>
    <row r="1425" spans="11:11" x14ac:dyDescent="0.25">
      <c r="K1425" s="400"/>
    </row>
    <row r="1426" spans="11:11" x14ac:dyDescent="0.25">
      <c r="K1426" s="400"/>
    </row>
    <row r="1427" spans="11:11" x14ac:dyDescent="0.25">
      <c r="K1427" s="400"/>
    </row>
    <row r="1428" spans="11:11" x14ac:dyDescent="0.25">
      <c r="K1428" s="400"/>
    </row>
    <row r="1429" spans="11:11" x14ac:dyDescent="0.25">
      <c r="K1429" s="400"/>
    </row>
    <row r="1430" spans="11:11" x14ac:dyDescent="0.25">
      <c r="K1430" s="400"/>
    </row>
    <row r="1431" spans="11:11" x14ac:dyDescent="0.25">
      <c r="K1431" s="400"/>
    </row>
    <row r="1432" spans="11:11" x14ac:dyDescent="0.25">
      <c r="K1432" s="400"/>
    </row>
    <row r="1433" spans="11:11" x14ac:dyDescent="0.25">
      <c r="K1433" s="400"/>
    </row>
    <row r="1434" spans="11:11" x14ac:dyDescent="0.25">
      <c r="K1434" s="400"/>
    </row>
    <row r="1435" spans="11:11" x14ac:dyDescent="0.25">
      <c r="K1435" s="400"/>
    </row>
    <row r="1436" spans="11:11" x14ac:dyDescent="0.25">
      <c r="K1436" s="400"/>
    </row>
    <row r="1437" spans="11:11" x14ac:dyDescent="0.25">
      <c r="K1437" s="400"/>
    </row>
    <row r="1438" spans="11:11" x14ac:dyDescent="0.25">
      <c r="K1438" s="400"/>
    </row>
    <row r="1439" spans="11:11" x14ac:dyDescent="0.25">
      <c r="K1439" s="400"/>
    </row>
    <row r="1440" spans="11:11" x14ac:dyDescent="0.25">
      <c r="K1440" s="400"/>
    </row>
    <row r="1441" spans="11:11" x14ac:dyDescent="0.25">
      <c r="K1441" s="400"/>
    </row>
    <row r="1442" spans="11:11" x14ac:dyDescent="0.25">
      <c r="K1442" s="400"/>
    </row>
    <row r="1443" spans="11:11" x14ac:dyDescent="0.25">
      <c r="K1443" s="400"/>
    </row>
    <row r="1444" spans="11:11" x14ac:dyDescent="0.25">
      <c r="K1444" s="400"/>
    </row>
    <row r="1445" spans="11:11" x14ac:dyDescent="0.25">
      <c r="K1445" s="400"/>
    </row>
    <row r="1446" spans="11:11" x14ac:dyDescent="0.25">
      <c r="K1446" s="400"/>
    </row>
    <row r="1447" spans="11:11" x14ac:dyDescent="0.25">
      <c r="K1447" s="400"/>
    </row>
    <row r="1448" spans="11:11" x14ac:dyDescent="0.25">
      <c r="K1448" s="400"/>
    </row>
    <row r="1449" spans="11:11" x14ac:dyDescent="0.25">
      <c r="K1449" s="400"/>
    </row>
    <row r="1450" spans="11:11" x14ac:dyDescent="0.25">
      <c r="K1450" s="400"/>
    </row>
    <row r="1451" spans="11:11" x14ac:dyDescent="0.25">
      <c r="K1451" s="400"/>
    </row>
    <row r="1452" spans="11:11" x14ac:dyDescent="0.25">
      <c r="K1452" s="400"/>
    </row>
    <row r="1453" spans="11:11" x14ac:dyDescent="0.25">
      <c r="K1453" s="400"/>
    </row>
    <row r="1454" spans="11:11" x14ac:dyDescent="0.25">
      <c r="K1454" s="400"/>
    </row>
    <row r="1455" spans="11:11" x14ac:dyDescent="0.25">
      <c r="K1455" s="400"/>
    </row>
    <row r="1456" spans="11:11" x14ac:dyDescent="0.25">
      <c r="K1456" s="400"/>
    </row>
    <row r="1457" spans="11:11" x14ac:dyDescent="0.25">
      <c r="K1457" s="400"/>
    </row>
    <row r="1458" spans="11:11" x14ac:dyDescent="0.25">
      <c r="K1458" s="400"/>
    </row>
    <row r="1459" spans="11:11" x14ac:dyDescent="0.25">
      <c r="K1459" s="400"/>
    </row>
    <row r="1460" spans="11:11" x14ac:dyDescent="0.25">
      <c r="K1460" s="400"/>
    </row>
    <row r="1461" spans="11:11" x14ac:dyDescent="0.25">
      <c r="K1461" s="400"/>
    </row>
    <row r="1462" spans="11:11" x14ac:dyDescent="0.25">
      <c r="K1462" s="400"/>
    </row>
    <row r="1463" spans="11:11" x14ac:dyDescent="0.25">
      <c r="K1463" s="400"/>
    </row>
    <row r="1464" spans="11:11" x14ac:dyDescent="0.25">
      <c r="K1464" s="400"/>
    </row>
    <row r="1465" spans="11:11" x14ac:dyDescent="0.25">
      <c r="K1465" s="400"/>
    </row>
    <row r="1466" spans="11:11" x14ac:dyDescent="0.25">
      <c r="K1466" s="400"/>
    </row>
    <row r="1467" spans="11:11" x14ac:dyDescent="0.25">
      <c r="K1467" s="400"/>
    </row>
    <row r="1468" spans="11:11" x14ac:dyDescent="0.25">
      <c r="K1468" s="400"/>
    </row>
    <row r="1469" spans="11:11" x14ac:dyDescent="0.25">
      <c r="K1469" s="400"/>
    </row>
    <row r="1470" spans="11:11" x14ac:dyDescent="0.25">
      <c r="K1470" s="400"/>
    </row>
    <row r="1471" spans="11:11" x14ac:dyDescent="0.25">
      <c r="K1471" s="400"/>
    </row>
    <row r="1472" spans="11:11" x14ac:dyDescent="0.25">
      <c r="K1472" s="400"/>
    </row>
    <row r="1473" spans="11:11" x14ac:dyDescent="0.25">
      <c r="K1473" s="400"/>
    </row>
    <row r="1474" spans="11:11" x14ac:dyDescent="0.25">
      <c r="K1474" s="400"/>
    </row>
    <row r="1475" spans="11:11" x14ac:dyDescent="0.25">
      <c r="K1475" s="400"/>
    </row>
    <row r="1476" spans="11:11" x14ac:dyDescent="0.25">
      <c r="K1476" s="400"/>
    </row>
    <row r="1477" spans="11:11" x14ac:dyDescent="0.25">
      <c r="K1477" s="400"/>
    </row>
    <row r="1478" spans="11:11" x14ac:dyDescent="0.25">
      <c r="K1478" s="400"/>
    </row>
    <row r="1479" spans="11:11" x14ac:dyDescent="0.25">
      <c r="K1479" s="400"/>
    </row>
    <row r="1480" spans="11:11" x14ac:dyDescent="0.25">
      <c r="K1480" s="400"/>
    </row>
    <row r="1481" spans="11:11" x14ac:dyDescent="0.25">
      <c r="K1481" s="400"/>
    </row>
    <row r="1482" spans="11:11" x14ac:dyDescent="0.25">
      <c r="K1482" s="400"/>
    </row>
    <row r="1483" spans="11:11" x14ac:dyDescent="0.25">
      <c r="K1483" s="400"/>
    </row>
    <row r="1484" spans="11:11" x14ac:dyDescent="0.25">
      <c r="K1484" s="400"/>
    </row>
    <row r="1485" spans="11:11" x14ac:dyDescent="0.25">
      <c r="K1485" s="400"/>
    </row>
    <row r="1486" spans="11:11" x14ac:dyDescent="0.25">
      <c r="K1486" s="400"/>
    </row>
    <row r="1487" spans="11:11" x14ac:dyDescent="0.25">
      <c r="K1487" s="400"/>
    </row>
    <row r="1488" spans="11:11" x14ac:dyDescent="0.25">
      <c r="K1488" s="400"/>
    </row>
    <row r="1489" spans="11:11" x14ac:dyDescent="0.25">
      <c r="K1489" s="400"/>
    </row>
    <row r="1490" spans="11:11" x14ac:dyDescent="0.25">
      <c r="K1490" s="400"/>
    </row>
    <row r="1491" spans="11:11" x14ac:dyDescent="0.25">
      <c r="K1491" s="400"/>
    </row>
    <row r="1492" spans="11:11" x14ac:dyDescent="0.25">
      <c r="K1492" s="400"/>
    </row>
    <row r="1493" spans="11:11" x14ac:dyDescent="0.25">
      <c r="K1493" s="400"/>
    </row>
    <row r="1494" spans="11:11" x14ac:dyDescent="0.25">
      <c r="K1494" s="400"/>
    </row>
    <row r="1495" spans="11:11" x14ac:dyDescent="0.25">
      <c r="K1495" s="400"/>
    </row>
    <row r="1496" spans="11:11" x14ac:dyDescent="0.25">
      <c r="K1496" s="400"/>
    </row>
    <row r="1497" spans="11:11" x14ac:dyDescent="0.25">
      <c r="K1497" s="400"/>
    </row>
    <row r="1498" spans="11:11" x14ac:dyDescent="0.25">
      <c r="K1498" s="400"/>
    </row>
    <row r="1499" spans="11:11" x14ac:dyDescent="0.25">
      <c r="K1499" s="400"/>
    </row>
    <row r="1500" spans="11:11" x14ac:dyDescent="0.25">
      <c r="K1500" s="400"/>
    </row>
    <row r="1501" spans="11:11" x14ac:dyDescent="0.25">
      <c r="K1501" s="400"/>
    </row>
    <row r="1502" spans="11:11" x14ac:dyDescent="0.25">
      <c r="K1502" s="400"/>
    </row>
    <row r="1503" spans="11:11" x14ac:dyDescent="0.25">
      <c r="K1503" s="400"/>
    </row>
    <row r="1504" spans="11:11" x14ac:dyDescent="0.25">
      <c r="K1504" s="400"/>
    </row>
    <row r="1505" spans="11:11" x14ac:dyDescent="0.25">
      <c r="K1505" s="400"/>
    </row>
    <row r="1506" spans="11:11" x14ac:dyDescent="0.25">
      <c r="K1506" s="400"/>
    </row>
    <row r="1507" spans="11:11" x14ac:dyDescent="0.25">
      <c r="K1507" s="400"/>
    </row>
    <row r="1508" spans="11:11" x14ac:dyDescent="0.25">
      <c r="K1508" s="400"/>
    </row>
    <row r="1509" spans="11:11" x14ac:dyDescent="0.25">
      <c r="K1509" s="400"/>
    </row>
    <row r="1510" spans="11:11" x14ac:dyDescent="0.25">
      <c r="K1510" s="400"/>
    </row>
    <row r="1511" spans="11:11" x14ac:dyDescent="0.25">
      <c r="K1511" s="400"/>
    </row>
    <row r="1512" spans="11:11" x14ac:dyDescent="0.25">
      <c r="K1512" s="400"/>
    </row>
    <row r="1513" spans="11:11" x14ac:dyDescent="0.25">
      <c r="K1513" s="400"/>
    </row>
    <row r="1514" spans="11:11" x14ac:dyDescent="0.25">
      <c r="K1514" s="400"/>
    </row>
    <row r="1515" spans="11:11" x14ac:dyDescent="0.25">
      <c r="K1515" s="400"/>
    </row>
    <row r="1516" spans="11:11" x14ac:dyDescent="0.25">
      <c r="K1516" s="400"/>
    </row>
    <row r="1517" spans="11:11" x14ac:dyDescent="0.25">
      <c r="K1517" s="400"/>
    </row>
    <row r="1518" spans="11:11" x14ac:dyDescent="0.25">
      <c r="K1518" s="400"/>
    </row>
    <row r="1519" spans="11:11" x14ac:dyDescent="0.25">
      <c r="K1519" s="400"/>
    </row>
    <row r="1520" spans="11:11" x14ac:dyDescent="0.25">
      <c r="K1520" s="400"/>
    </row>
    <row r="1521" spans="11:11" x14ac:dyDescent="0.25">
      <c r="K1521" s="400"/>
    </row>
    <row r="1522" spans="11:11" x14ac:dyDescent="0.25">
      <c r="K1522" s="400"/>
    </row>
    <row r="1523" spans="11:11" x14ac:dyDescent="0.25">
      <c r="K1523" s="400"/>
    </row>
    <row r="1524" spans="11:11" x14ac:dyDescent="0.25">
      <c r="K1524" s="400"/>
    </row>
    <row r="1525" spans="11:11" x14ac:dyDescent="0.25">
      <c r="K1525" s="400"/>
    </row>
    <row r="1526" spans="11:11" x14ac:dyDescent="0.25">
      <c r="K1526" s="400"/>
    </row>
    <row r="1527" spans="11:11" x14ac:dyDescent="0.25">
      <c r="K1527" s="400"/>
    </row>
    <row r="1528" spans="11:11" x14ac:dyDescent="0.25">
      <c r="K1528" s="400"/>
    </row>
    <row r="1529" spans="11:11" x14ac:dyDescent="0.25">
      <c r="K1529" s="400"/>
    </row>
    <row r="1530" spans="11:11" x14ac:dyDescent="0.25">
      <c r="K1530" s="400"/>
    </row>
    <row r="1531" spans="11:11" x14ac:dyDescent="0.25">
      <c r="K1531" s="400"/>
    </row>
    <row r="1532" spans="11:11" x14ac:dyDescent="0.25">
      <c r="K1532" s="400"/>
    </row>
    <row r="1533" spans="11:11" x14ac:dyDescent="0.25">
      <c r="K1533" s="400"/>
    </row>
    <row r="1534" spans="11:11" x14ac:dyDescent="0.25">
      <c r="K1534" s="400"/>
    </row>
    <row r="1535" spans="11:11" x14ac:dyDescent="0.25">
      <c r="K1535" s="400"/>
    </row>
    <row r="1536" spans="11:11" x14ac:dyDescent="0.25">
      <c r="K1536" s="400"/>
    </row>
    <row r="1537" spans="11:11" x14ac:dyDescent="0.25">
      <c r="K1537" s="400"/>
    </row>
    <row r="1538" spans="11:11" x14ac:dyDescent="0.25">
      <c r="K1538" s="400"/>
    </row>
    <row r="1539" spans="11:11" x14ac:dyDescent="0.25">
      <c r="K1539" s="400"/>
    </row>
    <row r="1540" spans="11:11" x14ac:dyDescent="0.25">
      <c r="K1540" s="400"/>
    </row>
    <row r="1541" spans="11:11" x14ac:dyDescent="0.25">
      <c r="K1541" s="400"/>
    </row>
    <row r="1542" spans="11:11" x14ac:dyDescent="0.25">
      <c r="K1542" s="400"/>
    </row>
    <row r="1543" spans="11:11" x14ac:dyDescent="0.25">
      <c r="K1543" s="400"/>
    </row>
    <row r="1544" spans="11:11" x14ac:dyDescent="0.25">
      <c r="K1544" s="400"/>
    </row>
    <row r="1545" spans="11:11" x14ac:dyDescent="0.25">
      <c r="K1545" s="400"/>
    </row>
    <row r="1546" spans="11:11" x14ac:dyDescent="0.25">
      <c r="K1546" s="400"/>
    </row>
    <row r="1547" spans="11:11" x14ac:dyDescent="0.25">
      <c r="K1547" s="400"/>
    </row>
    <row r="1548" spans="11:11" x14ac:dyDescent="0.25">
      <c r="K1548" s="400"/>
    </row>
    <row r="1549" spans="11:11" x14ac:dyDescent="0.25">
      <c r="K1549" s="400"/>
    </row>
    <row r="1550" spans="11:11" x14ac:dyDescent="0.25">
      <c r="K1550" s="400"/>
    </row>
    <row r="1551" spans="11:11" x14ac:dyDescent="0.25">
      <c r="K1551" s="400"/>
    </row>
    <row r="1552" spans="11:11" x14ac:dyDescent="0.25">
      <c r="K1552" s="400"/>
    </row>
    <row r="1553" spans="11:11" x14ac:dyDescent="0.25">
      <c r="K1553" s="400"/>
    </row>
    <row r="1554" spans="11:11" x14ac:dyDescent="0.25">
      <c r="K1554" s="400"/>
    </row>
    <row r="1555" spans="11:11" x14ac:dyDescent="0.25">
      <c r="K1555" s="400"/>
    </row>
    <row r="1556" spans="11:11" x14ac:dyDescent="0.25">
      <c r="K1556" s="400"/>
    </row>
    <row r="1557" spans="11:11" x14ac:dyDescent="0.25">
      <c r="K1557" s="400"/>
    </row>
    <row r="1558" spans="11:11" x14ac:dyDescent="0.25">
      <c r="K1558" s="400"/>
    </row>
    <row r="1559" spans="11:11" x14ac:dyDescent="0.25">
      <c r="K1559" s="400"/>
    </row>
    <row r="1560" spans="11:11" x14ac:dyDescent="0.25">
      <c r="K1560" s="400"/>
    </row>
    <row r="1561" spans="11:11" x14ac:dyDescent="0.25">
      <c r="K1561" s="400"/>
    </row>
    <row r="1562" spans="11:11" x14ac:dyDescent="0.25">
      <c r="K1562" s="400"/>
    </row>
    <row r="1563" spans="11:11" x14ac:dyDescent="0.25">
      <c r="K1563" s="400"/>
    </row>
    <row r="1564" spans="11:11" x14ac:dyDescent="0.25">
      <c r="K1564" s="400"/>
    </row>
    <row r="1565" spans="11:11" x14ac:dyDescent="0.25">
      <c r="K1565" s="400"/>
    </row>
    <row r="1566" spans="11:11" x14ac:dyDescent="0.25">
      <c r="K1566" s="400"/>
    </row>
    <row r="1567" spans="11:11" x14ac:dyDescent="0.25">
      <c r="K1567" s="400"/>
    </row>
    <row r="1568" spans="11:11" x14ac:dyDescent="0.25">
      <c r="K1568" s="400"/>
    </row>
    <row r="1569" spans="11:11" x14ac:dyDescent="0.25">
      <c r="K1569" s="400"/>
    </row>
    <row r="1570" spans="11:11" x14ac:dyDescent="0.25">
      <c r="K1570" s="400"/>
    </row>
    <row r="1571" spans="11:11" x14ac:dyDescent="0.25">
      <c r="K1571" s="400"/>
    </row>
    <row r="1572" spans="11:11" x14ac:dyDescent="0.25">
      <c r="K1572" s="400"/>
    </row>
    <row r="1573" spans="11:11" x14ac:dyDescent="0.25">
      <c r="K1573" s="400"/>
    </row>
    <row r="1574" spans="11:11" x14ac:dyDescent="0.25">
      <c r="K1574" s="400"/>
    </row>
    <row r="1575" spans="11:11" x14ac:dyDescent="0.25">
      <c r="K1575" s="400"/>
    </row>
    <row r="1576" spans="11:11" x14ac:dyDescent="0.25">
      <c r="K1576" s="400"/>
    </row>
    <row r="1577" spans="11:11" x14ac:dyDescent="0.25">
      <c r="K1577" s="400"/>
    </row>
    <row r="1578" spans="11:11" x14ac:dyDescent="0.25">
      <c r="K1578" s="400"/>
    </row>
    <row r="1579" spans="11:11" x14ac:dyDescent="0.25">
      <c r="K1579" s="400"/>
    </row>
    <row r="1580" spans="11:11" x14ac:dyDescent="0.25">
      <c r="K1580" s="400"/>
    </row>
    <row r="1581" spans="11:11" x14ac:dyDescent="0.25">
      <c r="K1581" s="400"/>
    </row>
    <row r="1582" spans="11:11" x14ac:dyDescent="0.25">
      <c r="K1582" s="400"/>
    </row>
    <row r="1583" spans="11:11" x14ac:dyDescent="0.25">
      <c r="K1583" s="400"/>
    </row>
    <row r="1584" spans="11:11" x14ac:dyDescent="0.25">
      <c r="K1584" s="400"/>
    </row>
    <row r="1585" spans="11:11" x14ac:dyDescent="0.25">
      <c r="K1585" s="400"/>
    </row>
    <row r="1586" spans="11:11" x14ac:dyDescent="0.25">
      <c r="K1586" s="400"/>
    </row>
    <row r="1587" spans="11:11" x14ac:dyDescent="0.25">
      <c r="K1587" s="400"/>
    </row>
    <row r="1588" spans="11:11" x14ac:dyDescent="0.25">
      <c r="K1588" s="400"/>
    </row>
    <row r="1589" spans="11:11" x14ac:dyDescent="0.25">
      <c r="K1589" s="400"/>
    </row>
    <row r="1590" spans="11:11" x14ac:dyDescent="0.25">
      <c r="K1590" s="400"/>
    </row>
    <row r="1591" spans="11:11" x14ac:dyDescent="0.25">
      <c r="K1591" s="400"/>
    </row>
    <row r="1592" spans="11:11" x14ac:dyDescent="0.25">
      <c r="K1592" s="400"/>
    </row>
    <row r="1593" spans="11:11" x14ac:dyDescent="0.25">
      <c r="K1593" s="400"/>
    </row>
    <row r="1594" spans="11:11" x14ac:dyDescent="0.25">
      <c r="K1594" s="400"/>
    </row>
    <row r="1595" spans="11:11" x14ac:dyDescent="0.25">
      <c r="K1595" s="400"/>
    </row>
    <row r="1596" spans="11:11" x14ac:dyDescent="0.25">
      <c r="K1596" s="400"/>
    </row>
    <row r="1597" spans="11:11" x14ac:dyDescent="0.25">
      <c r="K1597" s="400"/>
    </row>
    <row r="1598" spans="11:11" x14ac:dyDescent="0.25">
      <c r="K1598" s="400"/>
    </row>
    <row r="1599" spans="11:11" x14ac:dyDescent="0.25">
      <c r="K1599" s="400"/>
    </row>
    <row r="1600" spans="11:11" x14ac:dyDescent="0.25">
      <c r="K1600" s="400"/>
    </row>
    <row r="1601" spans="11:11" x14ac:dyDescent="0.25">
      <c r="K1601" s="400"/>
    </row>
    <row r="1602" spans="11:11" x14ac:dyDescent="0.25">
      <c r="K1602" s="400"/>
    </row>
    <row r="1603" spans="11:11" x14ac:dyDescent="0.25">
      <c r="K1603" s="400"/>
    </row>
    <row r="1604" spans="11:11" x14ac:dyDescent="0.25">
      <c r="K1604" s="400"/>
    </row>
    <row r="1605" spans="11:11" x14ac:dyDescent="0.25">
      <c r="K1605" s="400"/>
    </row>
    <row r="1606" spans="11:11" x14ac:dyDescent="0.25">
      <c r="K1606" s="400"/>
    </row>
    <row r="1607" spans="11:11" x14ac:dyDescent="0.25">
      <c r="K1607" s="400"/>
    </row>
    <row r="1608" spans="11:11" x14ac:dyDescent="0.25">
      <c r="K1608" s="400"/>
    </row>
    <row r="1609" spans="11:11" x14ac:dyDescent="0.25">
      <c r="K1609" s="400"/>
    </row>
    <row r="1610" spans="11:11" x14ac:dyDescent="0.25">
      <c r="K1610" s="400"/>
    </row>
    <row r="1611" spans="11:11" x14ac:dyDescent="0.25">
      <c r="K1611" s="400"/>
    </row>
    <row r="1612" spans="11:11" x14ac:dyDescent="0.25">
      <c r="K1612" s="400"/>
    </row>
    <row r="1613" spans="11:11" x14ac:dyDescent="0.25">
      <c r="K1613" s="400"/>
    </row>
    <row r="1614" spans="11:11" x14ac:dyDescent="0.25">
      <c r="K1614" s="400"/>
    </row>
    <row r="1615" spans="11:11" x14ac:dyDescent="0.25">
      <c r="K1615" s="400"/>
    </row>
    <row r="1616" spans="11:11" x14ac:dyDescent="0.25">
      <c r="K1616" s="400"/>
    </row>
    <row r="1617" spans="11:11" x14ac:dyDescent="0.25">
      <c r="K1617" s="400"/>
    </row>
    <row r="1618" spans="11:11" x14ac:dyDescent="0.25">
      <c r="K1618" s="400"/>
    </row>
    <row r="1619" spans="11:11" x14ac:dyDescent="0.25">
      <c r="K1619" s="400"/>
    </row>
    <row r="1620" spans="11:11" x14ac:dyDescent="0.25">
      <c r="K1620" s="400"/>
    </row>
    <row r="1621" spans="11:11" x14ac:dyDescent="0.25">
      <c r="K1621" s="400"/>
    </row>
    <row r="1622" spans="11:11" x14ac:dyDescent="0.25">
      <c r="K1622" s="400"/>
    </row>
    <row r="1623" spans="11:11" x14ac:dyDescent="0.25">
      <c r="K1623" s="400"/>
    </row>
    <row r="1624" spans="11:11" x14ac:dyDescent="0.25">
      <c r="K1624" s="400"/>
    </row>
    <row r="1625" spans="11:11" x14ac:dyDescent="0.25">
      <c r="K1625" s="400"/>
    </row>
    <row r="1626" spans="11:11" x14ac:dyDescent="0.25">
      <c r="K1626" s="400"/>
    </row>
    <row r="1627" spans="11:11" x14ac:dyDescent="0.25">
      <c r="K1627" s="400"/>
    </row>
    <row r="1628" spans="11:11" x14ac:dyDescent="0.25">
      <c r="K1628" s="400"/>
    </row>
    <row r="1629" spans="11:11" x14ac:dyDescent="0.25">
      <c r="K1629" s="400"/>
    </row>
    <row r="1630" spans="11:11" x14ac:dyDescent="0.25">
      <c r="K1630" s="400"/>
    </row>
    <row r="1631" spans="11:11" x14ac:dyDescent="0.25">
      <c r="K1631" s="400"/>
    </row>
    <row r="1632" spans="11:11" x14ac:dyDescent="0.25">
      <c r="K1632" s="400"/>
    </row>
    <row r="1633" spans="11:11" x14ac:dyDescent="0.25">
      <c r="K1633" s="400"/>
    </row>
    <row r="1634" spans="11:11" x14ac:dyDescent="0.25">
      <c r="K1634" s="400"/>
    </row>
    <row r="1635" spans="11:11" x14ac:dyDescent="0.25">
      <c r="K1635" s="400"/>
    </row>
    <row r="1636" spans="11:11" x14ac:dyDescent="0.25">
      <c r="K1636" s="400"/>
    </row>
    <row r="1637" spans="11:11" x14ac:dyDescent="0.25">
      <c r="K1637" s="400"/>
    </row>
    <row r="1638" spans="11:11" x14ac:dyDescent="0.25">
      <c r="K1638" s="400"/>
    </row>
    <row r="1639" spans="11:11" x14ac:dyDescent="0.25">
      <c r="K1639" s="400"/>
    </row>
    <row r="1640" spans="11:11" x14ac:dyDescent="0.25">
      <c r="K1640" s="400"/>
    </row>
    <row r="1641" spans="11:11" x14ac:dyDescent="0.25">
      <c r="K1641" s="400"/>
    </row>
    <row r="1642" spans="11:11" x14ac:dyDescent="0.25">
      <c r="K1642" s="400"/>
    </row>
    <row r="1643" spans="11:11" x14ac:dyDescent="0.25">
      <c r="K1643" s="400"/>
    </row>
    <row r="1644" spans="11:11" x14ac:dyDescent="0.25">
      <c r="K1644" s="400"/>
    </row>
    <row r="1645" spans="11:11" x14ac:dyDescent="0.25">
      <c r="K1645" s="400"/>
    </row>
    <row r="1646" spans="11:11" x14ac:dyDescent="0.25">
      <c r="K1646" s="400"/>
    </row>
    <row r="1647" spans="11:11" x14ac:dyDescent="0.25">
      <c r="K1647" s="400"/>
    </row>
    <row r="1648" spans="11:11" x14ac:dyDescent="0.25">
      <c r="K1648" s="400"/>
    </row>
    <row r="1649" spans="11:11" x14ac:dyDescent="0.25">
      <c r="K1649" s="400"/>
    </row>
    <row r="1650" spans="11:11" x14ac:dyDescent="0.25">
      <c r="K1650" s="400"/>
    </row>
    <row r="1651" spans="11:11" x14ac:dyDescent="0.25">
      <c r="K1651" s="400"/>
    </row>
    <row r="1652" spans="11:11" x14ac:dyDescent="0.25">
      <c r="K1652" s="400"/>
    </row>
    <row r="1653" spans="11:11" x14ac:dyDescent="0.25">
      <c r="K1653" s="400"/>
    </row>
    <row r="1654" spans="11:11" x14ac:dyDescent="0.25">
      <c r="K1654" s="400"/>
    </row>
    <row r="1655" spans="11:11" x14ac:dyDescent="0.25">
      <c r="K1655" s="400"/>
    </row>
    <row r="1656" spans="11:11" x14ac:dyDescent="0.25">
      <c r="K1656" s="400"/>
    </row>
    <row r="1657" spans="11:11" x14ac:dyDescent="0.25">
      <c r="K1657" s="400"/>
    </row>
    <row r="1658" spans="11:11" x14ac:dyDescent="0.25">
      <c r="K1658" s="400"/>
    </row>
    <row r="1659" spans="11:11" x14ac:dyDescent="0.25">
      <c r="K1659" s="400"/>
    </row>
    <row r="1660" spans="11:11" x14ac:dyDescent="0.25">
      <c r="K1660" s="400"/>
    </row>
    <row r="1661" spans="11:11" x14ac:dyDescent="0.25">
      <c r="K1661" s="400"/>
    </row>
    <row r="1662" spans="11:11" x14ac:dyDescent="0.25">
      <c r="K1662" s="400"/>
    </row>
    <row r="1663" spans="11:11" x14ac:dyDescent="0.25">
      <c r="K1663" s="400"/>
    </row>
    <row r="1664" spans="11:11" x14ac:dyDescent="0.25">
      <c r="K1664" s="400"/>
    </row>
    <row r="1665" spans="11:11" x14ac:dyDescent="0.25">
      <c r="K1665" s="400"/>
    </row>
    <row r="1666" spans="11:11" x14ac:dyDescent="0.25">
      <c r="K1666" s="400"/>
    </row>
    <row r="1667" spans="11:11" x14ac:dyDescent="0.25">
      <c r="K1667" s="400"/>
    </row>
    <row r="1668" spans="11:11" x14ac:dyDescent="0.25">
      <c r="K1668" s="400"/>
    </row>
    <row r="1669" spans="11:11" x14ac:dyDescent="0.25">
      <c r="K1669" s="400"/>
    </row>
    <row r="1670" spans="11:11" x14ac:dyDescent="0.25">
      <c r="K1670" s="400"/>
    </row>
    <row r="1671" spans="11:11" x14ac:dyDescent="0.25">
      <c r="K1671" s="400"/>
    </row>
    <row r="1672" spans="11:11" x14ac:dyDescent="0.25">
      <c r="K1672" s="400"/>
    </row>
    <row r="1673" spans="11:11" x14ac:dyDescent="0.25">
      <c r="K1673" s="400"/>
    </row>
    <row r="1674" spans="11:11" x14ac:dyDescent="0.25">
      <c r="K1674" s="400"/>
    </row>
    <row r="1675" spans="11:11" x14ac:dyDescent="0.25">
      <c r="K1675" s="400"/>
    </row>
    <row r="1676" spans="11:11" x14ac:dyDescent="0.25">
      <c r="K1676" s="400"/>
    </row>
    <row r="1677" spans="11:11" x14ac:dyDescent="0.25">
      <c r="K1677" s="400"/>
    </row>
    <row r="1678" spans="11:11" x14ac:dyDescent="0.25">
      <c r="K1678" s="400"/>
    </row>
    <row r="1679" spans="11:11" x14ac:dyDescent="0.25">
      <c r="K1679" s="400"/>
    </row>
    <row r="1680" spans="11:11" x14ac:dyDescent="0.25">
      <c r="K1680" s="400"/>
    </row>
    <row r="1681" spans="11:11" x14ac:dyDescent="0.25">
      <c r="K1681" s="400"/>
    </row>
    <row r="1682" spans="11:11" x14ac:dyDescent="0.25">
      <c r="K1682" s="400"/>
    </row>
    <row r="1683" spans="11:11" x14ac:dyDescent="0.25">
      <c r="K1683" s="400"/>
    </row>
    <row r="1684" spans="11:11" x14ac:dyDescent="0.25">
      <c r="K1684" s="400"/>
    </row>
    <row r="1685" spans="11:11" x14ac:dyDescent="0.25">
      <c r="K1685" s="400"/>
    </row>
    <row r="1686" spans="11:11" x14ac:dyDescent="0.25">
      <c r="K1686" s="400"/>
    </row>
    <row r="1687" spans="11:11" x14ac:dyDescent="0.25">
      <c r="K1687" s="400"/>
    </row>
    <row r="1688" spans="11:11" x14ac:dyDescent="0.25">
      <c r="K1688" s="400"/>
    </row>
    <row r="1689" spans="11:11" x14ac:dyDescent="0.25">
      <c r="K1689" s="400"/>
    </row>
    <row r="1690" spans="11:11" x14ac:dyDescent="0.25">
      <c r="K1690" s="400"/>
    </row>
    <row r="1691" spans="11:11" x14ac:dyDescent="0.25">
      <c r="K1691" s="400"/>
    </row>
    <row r="1692" spans="11:11" x14ac:dyDescent="0.25">
      <c r="K1692" s="400"/>
    </row>
    <row r="1693" spans="11:11" x14ac:dyDescent="0.25">
      <c r="K1693" s="400"/>
    </row>
    <row r="1694" spans="11:11" x14ac:dyDescent="0.25">
      <c r="K1694" s="400"/>
    </row>
    <row r="1695" spans="11:11" x14ac:dyDescent="0.25">
      <c r="K1695" s="400"/>
    </row>
    <row r="1696" spans="11:11" x14ac:dyDescent="0.25">
      <c r="K1696" s="400"/>
    </row>
    <row r="1697" spans="11:11" x14ac:dyDescent="0.25">
      <c r="K1697" s="400"/>
    </row>
    <row r="1698" spans="11:11" x14ac:dyDescent="0.25">
      <c r="K1698" s="400"/>
    </row>
    <row r="1699" spans="11:11" x14ac:dyDescent="0.25">
      <c r="K1699" s="400"/>
    </row>
    <row r="1700" spans="11:11" x14ac:dyDescent="0.25">
      <c r="K1700" s="400"/>
    </row>
    <row r="1701" spans="11:11" x14ac:dyDescent="0.25">
      <c r="K1701" s="400"/>
    </row>
    <row r="1702" spans="11:11" x14ac:dyDescent="0.25">
      <c r="K1702" s="400"/>
    </row>
    <row r="1703" spans="11:11" x14ac:dyDescent="0.25">
      <c r="K1703" s="400"/>
    </row>
    <row r="1704" spans="11:11" x14ac:dyDescent="0.25">
      <c r="K1704" s="400"/>
    </row>
    <row r="1705" spans="11:11" x14ac:dyDescent="0.25">
      <c r="K1705" s="400"/>
    </row>
    <row r="1706" spans="11:11" x14ac:dyDescent="0.25">
      <c r="K1706" s="400"/>
    </row>
    <row r="1707" spans="11:11" x14ac:dyDescent="0.25">
      <c r="K1707" s="400"/>
    </row>
    <row r="1708" spans="11:11" x14ac:dyDescent="0.25">
      <c r="K1708" s="400"/>
    </row>
    <row r="1709" spans="11:11" x14ac:dyDescent="0.25">
      <c r="K1709" s="400"/>
    </row>
    <row r="1710" spans="11:11" x14ac:dyDescent="0.25">
      <c r="K1710" s="400"/>
    </row>
    <row r="1711" spans="11:11" x14ac:dyDescent="0.25">
      <c r="K1711" s="400"/>
    </row>
    <row r="1712" spans="11:11" x14ac:dyDescent="0.25">
      <c r="K1712" s="400"/>
    </row>
    <row r="1713" spans="11:11" x14ac:dyDescent="0.25">
      <c r="K1713" s="400"/>
    </row>
    <row r="1714" spans="11:11" x14ac:dyDescent="0.25">
      <c r="K1714" s="400"/>
    </row>
    <row r="1715" spans="11:11" x14ac:dyDescent="0.25">
      <c r="K1715" s="400"/>
    </row>
    <row r="1716" spans="11:11" x14ac:dyDescent="0.25">
      <c r="K1716" s="400"/>
    </row>
    <row r="1717" spans="11:11" x14ac:dyDescent="0.25">
      <c r="K1717" s="400"/>
    </row>
    <row r="1718" spans="11:11" x14ac:dyDescent="0.25">
      <c r="K1718" s="400"/>
    </row>
    <row r="1719" spans="11:11" x14ac:dyDescent="0.25">
      <c r="K1719" s="400"/>
    </row>
    <row r="1720" spans="11:11" x14ac:dyDescent="0.25">
      <c r="K1720" s="400"/>
    </row>
    <row r="1721" spans="11:11" x14ac:dyDescent="0.25">
      <c r="K1721" s="400"/>
    </row>
    <row r="1722" spans="11:11" x14ac:dyDescent="0.25">
      <c r="K1722" s="400"/>
    </row>
    <row r="1723" spans="11:11" x14ac:dyDescent="0.25">
      <c r="K1723" s="400"/>
    </row>
    <row r="1724" spans="11:11" x14ac:dyDescent="0.25">
      <c r="K1724" s="400"/>
    </row>
    <row r="1725" spans="11:11" x14ac:dyDescent="0.25">
      <c r="K1725" s="400"/>
    </row>
    <row r="1726" spans="11:11" x14ac:dyDescent="0.25">
      <c r="K1726" s="400"/>
    </row>
    <row r="1727" spans="11:11" x14ac:dyDescent="0.25">
      <c r="K1727" s="400"/>
    </row>
    <row r="1728" spans="11:11" x14ac:dyDescent="0.25">
      <c r="K1728" s="400"/>
    </row>
    <row r="1729" spans="11:11" x14ac:dyDescent="0.25">
      <c r="K1729" s="400"/>
    </row>
    <row r="1730" spans="11:11" x14ac:dyDescent="0.25">
      <c r="K1730" s="400"/>
    </row>
    <row r="1731" spans="11:11" x14ac:dyDescent="0.25">
      <c r="K1731" s="400"/>
    </row>
    <row r="1732" spans="11:11" x14ac:dyDescent="0.25">
      <c r="K1732" s="400"/>
    </row>
    <row r="1733" spans="11:11" x14ac:dyDescent="0.25">
      <c r="K1733" s="400"/>
    </row>
    <row r="1734" spans="11:11" x14ac:dyDescent="0.25">
      <c r="K1734" s="400"/>
    </row>
    <row r="1735" spans="11:11" x14ac:dyDescent="0.25">
      <c r="K1735" s="400"/>
    </row>
    <row r="1736" spans="11:11" x14ac:dyDescent="0.25">
      <c r="K1736" s="400"/>
    </row>
    <row r="1737" spans="11:11" x14ac:dyDescent="0.25">
      <c r="K1737" s="400"/>
    </row>
    <row r="1738" spans="11:11" x14ac:dyDescent="0.25">
      <c r="K1738" s="400"/>
    </row>
    <row r="1739" spans="11:11" x14ac:dyDescent="0.25">
      <c r="K1739" s="400"/>
    </row>
    <row r="1740" spans="11:11" x14ac:dyDescent="0.25">
      <c r="K1740" s="400"/>
    </row>
    <row r="1741" spans="11:11" x14ac:dyDescent="0.25">
      <c r="K1741" s="400"/>
    </row>
    <row r="1742" spans="11:11" x14ac:dyDescent="0.25">
      <c r="K1742" s="400"/>
    </row>
    <row r="1743" spans="11:11" x14ac:dyDescent="0.25">
      <c r="K1743" s="400"/>
    </row>
    <row r="1744" spans="11:11" x14ac:dyDescent="0.25">
      <c r="K1744" s="400"/>
    </row>
    <row r="1745" spans="11:11" x14ac:dyDescent="0.25">
      <c r="K1745" s="400"/>
    </row>
    <row r="1746" spans="11:11" x14ac:dyDescent="0.25">
      <c r="K1746" s="400"/>
    </row>
    <row r="1747" spans="11:11" x14ac:dyDescent="0.25">
      <c r="K1747" s="400"/>
    </row>
    <row r="1748" spans="11:11" x14ac:dyDescent="0.25">
      <c r="K1748" s="400"/>
    </row>
    <row r="1749" spans="11:11" x14ac:dyDescent="0.25">
      <c r="K1749" s="400"/>
    </row>
    <row r="1750" spans="11:11" x14ac:dyDescent="0.25">
      <c r="K1750" s="400"/>
    </row>
    <row r="1751" spans="11:11" x14ac:dyDescent="0.25">
      <c r="K1751" s="400"/>
    </row>
    <row r="1752" spans="11:11" x14ac:dyDescent="0.25">
      <c r="K1752" s="400"/>
    </row>
    <row r="1753" spans="11:11" x14ac:dyDescent="0.25">
      <c r="K1753" s="400"/>
    </row>
    <row r="1754" spans="11:11" x14ac:dyDescent="0.25">
      <c r="K1754" s="400"/>
    </row>
    <row r="1755" spans="11:11" x14ac:dyDescent="0.25">
      <c r="K1755" s="400"/>
    </row>
    <row r="1756" spans="11:11" x14ac:dyDescent="0.25">
      <c r="K1756" s="400"/>
    </row>
    <row r="1757" spans="11:11" x14ac:dyDescent="0.25">
      <c r="K1757" s="400"/>
    </row>
    <row r="1758" spans="11:11" x14ac:dyDescent="0.25">
      <c r="K1758" s="400"/>
    </row>
    <row r="1759" spans="11:11" x14ac:dyDescent="0.25">
      <c r="K1759" s="400"/>
    </row>
    <row r="1760" spans="11:11" x14ac:dyDescent="0.25">
      <c r="K1760" s="400"/>
    </row>
    <row r="1761" spans="11:11" x14ac:dyDescent="0.25">
      <c r="K1761" s="400"/>
    </row>
    <row r="1762" spans="11:11" x14ac:dyDescent="0.25">
      <c r="K1762" s="400"/>
    </row>
    <row r="1763" spans="11:11" x14ac:dyDescent="0.25">
      <c r="K1763" s="400"/>
    </row>
    <row r="1764" spans="11:11" x14ac:dyDescent="0.25">
      <c r="K1764" s="400"/>
    </row>
    <row r="1765" spans="11:11" x14ac:dyDescent="0.25">
      <c r="K1765" s="400"/>
    </row>
    <row r="1766" spans="11:11" x14ac:dyDescent="0.25">
      <c r="K1766" s="400"/>
    </row>
    <row r="1767" spans="11:11" x14ac:dyDescent="0.25">
      <c r="K1767" s="400"/>
    </row>
    <row r="1768" spans="11:11" x14ac:dyDescent="0.25">
      <c r="K1768" s="400"/>
    </row>
    <row r="1769" spans="11:11" x14ac:dyDescent="0.25">
      <c r="K1769" s="400"/>
    </row>
    <row r="1770" spans="11:11" x14ac:dyDescent="0.25">
      <c r="K1770" s="400"/>
    </row>
    <row r="1771" spans="11:11" x14ac:dyDescent="0.25">
      <c r="K1771" s="400"/>
    </row>
    <row r="1772" spans="11:11" x14ac:dyDescent="0.25">
      <c r="K1772" s="400"/>
    </row>
    <row r="1773" spans="11:11" x14ac:dyDescent="0.25">
      <c r="K1773" s="400"/>
    </row>
    <row r="1774" spans="11:11" x14ac:dyDescent="0.25">
      <c r="K1774" s="400"/>
    </row>
    <row r="1775" spans="11:11" x14ac:dyDescent="0.25">
      <c r="K1775" s="400"/>
    </row>
    <row r="1776" spans="11:11" x14ac:dyDescent="0.25">
      <c r="K1776" s="400"/>
    </row>
    <row r="1777" spans="11:11" x14ac:dyDescent="0.25">
      <c r="K1777" s="400"/>
    </row>
    <row r="1778" spans="11:11" x14ac:dyDescent="0.25">
      <c r="K1778" s="400"/>
    </row>
    <row r="1779" spans="11:11" x14ac:dyDescent="0.25">
      <c r="K1779" s="400"/>
    </row>
    <row r="1780" spans="11:11" x14ac:dyDescent="0.25">
      <c r="K1780" s="400"/>
    </row>
    <row r="1781" spans="11:11" x14ac:dyDescent="0.25">
      <c r="K1781" s="400"/>
    </row>
    <row r="1782" spans="11:11" x14ac:dyDescent="0.25">
      <c r="K1782" s="400"/>
    </row>
    <row r="1783" spans="11:11" x14ac:dyDescent="0.25">
      <c r="K1783" s="400"/>
    </row>
    <row r="1784" spans="11:11" x14ac:dyDescent="0.25">
      <c r="K1784" s="400"/>
    </row>
    <row r="1785" spans="11:11" x14ac:dyDescent="0.25">
      <c r="K1785" s="400"/>
    </row>
    <row r="1786" spans="11:11" x14ac:dyDescent="0.25">
      <c r="K1786" s="400"/>
    </row>
    <row r="1787" spans="11:11" x14ac:dyDescent="0.25">
      <c r="K1787" s="400"/>
    </row>
    <row r="1788" spans="11:11" x14ac:dyDescent="0.25">
      <c r="K1788" s="400"/>
    </row>
    <row r="1789" spans="11:11" x14ac:dyDescent="0.25">
      <c r="K1789" s="400"/>
    </row>
    <row r="1790" spans="11:11" x14ac:dyDescent="0.25">
      <c r="K1790" s="400"/>
    </row>
    <row r="1791" spans="11:11" x14ac:dyDescent="0.25">
      <c r="K1791" s="400"/>
    </row>
    <row r="1792" spans="11:11" x14ac:dyDescent="0.25">
      <c r="K1792" s="400"/>
    </row>
    <row r="1793" spans="11:11" x14ac:dyDescent="0.25">
      <c r="K1793" s="400"/>
    </row>
    <row r="1794" spans="11:11" x14ac:dyDescent="0.25">
      <c r="K1794" s="400"/>
    </row>
    <row r="1795" spans="11:11" x14ac:dyDescent="0.25">
      <c r="K1795" s="400"/>
    </row>
    <row r="1796" spans="11:11" x14ac:dyDescent="0.25">
      <c r="K1796" s="400"/>
    </row>
    <row r="1797" spans="11:11" x14ac:dyDescent="0.25">
      <c r="K1797" s="400"/>
    </row>
    <row r="1798" spans="11:11" x14ac:dyDescent="0.25">
      <c r="K1798" s="400"/>
    </row>
    <row r="1799" spans="11:11" x14ac:dyDescent="0.25">
      <c r="K1799" s="400"/>
    </row>
    <row r="1800" spans="11:11" x14ac:dyDescent="0.25">
      <c r="K1800" s="400"/>
    </row>
    <row r="1801" spans="11:11" x14ac:dyDescent="0.25">
      <c r="K1801" s="400"/>
    </row>
    <row r="1802" spans="11:11" x14ac:dyDescent="0.25">
      <c r="K1802" s="400"/>
    </row>
    <row r="1803" spans="11:11" x14ac:dyDescent="0.25">
      <c r="K1803" s="400"/>
    </row>
    <row r="1804" spans="11:11" x14ac:dyDescent="0.25">
      <c r="K1804" s="400"/>
    </row>
    <row r="1805" spans="11:11" x14ac:dyDescent="0.25">
      <c r="K1805" s="400"/>
    </row>
    <row r="1806" spans="11:11" x14ac:dyDescent="0.25">
      <c r="K1806" s="400"/>
    </row>
    <row r="1807" spans="11:11" x14ac:dyDescent="0.25">
      <c r="K1807" s="400"/>
    </row>
    <row r="1808" spans="11:11" x14ac:dyDescent="0.25">
      <c r="K1808" s="400"/>
    </row>
    <row r="1809" spans="11:11" x14ac:dyDescent="0.25">
      <c r="K1809" s="400"/>
    </row>
    <row r="1810" spans="11:11" x14ac:dyDescent="0.25">
      <c r="K1810" s="400"/>
    </row>
    <row r="1811" spans="11:11" x14ac:dyDescent="0.25">
      <c r="K1811" s="400"/>
    </row>
    <row r="1812" spans="11:11" x14ac:dyDescent="0.25">
      <c r="K1812" s="400"/>
    </row>
    <row r="1813" spans="11:11" x14ac:dyDescent="0.25">
      <c r="K1813" s="400"/>
    </row>
    <row r="1814" spans="11:11" x14ac:dyDescent="0.25">
      <c r="K1814" s="400"/>
    </row>
    <row r="1815" spans="11:11" x14ac:dyDescent="0.25">
      <c r="K1815" s="400"/>
    </row>
    <row r="1816" spans="11:11" x14ac:dyDescent="0.25">
      <c r="K1816" s="400"/>
    </row>
    <row r="1817" spans="11:11" x14ac:dyDescent="0.25">
      <c r="K1817" s="400"/>
    </row>
    <row r="1818" spans="11:11" x14ac:dyDescent="0.25">
      <c r="K1818" s="400"/>
    </row>
    <row r="1819" spans="11:11" x14ac:dyDescent="0.25">
      <c r="K1819" s="400"/>
    </row>
    <row r="1820" spans="11:11" x14ac:dyDescent="0.25">
      <c r="K1820" s="400"/>
    </row>
    <row r="1821" spans="11:11" x14ac:dyDescent="0.25">
      <c r="K1821" s="400"/>
    </row>
    <row r="1822" spans="11:11" x14ac:dyDescent="0.25">
      <c r="K1822" s="400"/>
    </row>
    <row r="1823" spans="11:11" x14ac:dyDescent="0.25">
      <c r="K1823" s="400"/>
    </row>
    <row r="1824" spans="11:11" x14ac:dyDescent="0.25">
      <c r="K1824" s="400"/>
    </row>
    <row r="1825" spans="11:11" x14ac:dyDescent="0.25">
      <c r="K1825" s="400"/>
    </row>
    <row r="1826" spans="11:11" x14ac:dyDescent="0.25">
      <c r="K1826" s="400"/>
    </row>
    <row r="1827" spans="11:11" x14ac:dyDescent="0.25">
      <c r="K1827" s="400"/>
    </row>
    <row r="1828" spans="11:11" x14ac:dyDescent="0.25">
      <c r="K1828" s="400"/>
    </row>
    <row r="1829" spans="11:11" x14ac:dyDescent="0.25">
      <c r="K1829" s="400"/>
    </row>
    <row r="1830" spans="11:11" x14ac:dyDescent="0.25">
      <c r="K1830" s="400"/>
    </row>
    <row r="1831" spans="11:11" x14ac:dyDescent="0.25">
      <c r="K1831" s="400"/>
    </row>
    <row r="1832" spans="11:11" x14ac:dyDescent="0.25">
      <c r="K1832" s="400"/>
    </row>
    <row r="1833" spans="11:11" x14ac:dyDescent="0.25">
      <c r="K1833" s="400"/>
    </row>
    <row r="1834" spans="11:11" x14ac:dyDescent="0.25">
      <c r="K1834" s="400"/>
    </row>
    <row r="1835" spans="11:11" x14ac:dyDescent="0.25">
      <c r="K1835" s="400"/>
    </row>
    <row r="1836" spans="11:11" x14ac:dyDescent="0.25">
      <c r="K1836" s="400"/>
    </row>
    <row r="1837" spans="11:11" x14ac:dyDescent="0.25">
      <c r="K1837" s="400"/>
    </row>
    <row r="1838" spans="11:11" x14ac:dyDescent="0.25">
      <c r="K1838" s="400"/>
    </row>
    <row r="1839" spans="11:11" x14ac:dyDescent="0.25">
      <c r="K1839" s="400"/>
    </row>
    <row r="1840" spans="11:11" x14ac:dyDescent="0.25">
      <c r="K1840" s="400"/>
    </row>
    <row r="1841" spans="11:11" x14ac:dyDescent="0.25">
      <c r="K1841" s="400"/>
    </row>
    <row r="1842" spans="11:11" x14ac:dyDescent="0.25">
      <c r="K1842" s="400"/>
    </row>
    <row r="1843" spans="11:11" x14ac:dyDescent="0.25">
      <c r="K1843" s="400"/>
    </row>
    <row r="1844" spans="11:11" x14ac:dyDescent="0.25">
      <c r="K1844" s="400"/>
    </row>
    <row r="1845" spans="11:11" x14ac:dyDescent="0.25">
      <c r="K1845" s="400"/>
    </row>
    <row r="1846" spans="11:11" x14ac:dyDescent="0.25">
      <c r="K1846" s="400"/>
    </row>
    <row r="1847" spans="11:11" x14ac:dyDescent="0.25">
      <c r="K1847" s="400"/>
    </row>
    <row r="1848" spans="11:11" x14ac:dyDescent="0.25">
      <c r="K1848" s="400"/>
    </row>
    <row r="1849" spans="11:11" x14ac:dyDescent="0.25">
      <c r="K1849" s="400"/>
    </row>
    <row r="1850" spans="11:11" x14ac:dyDescent="0.25">
      <c r="K1850" s="400"/>
    </row>
    <row r="1851" spans="11:11" x14ac:dyDescent="0.25">
      <c r="K1851" s="400"/>
    </row>
    <row r="1852" spans="11:11" x14ac:dyDescent="0.25">
      <c r="K1852" s="400"/>
    </row>
    <row r="1853" spans="11:11" x14ac:dyDescent="0.25">
      <c r="K1853" s="400"/>
    </row>
    <row r="1854" spans="11:11" x14ac:dyDescent="0.25">
      <c r="K1854" s="400"/>
    </row>
    <row r="1855" spans="11:11" x14ac:dyDescent="0.25">
      <c r="K1855" s="400"/>
    </row>
    <row r="1856" spans="11:11" x14ac:dyDescent="0.25">
      <c r="K1856" s="400"/>
    </row>
    <row r="1857" spans="11:11" x14ac:dyDescent="0.25">
      <c r="K1857" s="400"/>
    </row>
    <row r="1858" spans="11:11" x14ac:dyDescent="0.25">
      <c r="K1858" s="400"/>
    </row>
    <row r="1859" spans="11:11" x14ac:dyDescent="0.25">
      <c r="K1859" s="400"/>
    </row>
    <row r="1860" spans="11:11" x14ac:dyDescent="0.25">
      <c r="K1860" s="400"/>
    </row>
    <row r="1861" spans="11:11" x14ac:dyDescent="0.25">
      <c r="K1861" s="400"/>
    </row>
    <row r="1862" spans="11:11" x14ac:dyDescent="0.25">
      <c r="K1862" s="400"/>
    </row>
    <row r="1863" spans="11:11" x14ac:dyDescent="0.25">
      <c r="K1863" s="400"/>
    </row>
    <row r="1864" spans="11:11" x14ac:dyDescent="0.25">
      <c r="K1864" s="400"/>
    </row>
    <row r="1865" spans="11:11" x14ac:dyDescent="0.25">
      <c r="K1865" s="400"/>
    </row>
    <row r="1866" spans="11:11" x14ac:dyDescent="0.25">
      <c r="K1866" s="400"/>
    </row>
    <row r="1867" spans="11:11" x14ac:dyDescent="0.25">
      <c r="K1867" s="400"/>
    </row>
    <row r="1868" spans="11:11" x14ac:dyDescent="0.25">
      <c r="K1868" s="400"/>
    </row>
    <row r="1869" spans="11:11" x14ac:dyDescent="0.25">
      <c r="K1869" s="400"/>
    </row>
    <row r="1870" spans="11:11" x14ac:dyDescent="0.25">
      <c r="K1870" s="400"/>
    </row>
    <row r="1871" spans="11:11" x14ac:dyDescent="0.25">
      <c r="K1871" s="400"/>
    </row>
    <row r="1872" spans="11:11" x14ac:dyDescent="0.25">
      <c r="K1872" s="400"/>
    </row>
    <row r="1873" spans="11:11" x14ac:dyDescent="0.25">
      <c r="K1873" s="400"/>
    </row>
    <row r="1874" spans="11:11" x14ac:dyDescent="0.25">
      <c r="K1874" s="400"/>
    </row>
    <row r="1875" spans="11:11" x14ac:dyDescent="0.25">
      <c r="K1875" s="400"/>
    </row>
    <row r="1876" spans="11:11" x14ac:dyDescent="0.25">
      <c r="K1876" s="400"/>
    </row>
    <row r="1877" spans="11:11" x14ac:dyDescent="0.25">
      <c r="K1877" s="400"/>
    </row>
    <row r="1878" spans="11:11" x14ac:dyDescent="0.25">
      <c r="K1878" s="400"/>
    </row>
    <row r="1879" spans="11:11" x14ac:dyDescent="0.25">
      <c r="K1879" s="400"/>
    </row>
    <row r="1880" spans="11:11" x14ac:dyDescent="0.25">
      <c r="K1880" s="400"/>
    </row>
    <row r="1881" spans="11:11" x14ac:dyDescent="0.25">
      <c r="K1881" s="400"/>
    </row>
    <row r="1882" spans="11:11" x14ac:dyDescent="0.25">
      <c r="K1882" s="400"/>
    </row>
    <row r="1883" spans="11:11" x14ac:dyDescent="0.25">
      <c r="K1883" s="400"/>
    </row>
    <row r="1884" spans="11:11" x14ac:dyDescent="0.25">
      <c r="K1884" s="400"/>
    </row>
    <row r="1885" spans="11:11" x14ac:dyDescent="0.25">
      <c r="K1885" s="400"/>
    </row>
    <row r="1886" spans="11:11" x14ac:dyDescent="0.25">
      <c r="K1886" s="400"/>
    </row>
    <row r="1887" spans="11:11" x14ac:dyDescent="0.25">
      <c r="K1887" s="400"/>
    </row>
    <row r="1888" spans="11:11" x14ac:dyDescent="0.25">
      <c r="K1888" s="400"/>
    </row>
    <row r="1889" spans="11:11" x14ac:dyDescent="0.25">
      <c r="K1889" s="400"/>
    </row>
    <row r="1890" spans="11:11" x14ac:dyDescent="0.25">
      <c r="K1890" s="400"/>
    </row>
    <row r="1891" spans="11:11" x14ac:dyDescent="0.25">
      <c r="K1891" s="400"/>
    </row>
    <row r="1892" spans="11:11" x14ac:dyDescent="0.25">
      <c r="K1892" s="400"/>
    </row>
    <row r="1893" spans="11:11" x14ac:dyDescent="0.25">
      <c r="K1893" s="400"/>
    </row>
    <row r="1894" spans="11:11" x14ac:dyDescent="0.25">
      <c r="K1894" s="400"/>
    </row>
    <row r="1895" spans="11:11" x14ac:dyDescent="0.25">
      <c r="K1895" s="400"/>
    </row>
    <row r="1896" spans="11:11" x14ac:dyDescent="0.25">
      <c r="K1896" s="400"/>
    </row>
    <row r="1897" spans="11:11" x14ac:dyDescent="0.25">
      <c r="K1897" s="400"/>
    </row>
    <row r="1898" spans="11:11" x14ac:dyDescent="0.25">
      <c r="K1898" s="400"/>
    </row>
    <row r="1899" spans="11:11" x14ac:dyDescent="0.25">
      <c r="K1899" s="400"/>
    </row>
    <row r="1900" spans="11:11" x14ac:dyDescent="0.25">
      <c r="K1900" s="400"/>
    </row>
    <row r="1901" spans="11:11" x14ac:dyDescent="0.25">
      <c r="K1901" s="400"/>
    </row>
    <row r="1902" spans="11:11" x14ac:dyDescent="0.25">
      <c r="K1902" s="400"/>
    </row>
    <row r="1903" spans="11:11" x14ac:dyDescent="0.25">
      <c r="K1903" s="400"/>
    </row>
    <row r="1904" spans="11:11" x14ac:dyDescent="0.25">
      <c r="K1904" s="400"/>
    </row>
    <row r="1905" spans="11:11" x14ac:dyDescent="0.25">
      <c r="K1905" s="400"/>
    </row>
    <row r="1906" spans="11:11" x14ac:dyDescent="0.25">
      <c r="K1906" s="400"/>
    </row>
    <row r="1907" spans="11:11" x14ac:dyDescent="0.25">
      <c r="K1907" s="400"/>
    </row>
    <row r="1908" spans="11:11" x14ac:dyDescent="0.25">
      <c r="K1908" s="400"/>
    </row>
    <row r="1909" spans="11:11" x14ac:dyDescent="0.25">
      <c r="K1909" s="400"/>
    </row>
    <row r="1910" spans="11:11" x14ac:dyDescent="0.25">
      <c r="K1910" s="400"/>
    </row>
    <row r="1911" spans="11:11" x14ac:dyDescent="0.25">
      <c r="K1911" s="400"/>
    </row>
    <row r="1912" spans="11:11" x14ac:dyDescent="0.25">
      <c r="K1912" s="400"/>
    </row>
    <row r="1913" spans="11:11" x14ac:dyDescent="0.25">
      <c r="K1913" s="400"/>
    </row>
    <row r="1914" spans="11:11" x14ac:dyDescent="0.25">
      <c r="K1914" s="400"/>
    </row>
    <row r="1915" spans="11:11" x14ac:dyDescent="0.25">
      <c r="K1915" s="400"/>
    </row>
    <row r="1916" spans="11:11" x14ac:dyDescent="0.25">
      <c r="K1916" s="400"/>
    </row>
    <row r="1917" spans="11:11" x14ac:dyDescent="0.25">
      <c r="K1917" s="400"/>
    </row>
    <row r="1918" spans="11:11" x14ac:dyDescent="0.25">
      <c r="K1918" s="400"/>
    </row>
    <row r="1919" spans="11:11" x14ac:dyDescent="0.25">
      <c r="K1919" s="400"/>
    </row>
    <row r="1920" spans="11:11" x14ac:dyDescent="0.25">
      <c r="K1920" s="400"/>
    </row>
    <row r="1921" spans="11:11" x14ac:dyDescent="0.25">
      <c r="K1921" s="400"/>
    </row>
    <row r="1922" spans="11:11" x14ac:dyDescent="0.25">
      <c r="K1922" s="400"/>
    </row>
    <row r="1923" spans="11:11" x14ac:dyDescent="0.25">
      <c r="K1923" s="400"/>
    </row>
    <row r="1924" spans="11:11" x14ac:dyDescent="0.25">
      <c r="K1924" s="400"/>
    </row>
    <row r="1925" spans="11:11" x14ac:dyDescent="0.25">
      <c r="K1925" s="400"/>
    </row>
    <row r="1926" spans="11:11" x14ac:dyDescent="0.25">
      <c r="K1926" s="400"/>
    </row>
    <row r="1927" spans="11:11" x14ac:dyDescent="0.25">
      <c r="K1927" s="400"/>
    </row>
    <row r="1928" spans="11:11" x14ac:dyDescent="0.25">
      <c r="K1928" s="400"/>
    </row>
    <row r="1929" spans="11:11" x14ac:dyDescent="0.25">
      <c r="K1929" s="400"/>
    </row>
    <row r="1930" spans="11:11" x14ac:dyDescent="0.25">
      <c r="K1930" s="400"/>
    </row>
    <row r="1931" spans="11:11" x14ac:dyDescent="0.25">
      <c r="K1931" s="400"/>
    </row>
    <row r="1932" spans="11:11" x14ac:dyDescent="0.25">
      <c r="K1932" s="400"/>
    </row>
    <row r="1933" spans="11:11" x14ac:dyDescent="0.25">
      <c r="K1933" s="400"/>
    </row>
    <row r="1934" spans="11:11" x14ac:dyDescent="0.25">
      <c r="K1934" s="400"/>
    </row>
    <row r="1935" spans="11:11" x14ac:dyDescent="0.25">
      <c r="K1935" s="400"/>
    </row>
    <row r="1936" spans="11:11" x14ac:dyDescent="0.25">
      <c r="K1936" s="400"/>
    </row>
    <row r="1937" spans="11:11" x14ac:dyDescent="0.25">
      <c r="K1937" s="400"/>
    </row>
    <row r="1938" spans="11:11" x14ac:dyDescent="0.25">
      <c r="K1938" s="400"/>
    </row>
    <row r="1939" spans="11:11" x14ac:dyDescent="0.25">
      <c r="K1939" s="400"/>
    </row>
    <row r="1940" spans="11:11" x14ac:dyDescent="0.25">
      <c r="K1940" s="400"/>
    </row>
    <row r="1941" spans="11:11" x14ac:dyDescent="0.25">
      <c r="K1941" s="400"/>
    </row>
    <row r="1942" spans="11:11" x14ac:dyDescent="0.25">
      <c r="K1942" s="400"/>
    </row>
    <row r="1943" spans="11:11" x14ac:dyDescent="0.25">
      <c r="K1943" s="400"/>
    </row>
    <row r="1944" spans="11:11" x14ac:dyDescent="0.25">
      <c r="K1944" s="400"/>
    </row>
    <row r="1945" spans="11:11" x14ac:dyDescent="0.25">
      <c r="K1945" s="400"/>
    </row>
    <row r="1946" spans="11:11" x14ac:dyDescent="0.25">
      <c r="K1946" s="400"/>
    </row>
    <row r="1947" spans="11:11" x14ac:dyDescent="0.25">
      <c r="K1947" s="400"/>
    </row>
    <row r="1948" spans="11:11" x14ac:dyDescent="0.25">
      <c r="K1948" s="400"/>
    </row>
    <row r="1949" spans="11:11" x14ac:dyDescent="0.25">
      <c r="K1949" s="400"/>
    </row>
    <row r="1950" spans="11:11" x14ac:dyDescent="0.25">
      <c r="K1950" s="400"/>
    </row>
    <row r="1951" spans="11:11" x14ac:dyDescent="0.25">
      <c r="K1951" s="400"/>
    </row>
    <row r="1952" spans="11:11" x14ac:dyDescent="0.25">
      <c r="K1952" s="400"/>
    </row>
    <row r="1953" spans="11:11" x14ac:dyDescent="0.25">
      <c r="K1953" s="400"/>
    </row>
    <row r="1954" spans="11:11" x14ac:dyDescent="0.25">
      <c r="K1954" s="400"/>
    </row>
    <row r="1955" spans="11:11" x14ac:dyDescent="0.25">
      <c r="K1955" s="400"/>
    </row>
    <row r="1956" spans="11:11" x14ac:dyDescent="0.25">
      <c r="K1956" s="400"/>
    </row>
    <row r="1957" spans="11:11" x14ac:dyDescent="0.25">
      <c r="K1957" s="400"/>
    </row>
    <row r="1958" spans="11:11" x14ac:dyDescent="0.25">
      <c r="K1958" s="400"/>
    </row>
    <row r="1959" spans="11:11" x14ac:dyDescent="0.25">
      <c r="K1959" s="400"/>
    </row>
    <row r="1960" spans="11:11" x14ac:dyDescent="0.25">
      <c r="K1960" s="400"/>
    </row>
    <row r="1961" spans="11:11" x14ac:dyDescent="0.25">
      <c r="K1961" s="400"/>
    </row>
    <row r="1962" spans="11:11" x14ac:dyDescent="0.25">
      <c r="K1962" s="400"/>
    </row>
    <row r="1963" spans="11:11" x14ac:dyDescent="0.25">
      <c r="K1963" s="400"/>
    </row>
    <row r="1964" spans="11:11" x14ac:dyDescent="0.25">
      <c r="K1964" s="400"/>
    </row>
    <row r="1965" spans="11:11" x14ac:dyDescent="0.25">
      <c r="K1965" s="400"/>
    </row>
    <row r="1966" spans="11:11" x14ac:dyDescent="0.25">
      <c r="K1966" s="400"/>
    </row>
    <row r="1967" spans="11:11" x14ac:dyDescent="0.25">
      <c r="K1967" s="400"/>
    </row>
    <row r="1968" spans="11:11" x14ac:dyDescent="0.25">
      <c r="K1968" s="400"/>
    </row>
    <row r="1969" spans="11:11" x14ac:dyDescent="0.25">
      <c r="K1969" s="400"/>
    </row>
    <row r="1970" spans="11:11" x14ac:dyDescent="0.25">
      <c r="K1970" s="400"/>
    </row>
    <row r="1971" spans="11:11" x14ac:dyDescent="0.25">
      <c r="K1971" s="400"/>
    </row>
    <row r="1972" spans="11:11" x14ac:dyDescent="0.25">
      <c r="K1972" s="400"/>
    </row>
    <row r="1973" spans="11:11" x14ac:dyDescent="0.25">
      <c r="K1973" s="400"/>
    </row>
    <row r="1974" spans="11:11" x14ac:dyDescent="0.25">
      <c r="K1974" s="400"/>
    </row>
    <row r="1975" spans="11:11" x14ac:dyDescent="0.25">
      <c r="K1975" s="400"/>
    </row>
    <row r="1976" spans="11:11" x14ac:dyDescent="0.25">
      <c r="K1976" s="400"/>
    </row>
    <row r="1977" spans="11:11" x14ac:dyDescent="0.25">
      <c r="K1977" s="400"/>
    </row>
    <row r="1978" spans="11:11" x14ac:dyDescent="0.25">
      <c r="K1978" s="400"/>
    </row>
    <row r="1979" spans="11:11" x14ac:dyDescent="0.25">
      <c r="K1979" s="400"/>
    </row>
    <row r="1980" spans="11:11" x14ac:dyDescent="0.25">
      <c r="K1980" s="400"/>
    </row>
    <row r="1981" spans="11:11" x14ac:dyDescent="0.25">
      <c r="K1981" s="400"/>
    </row>
    <row r="1982" spans="11:11" x14ac:dyDescent="0.25">
      <c r="K1982" s="400"/>
    </row>
    <row r="1983" spans="11:11" x14ac:dyDescent="0.25">
      <c r="K1983" s="400"/>
    </row>
    <row r="1984" spans="11:11" x14ac:dyDescent="0.25">
      <c r="K1984" s="400"/>
    </row>
    <row r="1985" spans="11:11" x14ac:dyDescent="0.25">
      <c r="K1985" s="400"/>
    </row>
    <row r="1986" spans="11:11" x14ac:dyDescent="0.25">
      <c r="K1986" s="400"/>
    </row>
    <row r="1987" spans="11:11" x14ac:dyDescent="0.25">
      <c r="K1987" s="400"/>
    </row>
    <row r="1988" spans="11:11" x14ac:dyDescent="0.25">
      <c r="K1988" s="400"/>
    </row>
    <row r="1989" spans="11:11" x14ac:dyDescent="0.25">
      <c r="K1989" s="400"/>
    </row>
    <row r="1990" spans="11:11" x14ac:dyDescent="0.25">
      <c r="K1990" s="400"/>
    </row>
    <row r="1991" spans="11:11" x14ac:dyDescent="0.25">
      <c r="K1991" s="400"/>
    </row>
    <row r="1992" spans="11:11" x14ac:dyDescent="0.25">
      <c r="K1992" s="400"/>
    </row>
    <row r="1993" spans="11:11" x14ac:dyDescent="0.25">
      <c r="K1993" s="400"/>
    </row>
    <row r="1994" spans="11:11" x14ac:dyDescent="0.25">
      <c r="K1994" s="400"/>
    </row>
    <row r="1995" spans="11:11" x14ac:dyDescent="0.25">
      <c r="K1995" s="400"/>
    </row>
    <row r="1996" spans="11:11" x14ac:dyDescent="0.25">
      <c r="K1996" s="400"/>
    </row>
    <row r="1997" spans="11:11" x14ac:dyDescent="0.25">
      <c r="K1997" s="400"/>
    </row>
    <row r="1998" spans="11:11" x14ac:dyDescent="0.25">
      <c r="K1998" s="400"/>
    </row>
    <row r="1999" spans="11:11" x14ac:dyDescent="0.25">
      <c r="K1999" s="400"/>
    </row>
    <row r="2000" spans="11:11" x14ac:dyDescent="0.25">
      <c r="K2000" s="400"/>
    </row>
    <row r="2001" spans="11:11" x14ac:dyDescent="0.25">
      <c r="K2001" s="400"/>
    </row>
    <row r="2002" spans="11:11" x14ac:dyDescent="0.25">
      <c r="K2002" s="400"/>
    </row>
    <row r="2003" spans="11:11" x14ac:dyDescent="0.25">
      <c r="K2003" s="400"/>
    </row>
    <row r="2004" spans="11:11" x14ac:dyDescent="0.25">
      <c r="K2004" s="400"/>
    </row>
    <row r="2005" spans="11:11" x14ac:dyDescent="0.25">
      <c r="K2005" s="400"/>
    </row>
    <row r="2006" spans="11:11" x14ac:dyDescent="0.25">
      <c r="K2006" s="400"/>
    </row>
    <row r="2007" spans="11:11" x14ac:dyDescent="0.25">
      <c r="K2007" s="400"/>
    </row>
    <row r="2008" spans="11:11" x14ac:dyDescent="0.25">
      <c r="K2008" s="400"/>
    </row>
    <row r="2009" spans="11:11" x14ac:dyDescent="0.25">
      <c r="K2009" s="400"/>
    </row>
    <row r="2010" spans="11:11" x14ac:dyDescent="0.25">
      <c r="K2010" s="400"/>
    </row>
    <row r="2011" spans="11:11" x14ac:dyDescent="0.25">
      <c r="K2011" s="400"/>
    </row>
    <row r="2012" spans="11:11" x14ac:dyDescent="0.25">
      <c r="K2012" s="400"/>
    </row>
    <row r="2013" spans="11:11" x14ac:dyDescent="0.25">
      <c r="K2013" s="400"/>
    </row>
    <row r="2014" spans="11:11" x14ac:dyDescent="0.25">
      <c r="K2014" s="400"/>
    </row>
    <row r="2015" spans="11:11" x14ac:dyDescent="0.25">
      <c r="K2015" s="400"/>
    </row>
    <row r="2016" spans="11:11" x14ac:dyDescent="0.25">
      <c r="K2016" s="400"/>
    </row>
    <row r="2017" spans="11:11" x14ac:dyDescent="0.25">
      <c r="K2017" s="400"/>
    </row>
    <row r="2018" spans="11:11" x14ac:dyDescent="0.25">
      <c r="K2018" s="400"/>
    </row>
    <row r="2019" spans="11:11" x14ac:dyDescent="0.25">
      <c r="K2019" s="400"/>
    </row>
    <row r="2020" spans="11:11" x14ac:dyDescent="0.25">
      <c r="K2020" s="400"/>
    </row>
    <row r="2021" spans="11:11" x14ac:dyDescent="0.25">
      <c r="K2021" s="400"/>
    </row>
    <row r="2022" spans="11:11" x14ac:dyDescent="0.25">
      <c r="K2022" s="400"/>
    </row>
    <row r="2023" spans="11:11" x14ac:dyDescent="0.25">
      <c r="K2023" s="400"/>
    </row>
    <row r="2024" spans="11:11" x14ac:dyDescent="0.25">
      <c r="K2024" s="400"/>
    </row>
    <row r="2025" spans="11:11" x14ac:dyDescent="0.25">
      <c r="K2025" s="400"/>
    </row>
    <row r="2026" spans="11:11" x14ac:dyDescent="0.25">
      <c r="K2026" s="400"/>
    </row>
    <row r="2027" spans="11:11" x14ac:dyDescent="0.25">
      <c r="K2027" s="400"/>
    </row>
    <row r="2028" spans="11:11" x14ac:dyDescent="0.25">
      <c r="K2028" s="400"/>
    </row>
    <row r="2029" spans="11:11" x14ac:dyDescent="0.25">
      <c r="K2029" s="400"/>
    </row>
    <row r="2030" spans="11:11" x14ac:dyDescent="0.25">
      <c r="K2030" s="400"/>
    </row>
    <row r="2031" spans="11:11" x14ac:dyDescent="0.25">
      <c r="K2031" s="400"/>
    </row>
    <row r="2032" spans="11:11" x14ac:dyDescent="0.25">
      <c r="K2032" s="400"/>
    </row>
    <row r="2033" spans="11:11" x14ac:dyDescent="0.25">
      <c r="K2033" s="400"/>
    </row>
    <row r="2034" spans="11:11" x14ac:dyDescent="0.25">
      <c r="K2034" s="400"/>
    </row>
    <row r="2035" spans="11:11" x14ac:dyDescent="0.25">
      <c r="K2035" s="400"/>
    </row>
    <row r="2036" spans="11:11" x14ac:dyDescent="0.25">
      <c r="K2036" s="400"/>
    </row>
    <row r="2037" spans="11:11" x14ac:dyDescent="0.25">
      <c r="K2037" s="400"/>
    </row>
    <row r="2038" spans="11:11" x14ac:dyDescent="0.25">
      <c r="K2038" s="400"/>
    </row>
    <row r="2039" spans="11:11" x14ac:dyDescent="0.25">
      <c r="K2039" s="400"/>
    </row>
    <row r="2040" spans="11:11" x14ac:dyDescent="0.25">
      <c r="K2040" s="400"/>
    </row>
    <row r="2041" spans="11:11" x14ac:dyDescent="0.25">
      <c r="K2041" s="400"/>
    </row>
    <row r="2042" spans="11:11" x14ac:dyDescent="0.25">
      <c r="K2042" s="400"/>
    </row>
    <row r="2043" spans="11:11" x14ac:dyDescent="0.25">
      <c r="K2043" s="400"/>
    </row>
    <row r="2044" spans="11:11" x14ac:dyDescent="0.25">
      <c r="K2044" s="400"/>
    </row>
    <row r="2045" spans="11:11" x14ac:dyDescent="0.25">
      <c r="K2045" s="400"/>
    </row>
    <row r="2046" spans="11:11" x14ac:dyDescent="0.25">
      <c r="K2046" s="400"/>
    </row>
    <row r="2047" spans="11:11" x14ac:dyDescent="0.25">
      <c r="K2047" s="400"/>
    </row>
    <row r="2048" spans="11:11" x14ac:dyDescent="0.25">
      <c r="K2048" s="400"/>
    </row>
    <row r="2049" spans="11:11" x14ac:dyDescent="0.25">
      <c r="K2049" s="400"/>
    </row>
    <row r="2050" spans="11:11" x14ac:dyDescent="0.25">
      <c r="K2050" s="400"/>
    </row>
    <row r="2051" spans="11:11" x14ac:dyDescent="0.25">
      <c r="K2051" s="400"/>
    </row>
    <row r="2052" spans="11:11" x14ac:dyDescent="0.25">
      <c r="K2052" s="400"/>
    </row>
    <row r="2053" spans="11:11" x14ac:dyDescent="0.25">
      <c r="K2053" s="400"/>
    </row>
    <row r="2054" spans="11:11" x14ac:dyDescent="0.25">
      <c r="K2054" s="400"/>
    </row>
    <row r="2055" spans="11:11" x14ac:dyDescent="0.25">
      <c r="K2055" s="400"/>
    </row>
    <row r="2056" spans="11:11" x14ac:dyDescent="0.25">
      <c r="K2056" s="400"/>
    </row>
    <row r="2057" spans="11:11" x14ac:dyDescent="0.25">
      <c r="K2057" s="400"/>
    </row>
    <row r="2058" spans="11:11" x14ac:dyDescent="0.25">
      <c r="K2058" s="400"/>
    </row>
    <row r="2059" spans="11:11" x14ac:dyDescent="0.25">
      <c r="K2059" s="400"/>
    </row>
    <row r="2060" spans="11:11" x14ac:dyDescent="0.25">
      <c r="K2060" s="400"/>
    </row>
    <row r="2061" spans="11:11" x14ac:dyDescent="0.25">
      <c r="K2061" s="400"/>
    </row>
    <row r="2062" spans="11:11" x14ac:dyDescent="0.25">
      <c r="K2062" s="400"/>
    </row>
    <row r="2063" spans="11:11" x14ac:dyDescent="0.25">
      <c r="K2063" s="400"/>
    </row>
    <row r="2064" spans="11:11" x14ac:dyDescent="0.25">
      <c r="K2064" s="400"/>
    </row>
    <row r="2065" spans="11:11" x14ac:dyDescent="0.25">
      <c r="K2065" s="400"/>
    </row>
    <row r="2066" spans="11:11" x14ac:dyDescent="0.25">
      <c r="K2066" s="400"/>
    </row>
    <row r="2067" spans="11:11" x14ac:dyDescent="0.25">
      <c r="K2067" s="400"/>
    </row>
    <row r="2068" spans="11:11" x14ac:dyDescent="0.25">
      <c r="K2068" s="400"/>
    </row>
    <row r="2069" spans="11:11" x14ac:dyDescent="0.25">
      <c r="K2069" s="400"/>
    </row>
    <row r="2070" spans="11:11" x14ac:dyDescent="0.25">
      <c r="K2070" s="400"/>
    </row>
    <row r="2071" spans="11:11" x14ac:dyDescent="0.25">
      <c r="K2071" s="400"/>
    </row>
    <row r="2072" spans="11:11" x14ac:dyDescent="0.25">
      <c r="K2072" s="400"/>
    </row>
    <row r="2073" spans="11:11" x14ac:dyDescent="0.25">
      <c r="K2073" s="400"/>
    </row>
    <row r="2074" spans="11:11" x14ac:dyDescent="0.25">
      <c r="K2074" s="400"/>
    </row>
    <row r="2075" spans="11:11" x14ac:dyDescent="0.25">
      <c r="K2075" s="400"/>
    </row>
    <row r="2076" spans="11:11" x14ac:dyDescent="0.25">
      <c r="K2076" s="400"/>
    </row>
    <row r="2077" spans="11:11" x14ac:dyDescent="0.25">
      <c r="K2077" s="400"/>
    </row>
    <row r="2078" spans="11:11" x14ac:dyDescent="0.25">
      <c r="K2078" s="400"/>
    </row>
    <row r="2079" spans="11:11" x14ac:dyDescent="0.25">
      <c r="K2079" s="400"/>
    </row>
    <row r="2080" spans="11:11" x14ac:dyDescent="0.25">
      <c r="K2080" s="400"/>
    </row>
    <row r="2081" spans="11:11" x14ac:dyDescent="0.25">
      <c r="K2081" s="400"/>
    </row>
    <row r="2082" spans="11:11" x14ac:dyDescent="0.25">
      <c r="K2082" s="400"/>
    </row>
    <row r="2083" spans="11:11" x14ac:dyDescent="0.25">
      <c r="K2083" s="400"/>
    </row>
    <row r="2084" spans="11:11" x14ac:dyDescent="0.25">
      <c r="K2084" s="400"/>
    </row>
    <row r="2085" spans="11:11" x14ac:dyDescent="0.25">
      <c r="K2085" s="400"/>
    </row>
    <row r="2086" spans="11:11" x14ac:dyDescent="0.25">
      <c r="K2086" s="400"/>
    </row>
    <row r="2087" spans="11:11" x14ac:dyDescent="0.25">
      <c r="K2087" s="400"/>
    </row>
    <row r="2088" spans="11:11" x14ac:dyDescent="0.25">
      <c r="K2088" s="400"/>
    </row>
    <row r="2089" spans="11:11" x14ac:dyDescent="0.25">
      <c r="K2089" s="400"/>
    </row>
    <row r="2090" spans="11:11" x14ac:dyDescent="0.25">
      <c r="K2090" s="400"/>
    </row>
    <row r="2091" spans="11:11" x14ac:dyDescent="0.25">
      <c r="K2091" s="400"/>
    </row>
    <row r="2092" spans="11:11" x14ac:dyDescent="0.25">
      <c r="K2092" s="400"/>
    </row>
    <row r="2093" spans="11:11" x14ac:dyDescent="0.25">
      <c r="K2093" s="400"/>
    </row>
    <row r="2094" spans="11:11" x14ac:dyDescent="0.25">
      <c r="K2094" s="400"/>
    </row>
    <row r="2095" spans="11:11" x14ac:dyDescent="0.25">
      <c r="K2095" s="400"/>
    </row>
    <row r="2096" spans="11:11" x14ac:dyDescent="0.25">
      <c r="K2096" s="400"/>
    </row>
    <row r="2097" spans="11:11" x14ac:dyDescent="0.25">
      <c r="K2097" s="400"/>
    </row>
    <row r="2098" spans="11:11" x14ac:dyDescent="0.25">
      <c r="K2098" s="400"/>
    </row>
    <row r="2099" spans="11:11" x14ac:dyDescent="0.25">
      <c r="K2099" s="400"/>
    </row>
    <row r="2100" spans="11:11" x14ac:dyDescent="0.25">
      <c r="K2100" s="400"/>
    </row>
    <row r="2101" spans="11:11" x14ac:dyDescent="0.25">
      <c r="K2101" s="400"/>
    </row>
    <row r="2102" spans="11:11" x14ac:dyDescent="0.25">
      <c r="K2102" s="400"/>
    </row>
    <row r="2103" spans="11:11" x14ac:dyDescent="0.25">
      <c r="K2103" s="400"/>
    </row>
    <row r="2104" spans="11:11" x14ac:dyDescent="0.25">
      <c r="K2104" s="400"/>
    </row>
    <row r="2105" spans="11:11" x14ac:dyDescent="0.25">
      <c r="K2105" s="400"/>
    </row>
    <row r="2106" spans="11:11" x14ac:dyDescent="0.25">
      <c r="K2106" s="400"/>
    </row>
    <row r="2107" spans="11:11" x14ac:dyDescent="0.25">
      <c r="K2107" s="400"/>
    </row>
    <row r="2108" spans="11:11" x14ac:dyDescent="0.25">
      <c r="K2108" s="400"/>
    </row>
    <row r="2109" spans="11:11" x14ac:dyDescent="0.25">
      <c r="K2109" s="400"/>
    </row>
    <row r="2110" spans="11:11" x14ac:dyDescent="0.25">
      <c r="K2110" s="400"/>
    </row>
    <row r="2111" spans="11:11" x14ac:dyDescent="0.25">
      <c r="K2111" s="400"/>
    </row>
    <row r="2112" spans="11:11" x14ac:dyDescent="0.25">
      <c r="K2112" s="400"/>
    </row>
    <row r="2113" spans="11:11" x14ac:dyDescent="0.25">
      <c r="K2113" s="400"/>
    </row>
    <row r="2114" spans="11:11" x14ac:dyDescent="0.25">
      <c r="K2114" s="400"/>
    </row>
    <row r="2115" spans="11:11" x14ac:dyDescent="0.25">
      <c r="K2115" s="400"/>
    </row>
    <row r="2116" spans="11:11" x14ac:dyDescent="0.25">
      <c r="K2116" s="400"/>
    </row>
    <row r="2117" spans="11:11" x14ac:dyDescent="0.25">
      <c r="K2117" s="400"/>
    </row>
    <row r="2118" spans="11:11" x14ac:dyDescent="0.25">
      <c r="K2118" s="400"/>
    </row>
    <row r="2119" spans="11:11" x14ac:dyDescent="0.25">
      <c r="K2119" s="400"/>
    </row>
    <row r="2120" spans="11:11" x14ac:dyDescent="0.25">
      <c r="K2120" s="400"/>
    </row>
    <row r="2121" spans="11:11" x14ac:dyDescent="0.25">
      <c r="K2121" s="400"/>
    </row>
    <row r="2122" spans="11:11" x14ac:dyDescent="0.25">
      <c r="K2122" s="400"/>
    </row>
    <row r="2123" spans="11:11" x14ac:dyDescent="0.25">
      <c r="K2123" s="400"/>
    </row>
    <row r="2124" spans="11:11" x14ac:dyDescent="0.25">
      <c r="K2124" s="400"/>
    </row>
    <row r="2125" spans="11:11" x14ac:dyDescent="0.25">
      <c r="K2125" s="400"/>
    </row>
    <row r="2126" spans="11:11" x14ac:dyDescent="0.25">
      <c r="K2126" s="400"/>
    </row>
    <row r="2127" spans="11:11" x14ac:dyDescent="0.25">
      <c r="K2127" s="400"/>
    </row>
    <row r="2128" spans="11:11" x14ac:dyDescent="0.25">
      <c r="K2128" s="400"/>
    </row>
    <row r="2129" spans="11:11" x14ac:dyDescent="0.25">
      <c r="K2129" s="400"/>
    </row>
    <row r="2130" spans="11:11" x14ac:dyDescent="0.25">
      <c r="K2130" s="400"/>
    </row>
    <row r="2131" spans="11:11" x14ac:dyDescent="0.25">
      <c r="K2131" s="400"/>
    </row>
    <row r="2132" spans="11:11" x14ac:dyDescent="0.25">
      <c r="K2132" s="400"/>
    </row>
    <row r="2133" spans="11:11" x14ac:dyDescent="0.25">
      <c r="K2133" s="400"/>
    </row>
    <row r="2134" spans="11:11" x14ac:dyDescent="0.25">
      <c r="K2134" s="400"/>
    </row>
    <row r="2135" spans="11:11" x14ac:dyDescent="0.25">
      <c r="K2135" s="400"/>
    </row>
    <row r="2136" spans="11:11" x14ac:dyDescent="0.25">
      <c r="K2136" s="400"/>
    </row>
    <row r="2137" spans="11:11" x14ac:dyDescent="0.25">
      <c r="K2137" s="400"/>
    </row>
    <row r="2138" spans="11:11" x14ac:dyDescent="0.25">
      <c r="K2138" s="400"/>
    </row>
    <row r="2139" spans="11:11" x14ac:dyDescent="0.25">
      <c r="K2139" s="400"/>
    </row>
    <row r="2140" spans="11:11" x14ac:dyDescent="0.25">
      <c r="K2140" s="400"/>
    </row>
    <row r="2141" spans="11:11" x14ac:dyDescent="0.25">
      <c r="K2141" s="400"/>
    </row>
    <row r="2142" spans="11:11" x14ac:dyDescent="0.25">
      <c r="K2142" s="400"/>
    </row>
    <row r="2143" spans="11:11" x14ac:dyDescent="0.25">
      <c r="K2143" s="400"/>
    </row>
    <row r="2144" spans="11:11" x14ac:dyDescent="0.25">
      <c r="K2144" s="400"/>
    </row>
    <row r="2145" spans="11:11" x14ac:dyDescent="0.25">
      <c r="K2145" s="400"/>
    </row>
    <row r="2146" spans="11:11" x14ac:dyDescent="0.25">
      <c r="K2146" s="400"/>
    </row>
    <row r="2147" spans="11:11" x14ac:dyDescent="0.25">
      <c r="K2147" s="400"/>
    </row>
    <row r="2148" spans="11:11" x14ac:dyDescent="0.25">
      <c r="K2148" s="400"/>
    </row>
    <row r="2149" spans="11:11" x14ac:dyDescent="0.25">
      <c r="K2149" s="400"/>
    </row>
    <row r="2150" spans="11:11" x14ac:dyDescent="0.25">
      <c r="K2150" s="400"/>
    </row>
    <row r="2151" spans="11:11" x14ac:dyDescent="0.25">
      <c r="K2151" s="400"/>
    </row>
    <row r="2152" spans="11:11" x14ac:dyDescent="0.25">
      <c r="K2152" s="400"/>
    </row>
    <row r="2153" spans="11:11" x14ac:dyDescent="0.25">
      <c r="K2153" s="400"/>
    </row>
    <row r="2154" spans="11:11" x14ac:dyDescent="0.25">
      <c r="K2154" s="400"/>
    </row>
    <row r="2155" spans="11:11" x14ac:dyDescent="0.25">
      <c r="K2155" s="400"/>
    </row>
    <row r="2156" spans="11:11" x14ac:dyDescent="0.25">
      <c r="K2156" s="400"/>
    </row>
    <row r="2157" spans="11:11" x14ac:dyDescent="0.25">
      <c r="K2157" s="400"/>
    </row>
    <row r="2158" spans="11:11" x14ac:dyDescent="0.25">
      <c r="K2158" s="400"/>
    </row>
    <row r="2159" spans="11:11" x14ac:dyDescent="0.25">
      <c r="K2159" s="400"/>
    </row>
    <row r="2160" spans="11:11" x14ac:dyDescent="0.25">
      <c r="K2160" s="400"/>
    </row>
    <row r="2161" spans="11:11" x14ac:dyDescent="0.25">
      <c r="K2161" s="400"/>
    </row>
    <row r="2162" spans="11:11" x14ac:dyDescent="0.25">
      <c r="K2162" s="400"/>
    </row>
    <row r="2163" spans="11:11" x14ac:dyDescent="0.25">
      <c r="K2163" s="400"/>
    </row>
    <row r="2164" spans="11:11" x14ac:dyDescent="0.25">
      <c r="K2164" s="400"/>
    </row>
    <row r="2165" spans="11:11" x14ac:dyDescent="0.25">
      <c r="K2165" s="400"/>
    </row>
    <row r="2166" spans="11:11" x14ac:dyDescent="0.25">
      <c r="K2166" s="400"/>
    </row>
    <row r="2167" spans="11:11" x14ac:dyDescent="0.25">
      <c r="K2167" s="400"/>
    </row>
    <row r="2168" spans="11:11" x14ac:dyDescent="0.25">
      <c r="K2168" s="400"/>
    </row>
    <row r="2169" spans="11:11" x14ac:dyDescent="0.25">
      <c r="K2169" s="400"/>
    </row>
    <row r="2170" spans="11:11" x14ac:dyDescent="0.25">
      <c r="K2170" s="400"/>
    </row>
    <row r="2171" spans="11:11" x14ac:dyDescent="0.25">
      <c r="K2171" s="400"/>
    </row>
    <row r="2172" spans="11:11" x14ac:dyDescent="0.25">
      <c r="K2172" s="400"/>
    </row>
    <row r="2173" spans="11:11" x14ac:dyDescent="0.25">
      <c r="K2173" s="400"/>
    </row>
    <row r="2174" spans="11:11" x14ac:dyDescent="0.25">
      <c r="K2174" s="400"/>
    </row>
    <row r="2175" spans="11:11" x14ac:dyDescent="0.25">
      <c r="K2175" s="400"/>
    </row>
    <row r="2176" spans="11:11" x14ac:dyDescent="0.25">
      <c r="K2176" s="400"/>
    </row>
    <row r="2177" spans="11:11" x14ac:dyDescent="0.25">
      <c r="K2177" s="400"/>
    </row>
    <row r="2178" spans="11:11" x14ac:dyDescent="0.25">
      <c r="K2178" s="400"/>
    </row>
    <row r="2179" spans="11:11" x14ac:dyDescent="0.25">
      <c r="K2179" s="400"/>
    </row>
    <row r="2180" spans="11:11" x14ac:dyDescent="0.25">
      <c r="K2180" s="400"/>
    </row>
    <row r="2181" spans="11:11" x14ac:dyDescent="0.25">
      <c r="K2181" s="400"/>
    </row>
    <row r="2182" spans="11:11" x14ac:dyDescent="0.25">
      <c r="K2182" s="400"/>
    </row>
    <row r="2183" spans="11:11" x14ac:dyDescent="0.25">
      <c r="K2183" s="400"/>
    </row>
    <row r="2184" spans="11:11" x14ac:dyDescent="0.25">
      <c r="K2184" s="400"/>
    </row>
    <row r="2185" spans="11:11" x14ac:dyDescent="0.25">
      <c r="K2185" s="400"/>
    </row>
    <row r="2186" spans="11:11" x14ac:dyDescent="0.25">
      <c r="K2186" s="400"/>
    </row>
    <row r="2187" spans="11:11" x14ac:dyDescent="0.25">
      <c r="K2187" s="400"/>
    </row>
    <row r="2188" spans="11:11" x14ac:dyDescent="0.25">
      <c r="K2188" s="400"/>
    </row>
    <row r="2189" spans="11:11" x14ac:dyDescent="0.25">
      <c r="K2189" s="400"/>
    </row>
    <row r="2190" spans="11:11" x14ac:dyDescent="0.25">
      <c r="K2190" s="400"/>
    </row>
    <row r="2191" spans="11:11" x14ac:dyDescent="0.25">
      <c r="K2191" s="400"/>
    </row>
    <row r="2192" spans="11:11" x14ac:dyDescent="0.25">
      <c r="K2192" s="400"/>
    </row>
    <row r="2193" spans="11:11" x14ac:dyDescent="0.25">
      <c r="K2193" s="400"/>
    </row>
    <row r="2194" spans="11:11" x14ac:dyDescent="0.25">
      <c r="K2194" s="400"/>
    </row>
    <row r="2195" spans="11:11" x14ac:dyDescent="0.25">
      <c r="K2195" s="400"/>
    </row>
    <row r="2196" spans="11:11" x14ac:dyDescent="0.25">
      <c r="K2196" s="400"/>
    </row>
    <row r="2197" spans="11:11" x14ac:dyDescent="0.25">
      <c r="K2197" s="400"/>
    </row>
    <row r="2198" spans="11:11" x14ac:dyDescent="0.25">
      <c r="K2198" s="400"/>
    </row>
    <row r="2199" spans="11:11" x14ac:dyDescent="0.25">
      <c r="K2199" s="400"/>
    </row>
    <row r="2200" spans="11:11" x14ac:dyDescent="0.25">
      <c r="K2200" s="400"/>
    </row>
    <row r="2201" spans="11:11" x14ac:dyDescent="0.25">
      <c r="K2201" s="400"/>
    </row>
    <row r="2202" spans="11:11" x14ac:dyDescent="0.25">
      <c r="K2202" s="400"/>
    </row>
    <row r="2203" spans="11:11" x14ac:dyDescent="0.25">
      <c r="K2203" s="400"/>
    </row>
    <row r="2204" spans="11:11" x14ac:dyDescent="0.25">
      <c r="K2204" s="400"/>
    </row>
    <row r="2205" spans="11:11" x14ac:dyDescent="0.25">
      <c r="K2205" s="400"/>
    </row>
    <row r="2206" spans="11:11" x14ac:dyDescent="0.25">
      <c r="K2206" s="400"/>
    </row>
    <row r="2207" spans="11:11" x14ac:dyDescent="0.25">
      <c r="K2207" s="400"/>
    </row>
    <row r="2208" spans="11:11" x14ac:dyDescent="0.25">
      <c r="K2208" s="400"/>
    </row>
    <row r="2209" spans="11:11" x14ac:dyDescent="0.25">
      <c r="K2209" s="400"/>
    </row>
    <row r="2210" spans="11:11" x14ac:dyDescent="0.25">
      <c r="K2210" s="400"/>
    </row>
    <row r="2211" spans="11:11" x14ac:dyDescent="0.25">
      <c r="K2211" s="400"/>
    </row>
    <row r="2212" spans="11:11" x14ac:dyDescent="0.25">
      <c r="K2212" s="400"/>
    </row>
    <row r="2213" spans="11:11" x14ac:dyDescent="0.25">
      <c r="K2213" s="400"/>
    </row>
    <row r="2214" spans="11:11" x14ac:dyDescent="0.25">
      <c r="K2214" s="400"/>
    </row>
    <row r="2215" spans="11:11" x14ac:dyDescent="0.25">
      <c r="K2215" s="400"/>
    </row>
    <row r="2216" spans="11:11" x14ac:dyDescent="0.25">
      <c r="K2216" s="400"/>
    </row>
    <row r="2217" spans="11:11" x14ac:dyDescent="0.25">
      <c r="K2217" s="400"/>
    </row>
    <row r="2218" spans="11:11" x14ac:dyDescent="0.25">
      <c r="K2218" s="400"/>
    </row>
    <row r="2219" spans="11:11" x14ac:dyDescent="0.25">
      <c r="K2219" s="400"/>
    </row>
    <row r="2220" spans="11:11" x14ac:dyDescent="0.25">
      <c r="K2220" s="400"/>
    </row>
    <row r="2221" spans="11:11" x14ac:dyDescent="0.25">
      <c r="K2221" s="400"/>
    </row>
    <row r="2222" spans="11:11" x14ac:dyDescent="0.25">
      <c r="K2222" s="400"/>
    </row>
    <row r="2223" spans="11:11" x14ac:dyDescent="0.25">
      <c r="K2223" s="400"/>
    </row>
    <row r="2224" spans="11:11" x14ac:dyDescent="0.25">
      <c r="K2224" s="400"/>
    </row>
    <row r="2225" spans="11:11" x14ac:dyDescent="0.25">
      <c r="K2225" s="400"/>
    </row>
    <row r="2226" spans="11:11" x14ac:dyDescent="0.25">
      <c r="K2226" s="400"/>
    </row>
    <row r="2227" spans="11:11" x14ac:dyDescent="0.25">
      <c r="K2227" s="400"/>
    </row>
    <row r="2228" spans="11:11" x14ac:dyDescent="0.25">
      <c r="K2228" s="400"/>
    </row>
    <row r="2229" spans="11:11" x14ac:dyDescent="0.25">
      <c r="K2229" s="400"/>
    </row>
    <row r="2230" spans="11:11" x14ac:dyDescent="0.25">
      <c r="K2230" s="400"/>
    </row>
    <row r="2231" spans="11:11" x14ac:dyDescent="0.25">
      <c r="K2231" s="400"/>
    </row>
    <row r="2232" spans="11:11" x14ac:dyDescent="0.25">
      <c r="K2232" s="400"/>
    </row>
    <row r="2233" spans="11:11" x14ac:dyDescent="0.25">
      <c r="K2233" s="400"/>
    </row>
    <row r="2234" spans="11:11" x14ac:dyDescent="0.25">
      <c r="K2234" s="400"/>
    </row>
    <row r="2235" spans="11:11" x14ac:dyDescent="0.25">
      <c r="K2235" s="400"/>
    </row>
    <row r="2236" spans="11:11" x14ac:dyDescent="0.25">
      <c r="K2236" s="400"/>
    </row>
    <row r="2237" spans="11:11" x14ac:dyDescent="0.25">
      <c r="K2237" s="400"/>
    </row>
    <row r="2238" spans="11:11" x14ac:dyDescent="0.25">
      <c r="K2238" s="400"/>
    </row>
    <row r="2239" spans="11:11" x14ac:dyDescent="0.25">
      <c r="K2239" s="400"/>
    </row>
    <row r="2240" spans="11:11" x14ac:dyDescent="0.25">
      <c r="K2240" s="400"/>
    </row>
    <row r="2241" spans="11:11" x14ac:dyDescent="0.25">
      <c r="K2241" s="400"/>
    </row>
    <row r="2242" spans="11:11" x14ac:dyDescent="0.25">
      <c r="K2242" s="400"/>
    </row>
    <row r="2243" spans="11:11" x14ac:dyDescent="0.25">
      <c r="K2243" s="400"/>
    </row>
    <row r="2244" spans="11:11" x14ac:dyDescent="0.25">
      <c r="K2244" s="400"/>
    </row>
    <row r="2245" spans="11:11" x14ac:dyDescent="0.25">
      <c r="K2245" s="400"/>
    </row>
    <row r="2246" spans="11:11" x14ac:dyDescent="0.25">
      <c r="K2246" s="400"/>
    </row>
    <row r="2247" spans="11:11" x14ac:dyDescent="0.25">
      <c r="K2247" s="400"/>
    </row>
    <row r="2248" spans="11:11" x14ac:dyDescent="0.25">
      <c r="K2248" s="400"/>
    </row>
    <row r="2249" spans="11:11" x14ac:dyDescent="0.25">
      <c r="K2249" s="400"/>
    </row>
    <row r="2250" spans="11:11" x14ac:dyDescent="0.25">
      <c r="K2250" s="400"/>
    </row>
    <row r="2251" spans="11:11" x14ac:dyDescent="0.25">
      <c r="K2251" s="400"/>
    </row>
    <row r="2252" spans="11:11" x14ac:dyDescent="0.25">
      <c r="K2252" s="400"/>
    </row>
    <row r="2253" spans="11:11" x14ac:dyDescent="0.25">
      <c r="K2253" s="400"/>
    </row>
    <row r="2254" spans="11:11" x14ac:dyDescent="0.25">
      <c r="K2254" s="400"/>
    </row>
    <row r="2255" spans="11:11" x14ac:dyDescent="0.25">
      <c r="K2255" s="400"/>
    </row>
    <row r="2256" spans="11:11" x14ac:dyDescent="0.25">
      <c r="K2256" s="400"/>
    </row>
    <row r="2257" spans="11:11" x14ac:dyDescent="0.25">
      <c r="K2257" s="400"/>
    </row>
    <row r="2258" spans="11:11" x14ac:dyDescent="0.25">
      <c r="K2258" s="400"/>
    </row>
    <row r="2259" spans="11:11" x14ac:dyDescent="0.25">
      <c r="K2259" s="400"/>
    </row>
    <row r="2260" spans="11:11" x14ac:dyDescent="0.25">
      <c r="K2260" s="400"/>
    </row>
    <row r="2261" spans="11:11" x14ac:dyDescent="0.25">
      <c r="K2261" s="400"/>
    </row>
    <row r="2262" spans="11:11" x14ac:dyDescent="0.25">
      <c r="K2262" s="400"/>
    </row>
    <row r="2263" spans="11:11" x14ac:dyDescent="0.25">
      <c r="K2263" s="400"/>
    </row>
    <row r="2264" spans="11:11" x14ac:dyDescent="0.25">
      <c r="K2264" s="400"/>
    </row>
    <row r="2265" spans="11:11" x14ac:dyDescent="0.25">
      <c r="K2265" s="400"/>
    </row>
    <row r="2266" spans="11:11" x14ac:dyDescent="0.25">
      <c r="K2266" s="400"/>
    </row>
    <row r="2267" spans="11:11" x14ac:dyDescent="0.25">
      <c r="K2267" s="400"/>
    </row>
    <row r="2268" spans="11:11" x14ac:dyDescent="0.25">
      <c r="K2268" s="400"/>
    </row>
    <row r="2269" spans="11:11" x14ac:dyDescent="0.25">
      <c r="K2269" s="400"/>
    </row>
    <row r="2270" spans="11:11" x14ac:dyDescent="0.25">
      <c r="K2270" s="400"/>
    </row>
    <row r="2271" spans="11:11" x14ac:dyDescent="0.25">
      <c r="K2271" s="400"/>
    </row>
    <row r="2272" spans="11:11" x14ac:dyDescent="0.25">
      <c r="K2272" s="400"/>
    </row>
    <row r="2273" spans="11:11" x14ac:dyDescent="0.25">
      <c r="K2273" s="400"/>
    </row>
    <row r="2274" spans="11:11" x14ac:dyDescent="0.25">
      <c r="K2274" s="400"/>
    </row>
    <row r="2275" spans="11:11" x14ac:dyDescent="0.25">
      <c r="K2275" s="400"/>
    </row>
    <row r="2276" spans="11:11" x14ac:dyDescent="0.25">
      <c r="K2276" s="400"/>
    </row>
    <row r="2277" spans="11:11" x14ac:dyDescent="0.25">
      <c r="K2277" s="400"/>
    </row>
    <row r="2278" spans="11:11" x14ac:dyDescent="0.25">
      <c r="K2278" s="400"/>
    </row>
    <row r="2279" spans="11:11" x14ac:dyDescent="0.25">
      <c r="K2279" s="400"/>
    </row>
    <row r="2280" spans="11:11" x14ac:dyDescent="0.25">
      <c r="K2280" s="400"/>
    </row>
    <row r="2281" spans="11:11" x14ac:dyDescent="0.25">
      <c r="K2281" s="400"/>
    </row>
    <row r="2282" spans="11:11" x14ac:dyDescent="0.25">
      <c r="K2282" s="400"/>
    </row>
    <row r="2283" spans="11:11" x14ac:dyDescent="0.25">
      <c r="K2283" s="400"/>
    </row>
    <row r="2284" spans="11:11" x14ac:dyDescent="0.25">
      <c r="K2284" s="400"/>
    </row>
    <row r="2285" spans="11:11" x14ac:dyDescent="0.25">
      <c r="K2285" s="400"/>
    </row>
    <row r="2286" spans="11:11" x14ac:dyDescent="0.25">
      <c r="K2286" s="400"/>
    </row>
    <row r="2287" spans="11:11" x14ac:dyDescent="0.25">
      <c r="K2287" s="400"/>
    </row>
    <row r="2288" spans="11:11" x14ac:dyDescent="0.25">
      <c r="K2288" s="400"/>
    </row>
    <row r="2289" spans="11:11" x14ac:dyDescent="0.25">
      <c r="K2289" s="400"/>
    </row>
    <row r="2290" spans="11:11" x14ac:dyDescent="0.25">
      <c r="K2290" s="400"/>
    </row>
    <row r="2291" spans="11:11" x14ac:dyDescent="0.25">
      <c r="K2291" s="400"/>
    </row>
    <row r="2292" spans="11:11" x14ac:dyDescent="0.25">
      <c r="K2292" s="400"/>
    </row>
    <row r="2293" spans="11:11" x14ac:dyDescent="0.25">
      <c r="K2293" s="400"/>
    </row>
    <row r="2294" spans="11:11" x14ac:dyDescent="0.25">
      <c r="K2294" s="400"/>
    </row>
    <row r="2295" spans="11:11" x14ac:dyDescent="0.25">
      <c r="K2295" s="400"/>
    </row>
    <row r="2296" spans="11:11" x14ac:dyDescent="0.25">
      <c r="K2296" s="400"/>
    </row>
    <row r="2297" spans="11:11" x14ac:dyDescent="0.25">
      <c r="K2297" s="400"/>
    </row>
    <row r="2298" spans="11:11" x14ac:dyDescent="0.25">
      <c r="K2298" s="400"/>
    </row>
    <row r="2299" spans="11:11" x14ac:dyDescent="0.25">
      <c r="K2299" s="400"/>
    </row>
    <row r="2300" spans="11:11" x14ac:dyDescent="0.25">
      <c r="K2300" s="400"/>
    </row>
    <row r="2301" spans="11:11" x14ac:dyDescent="0.25">
      <c r="K2301" s="400"/>
    </row>
    <row r="2302" spans="11:11" x14ac:dyDescent="0.25">
      <c r="K2302" s="400"/>
    </row>
    <row r="2303" spans="11:11" x14ac:dyDescent="0.25">
      <c r="K2303" s="400"/>
    </row>
    <row r="2304" spans="11:11" x14ac:dyDescent="0.25">
      <c r="K2304" s="400"/>
    </row>
    <row r="2305" spans="11:11" x14ac:dyDescent="0.25">
      <c r="K2305" s="400"/>
    </row>
    <row r="2306" spans="11:11" x14ac:dyDescent="0.25">
      <c r="K2306" s="400"/>
    </row>
    <row r="2307" spans="11:11" x14ac:dyDescent="0.25">
      <c r="K2307" s="400"/>
    </row>
    <row r="2308" spans="11:11" x14ac:dyDescent="0.25">
      <c r="K2308" s="400"/>
    </row>
    <row r="2309" spans="11:11" x14ac:dyDescent="0.25">
      <c r="K2309" s="400"/>
    </row>
    <row r="2310" spans="11:11" x14ac:dyDescent="0.25">
      <c r="K2310" s="400"/>
    </row>
    <row r="2311" spans="11:11" x14ac:dyDescent="0.25">
      <c r="K2311" s="400"/>
    </row>
    <row r="2312" spans="11:11" x14ac:dyDescent="0.25">
      <c r="K2312" s="400"/>
    </row>
    <row r="2313" spans="11:11" x14ac:dyDescent="0.25">
      <c r="K2313" s="400"/>
    </row>
    <row r="2314" spans="11:11" x14ac:dyDescent="0.25">
      <c r="K2314" s="400"/>
    </row>
    <row r="2315" spans="11:11" x14ac:dyDescent="0.25">
      <c r="K2315" s="400"/>
    </row>
    <row r="2316" spans="11:11" x14ac:dyDescent="0.25">
      <c r="K2316" s="400"/>
    </row>
    <row r="2317" spans="11:11" x14ac:dyDescent="0.25">
      <c r="K2317" s="400"/>
    </row>
    <row r="2318" spans="11:11" x14ac:dyDescent="0.25">
      <c r="K2318" s="400"/>
    </row>
    <row r="2319" spans="11:11" x14ac:dyDescent="0.25">
      <c r="K2319" s="400"/>
    </row>
    <row r="2320" spans="11:11" x14ac:dyDescent="0.25">
      <c r="K2320" s="400"/>
    </row>
    <row r="2321" spans="11:11" x14ac:dyDescent="0.25">
      <c r="K2321" s="400"/>
    </row>
    <row r="2322" spans="11:11" x14ac:dyDescent="0.25">
      <c r="K2322" s="400"/>
    </row>
    <row r="2323" spans="11:11" x14ac:dyDescent="0.25">
      <c r="K2323" s="400"/>
    </row>
    <row r="2324" spans="11:11" x14ac:dyDescent="0.25">
      <c r="K2324" s="400"/>
    </row>
    <row r="2325" spans="11:11" x14ac:dyDescent="0.25">
      <c r="K2325" s="400"/>
    </row>
    <row r="2326" spans="11:11" x14ac:dyDescent="0.25">
      <c r="K2326" s="400"/>
    </row>
    <row r="2327" spans="11:11" x14ac:dyDescent="0.25">
      <c r="K2327" s="400"/>
    </row>
    <row r="2328" spans="11:11" x14ac:dyDescent="0.25">
      <c r="K2328" s="400"/>
    </row>
    <row r="2329" spans="11:11" x14ac:dyDescent="0.25">
      <c r="K2329" s="400"/>
    </row>
    <row r="2330" spans="11:11" x14ac:dyDescent="0.25">
      <c r="K2330" s="400"/>
    </row>
    <row r="2331" spans="11:11" x14ac:dyDescent="0.25">
      <c r="K2331" s="400"/>
    </row>
    <row r="2332" spans="11:11" x14ac:dyDescent="0.25">
      <c r="K2332" s="400"/>
    </row>
    <row r="2333" spans="11:11" x14ac:dyDescent="0.25">
      <c r="K2333" s="400"/>
    </row>
    <row r="2334" spans="11:11" x14ac:dyDescent="0.25">
      <c r="K2334" s="400"/>
    </row>
    <row r="2335" spans="11:11" x14ac:dyDescent="0.25">
      <c r="K2335" s="400"/>
    </row>
    <row r="2336" spans="11:11" x14ac:dyDescent="0.25">
      <c r="K2336" s="400"/>
    </row>
    <row r="2337" spans="11:11" x14ac:dyDescent="0.25">
      <c r="K2337" s="400"/>
    </row>
    <row r="2338" spans="11:11" x14ac:dyDescent="0.25">
      <c r="K2338" s="400"/>
    </row>
    <row r="2339" spans="11:11" x14ac:dyDescent="0.25">
      <c r="K2339" s="400"/>
    </row>
    <row r="2340" spans="11:11" x14ac:dyDescent="0.25">
      <c r="K2340" s="400"/>
    </row>
    <row r="2341" spans="11:11" x14ac:dyDescent="0.25">
      <c r="K2341" s="400"/>
    </row>
    <row r="2342" spans="11:11" x14ac:dyDescent="0.25">
      <c r="K2342" s="400"/>
    </row>
    <row r="2343" spans="11:11" x14ac:dyDescent="0.25">
      <c r="K2343" s="400"/>
    </row>
    <row r="2344" spans="11:11" x14ac:dyDescent="0.25">
      <c r="K2344" s="400"/>
    </row>
    <row r="2345" spans="11:11" x14ac:dyDescent="0.25">
      <c r="K2345" s="400"/>
    </row>
    <row r="2346" spans="11:11" x14ac:dyDescent="0.25">
      <c r="K2346" s="400"/>
    </row>
    <row r="2347" spans="11:11" x14ac:dyDescent="0.25">
      <c r="K2347" s="400"/>
    </row>
    <row r="2348" spans="11:11" x14ac:dyDescent="0.25">
      <c r="K2348" s="400"/>
    </row>
    <row r="2349" spans="11:11" x14ac:dyDescent="0.25">
      <c r="K2349" s="400"/>
    </row>
    <row r="2350" spans="11:11" x14ac:dyDescent="0.25">
      <c r="K2350" s="400"/>
    </row>
    <row r="2351" spans="11:11" x14ac:dyDescent="0.25">
      <c r="K2351" s="400"/>
    </row>
    <row r="2352" spans="11:11" x14ac:dyDescent="0.25">
      <c r="K2352" s="400"/>
    </row>
    <row r="2353" spans="11:11" x14ac:dyDescent="0.25">
      <c r="K2353" s="400"/>
    </row>
    <row r="2354" spans="11:11" x14ac:dyDescent="0.25">
      <c r="K2354" s="400"/>
    </row>
    <row r="2355" spans="11:11" x14ac:dyDescent="0.25">
      <c r="K2355" s="400"/>
    </row>
    <row r="2356" spans="11:11" x14ac:dyDescent="0.25">
      <c r="K2356" s="400"/>
    </row>
    <row r="2357" spans="11:11" x14ac:dyDescent="0.25">
      <c r="K2357" s="400"/>
    </row>
    <row r="2358" spans="11:11" x14ac:dyDescent="0.25">
      <c r="K2358" s="400"/>
    </row>
    <row r="2359" spans="11:11" x14ac:dyDescent="0.25">
      <c r="K2359" s="400"/>
    </row>
    <row r="2360" spans="11:11" x14ac:dyDescent="0.25">
      <c r="K2360" s="400"/>
    </row>
    <row r="2361" spans="11:11" x14ac:dyDescent="0.25">
      <c r="K2361" s="400"/>
    </row>
    <row r="2362" spans="11:11" x14ac:dyDescent="0.25">
      <c r="K2362" s="400"/>
    </row>
    <row r="2363" spans="11:11" x14ac:dyDescent="0.25">
      <c r="K2363" s="400"/>
    </row>
    <row r="2364" spans="11:11" x14ac:dyDescent="0.25">
      <c r="K2364" s="400"/>
    </row>
    <row r="2365" spans="11:11" x14ac:dyDescent="0.25">
      <c r="K2365" s="400"/>
    </row>
    <row r="2366" spans="11:11" x14ac:dyDescent="0.25">
      <c r="K2366" s="400"/>
    </row>
    <row r="2367" spans="11:11" x14ac:dyDescent="0.25">
      <c r="K2367" s="400"/>
    </row>
    <row r="2368" spans="11:11" x14ac:dyDescent="0.25">
      <c r="K2368" s="400"/>
    </row>
    <row r="2369" spans="11:11" x14ac:dyDescent="0.25">
      <c r="K2369" s="400"/>
    </row>
    <row r="2370" spans="11:11" x14ac:dyDescent="0.25">
      <c r="K2370" s="400"/>
    </row>
    <row r="2371" spans="11:11" x14ac:dyDescent="0.25">
      <c r="K2371" s="400"/>
    </row>
    <row r="2372" spans="11:11" x14ac:dyDescent="0.25">
      <c r="K2372" s="400"/>
    </row>
    <row r="2373" spans="11:11" x14ac:dyDescent="0.25">
      <c r="K2373" s="400"/>
    </row>
    <row r="2374" spans="11:11" x14ac:dyDescent="0.25">
      <c r="K2374" s="400"/>
    </row>
    <row r="2375" spans="11:11" x14ac:dyDescent="0.25">
      <c r="K2375" s="400"/>
    </row>
    <row r="2376" spans="11:11" x14ac:dyDescent="0.25">
      <c r="K2376" s="400"/>
    </row>
    <row r="2377" spans="11:11" x14ac:dyDescent="0.25">
      <c r="K2377" s="400"/>
    </row>
    <row r="2378" spans="11:11" x14ac:dyDescent="0.25">
      <c r="K2378" s="400"/>
    </row>
    <row r="2379" spans="11:11" x14ac:dyDescent="0.25">
      <c r="K2379" s="400"/>
    </row>
    <row r="2380" spans="11:11" x14ac:dyDescent="0.25">
      <c r="K2380" s="400"/>
    </row>
    <row r="2381" spans="11:11" x14ac:dyDescent="0.25">
      <c r="K2381" s="400"/>
    </row>
    <row r="2382" spans="11:11" x14ac:dyDescent="0.25">
      <c r="K2382" s="400"/>
    </row>
    <row r="2383" spans="11:11" x14ac:dyDescent="0.25">
      <c r="K2383" s="400"/>
    </row>
    <row r="2384" spans="11:11" x14ac:dyDescent="0.25">
      <c r="K2384" s="400"/>
    </row>
    <row r="2385" spans="11:11" x14ac:dyDescent="0.25">
      <c r="K2385" s="400"/>
    </row>
    <row r="2386" spans="11:11" x14ac:dyDescent="0.25">
      <c r="K2386" s="400"/>
    </row>
    <row r="2387" spans="11:11" x14ac:dyDescent="0.25">
      <c r="K2387" s="400"/>
    </row>
    <row r="2388" spans="11:11" x14ac:dyDescent="0.25">
      <c r="K2388" s="400"/>
    </row>
    <row r="2389" spans="11:11" x14ac:dyDescent="0.25">
      <c r="K2389" s="400"/>
    </row>
    <row r="2390" spans="11:11" x14ac:dyDescent="0.25">
      <c r="K2390" s="400"/>
    </row>
    <row r="2391" spans="11:11" x14ac:dyDescent="0.25">
      <c r="K2391" s="400"/>
    </row>
    <row r="2392" spans="11:11" x14ac:dyDescent="0.25">
      <c r="K2392" s="400"/>
    </row>
    <row r="2393" spans="11:11" x14ac:dyDescent="0.25">
      <c r="K2393" s="400"/>
    </row>
    <row r="2394" spans="11:11" x14ac:dyDescent="0.25">
      <c r="K2394" s="400"/>
    </row>
    <row r="2395" spans="11:11" x14ac:dyDescent="0.25">
      <c r="K2395" s="400"/>
    </row>
    <row r="2396" spans="11:11" x14ac:dyDescent="0.25">
      <c r="K2396" s="400"/>
    </row>
    <row r="2397" spans="11:11" x14ac:dyDescent="0.25">
      <c r="K2397" s="400"/>
    </row>
    <row r="2398" spans="11:11" x14ac:dyDescent="0.25">
      <c r="K2398" s="400"/>
    </row>
    <row r="2399" spans="11:11" x14ac:dyDescent="0.25">
      <c r="K2399" s="400"/>
    </row>
    <row r="2400" spans="11:11" x14ac:dyDescent="0.25">
      <c r="K2400" s="400"/>
    </row>
    <row r="2401" spans="11:11" x14ac:dyDescent="0.25">
      <c r="K2401" s="400"/>
    </row>
    <row r="2402" spans="11:11" x14ac:dyDescent="0.25">
      <c r="K2402" s="400"/>
    </row>
    <row r="2403" spans="11:11" x14ac:dyDescent="0.25">
      <c r="K2403" s="400"/>
    </row>
    <row r="2404" spans="11:11" x14ac:dyDescent="0.25">
      <c r="K2404" s="400"/>
    </row>
    <row r="2405" spans="11:11" x14ac:dyDescent="0.25">
      <c r="K2405" s="400"/>
    </row>
    <row r="2406" spans="11:11" x14ac:dyDescent="0.25">
      <c r="K2406" s="400"/>
    </row>
    <row r="2407" spans="11:11" x14ac:dyDescent="0.25">
      <c r="K2407" s="400"/>
    </row>
    <row r="2408" spans="11:11" x14ac:dyDescent="0.25">
      <c r="K2408" s="400"/>
    </row>
    <row r="2409" spans="11:11" x14ac:dyDescent="0.25">
      <c r="K2409" s="400"/>
    </row>
    <row r="2410" spans="11:11" x14ac:dyDescent="0.25">
      <c r="K2410" s="400"/>
    </row>
    <row r="2411" spans="11:11" x14ac:dyDescent="0.25">
      <c r="K2411" s="400"/>
    </row>
    <row r="2412" spans="11:11" x14ac:dyDescent="0.25">
      <c r="K2412" s="400"/>
    </row>
    <row r="2413" spans="11:11" x14ac:dyDescent="0.25">
      <c r="K2413" s="400"/>
    </row>
    <row r="2414" spans="11:11" x14ac:dyDescent="0.25">
      <c r="K2414" s="400"/>
    </row>
    <row r="2415" spans="11:11" x14ac:dyDescent="0.25">
      <c r="K2415" s="400"/>
    </row>
    <row r="2416" spans="11:11" x14ac:dyDescent="0.25">
      <c r="K2416" s="400"/>
    </row>
    <row r="2417" spans="11:11" x14ac:dyDescent="0.25">
      <c r="K2417" s="400"/>
    </row>
    <row r="2418" spans="11:11" x14ac:dyDescent="0.25">
      <c r="K2418" s="400"/>
    </row>
    <row r="2419" spans="11:11" x14ac:dyDescent="0.25">
      <c r="K2419" s="400"/>
    </row>
    <row r="2420" spans="11:11" x14ac:dyDescent="0.25">
      <c r="K2420" s="400"/>
    </row>
    <row r="2421" spans="11:11" x14ac:dyDescent="0.25">
      <c r="K2421" s="400"/>
    </row>
    <row r="2422" spans="11:11" x14ac:dyDescent="0.25">
      <c r="K2422" s="400"/>
    </row>
    <row r="2423" spans="11:11" x14ac:dyDescent="0.25">
      <c r="K2423" s="400"/>
    </row>
    <row r="2424" spans="11:11" x14ac:dyDescent="0.25">
      <c r="K2424" s="400"/>
    </row>
    <row r="2425" spans="11:11" x14ac:dyDescent="0.25">
      <c r="K2425" s="400"/>
    </row>
    <row r="2426" spans="11:11" x14ac:dyDescent="0.25">
      <c r="K2426" s="400"/>
    </row>
    <row r="2427" spans="11:11" x14ac:dyDescent="0.25">
      <c r="K2427" s="400"/>
    </row>
    <row r="2428" spans="11:11" x14ac:dyDescent="0.25">
      <c r="K2428" s="400"/>
    </row>
    <row r="2429" spans="11:11" x14ac:dyDescent="0.25">
      <c r="K2429" s="400"/>
    </row>
    <row r="2430" spans="11:11" x14ac:dyDescent="0.25">
      <c r="K2430" s="400"/>
    </row>
    <row r="2431" spans="11:11" x14ac:dyDescent="0.25">
      <c r="K2431" s="400"/>
    </row>
    <row r="2432" spans="11:11" x14ac:dyDescent="0.25">
      <c r="K2432" s="400"/>
    </row>
    <row r="2433" spans="11:11" x14ac:dyDescent="0.25">
      <c r="K2433" s="400"/>
    </row>
    <row r="2434" spans="11:11" x14ac:dyDescent="0.25">
      <c r="K2434" s="400"/>
    </row>
    <row r="2435" spans="11:11" x14ac:dyDescent="0.25">
      <c r="K2435" s="400"/>
    </row>
    <row r="2436" spans="11:11" x14ac:dyDescent="0.25">
      <c r="K2436" s="400"/>
    </row>
    <row r="2437" spans="11:11" x14ac:dyDescent="0.25">
      <c r="K2437" s="400"/>
    </row>
    <row r="2438" spans="11:11" x14ac:dyDescent="0.25">
      <c r="K2438" s="400"/>
    </row>
    <row r="2439" spans="11:11" x14ac:dyDescent="0.25">
      <c r="K2439" s="400"/>
    </row>
    <row r="2440" spans="11:11" x14ac:dyDescent="0.25">
      <c r="K2440" s="400"/>
    </row>
    <row r="2441" spans="11:11" x14ac:dyDescent="0.25">
      <c r="K2441" s="400"/>
    </row>
    <row r="2442" spans="11:11" x14ac:dyDescent="0.25">
      <c r="K2442" s="400"/>
    </row>
    <row r="2443" spans="11:11" x14ac:dyDescent="0.25">
      <c r="K2443" s="400"/>
    </row>
    <row r="2444" spans="11:11" x14ac:dyDescent="0.25">
      <c r="K2444" s="400"/>
    </row>
    <row r="2445" spans="11:11" x14ac:dyDescent="0.25">
      <c r="K2445" s="400"/>
    </row>
    <row r="2446" spans="11:11" x14ac:dyDescent="0.25">
      <c r="K2446" s="400"/>
    </row>
    <row r="2447" spans="11:11" x14ac:dyDescent="0.25">
      <c r="K2447" s="400"/>
    </row>
    <row r="2448" spans="11:11" x14ac:dyDescent="0.25">
      <c r="K2448" s="400"/>
    </row>
    <row r="2449" spans="11:11" x14ac:dyDescent="0.25">
      <c r="K2449" s="400"/>
    </row>
    <row r="2450" spans="11:11" x14ac:dyDescent="0.25">
      <c r="K2450" s="400"/>
    </row>
    <row r="2451" spans="11:11" x14ac:dyDescent="0.25">
      <c r="K2451" s="400"/>
    </row>
    <row r="2452" spans="11:11" x14ac:dyDescent="0.25">
      <c r="K2452" s="400"/>
    </row>
    <row r="2453" spans="11:11" x14ac:dyDescent="0.25">
      <c r="K2453" s="400"/>
    </row>
    <row r="2454" spans="11:11" x14ac:dyDescent="0.25">
      <c r="K2454" s="400"/>
    </row>
    <row r="2455" spans="11:11" x14ac:dyDescent="0.25">
      <c r="K2455" s="400"/>
    </row>
    <row r="2456" spans="11:11" x14ac:dyDescent="0.25">
      <c r="K2456" s="400"/>
    </row>
    <row r="2457" spans="11:11" x14ac:dyDescent="0.25">
      <c r="K2457" s="400"/>
    </row>
    <row r="2458" spans="11:11" x14ac:dyDescent="0.25">
      <c r="K2458" s="400"/>
    </row>
    <row r="2459" spans="11:11" x14ac:dyDescent="0.25">
      <c r="K2459" s="400"/>
    </row>
    <row r="2460" spans="11:11" x14ac:dyDescent="0.25">
      <c r="K2460" s="400"/>
    </row>
    <row r="2461" spans="11:11" x14ac:dyDescent="0.25">
      <c r="K2461" s="400"/>
    </row>
    <row r="2462" spans="11:11" x14ac:dyDescent="0.25">
      <c r="K2462" s="400"/>
    </row>
    <row r="2463" spans="11:11" x14ac:dyDescent="0.25">
      <c r="K2463" s="400"/>
    </row>
    <row r="2464" spans="11:11" x14ac:dyDescent="0.25">
      <c r="K2464" s="400"/>
    </row>
    <row r="2465" spans="11:11" x14ac:dyDescent="0.25">
      <c r="K2465" s="400"/>
    </row>
    <row r="2466" spans="11:11" x14ac:dyDescent="0.25">
      <c r="K2466" s="400"/>
    </row>
    <row r="2467" spans="11:11" x14ac:dyDescent="0.25">
      <c r="K2467" s="400"/>
    </row>
    <row r="2468" spans="11:11" x14ac:dyDescent="0.25">
      <c r="K2468" s="400"/>
    </row>
    <row r="2469" spans="11:11" x14ac:dyDescent="0.25">
      <c r="K2469" s="400"/>
    </row>
    <row r="2470" spans="11:11" x14ac:dyDescent="0.25">
      <c r="K2470" s="400"/>
    </row>
    <row r="2471" spans="11:11" x14ac:dyDescent="0.25">
      <c r="K2471" s="400"/>
    </row>
    <row r="2472" spans="11:11" x14ac:dyDescent="0.25">
      <c r="K2472" s="400"/>
    </row>
    <row r="2473" spans="11:11" x14ac:dyDescent="0.25">
      <c r="K2473" s="400"/>
    </row>
    <row r="2474" spans="11:11" x14ac:dyDescent="0.25">
      <c r="K2474" s="400"/>
    </row>
    <row r="2475" spans="11:11" x14ac:dyDescent="0.25">
      <c r="K2475" s="400"/>
    </row>
    <row r="2476" spans="11:11" x14ac:dyDescent="0.25">
      <c r="K2476" s="400"/>
    </row>
    <row r="2477" spans="11:11" x14ac:dyDescent="0.25">
      <c r="K2477" s="400"/>
    </row>
    <row r="2478" spans="11:11" x14ac:dyDescent="0.25">
      <c r="K2478" s="400"/>
    </row>
    <row r="2479" spans="11:11" x14ac:dyDescent="0.25">
      <c r="K2479" s="400"/>
    </row>
    <row r="2480" spans="11:11" x14ac:dyDescent="0.25">
      <c r="K2480" s="400"/>
    </row>
    <row r="2481" spans="11:11" x14ac:dyDescent="0.25">
      <c r="K2481" s="400"/>
    </row>
    <row r="2482" spans="11:11" x14ac:dyDescent="0.25">
      <c r="K2482" s="400"/>
    </row>
    <row r="2483" spans="11:11" x14ac:dyDescent="0.25">
      <c r="K2483" s="400"/>
    </row>
    <row r="2484" spans="11:11" x14ac:dyDescent="0.25">
      <c r="K2484" s="400"/>
    </row>
    <row r="2485" spans="11:11" x14ac:dyDescent="0.25">
      <c r="K2485" s="400"/>
    </row>
    <row r="2486" spans="11:11" x14ac:dyDescent="0.25">
      <c r="K2486" s="400"/>
    </row>
    <row r="2487" spans="11:11" x14ac:dyDescent="0.25">
      <c r="K2487" s="400"/>
    </row>
    <row r="2488" spans="11:11" x14ac:dyDescent="0.25">
      <c r="K2488" s="400"/>
    </row>
    <row r="2489" spans="11:11" x14ac:dyDescent="0.25">
      <c r="K2489" s="400"/>
    </row>
    <row r="2490" spans="11:11" x14ac:dyDescent="0.25">
      <c r="K2490" s="400"/>
    </row>
    <row r="2491" spans="11:11" x14ac:dyDescent="0.25">
      <c r="K2491" s="400"/>
    </row>
    <row r="2492" spans="11:11" x14ac:dyDescent="0.25">
      <c r="K2492" s="400"/>
    </row>
    <row r="2493" spans="11:11" x14ac:dyDescent="0.25">
      <c r="K2493" s="400"/>
    </row>
    <row r="2494" spans="11:11" x14ac:dyDescent="0.25">
      <c r="K2494" s="400"/>
    </row>
    <row r="2495" spans="11:11" x14ac:dyDescent="0.25">
      <c r="K2495" s="400"/>
    </row>
    <row r="2496" spans="11:11" x14ac:dyDescent="0.25">
      <c r="K2496" s="400"/>
    </row>
    <row r="2497" spans="11:11" x14ac:dyDescent="0.25">
      <c r="K2497" s="400"/>
    </row>
    <row r="2498" spans="11:11" x14ac:dyDescent="0.25">
      <c r="K2498" s="400"/>
    </row>
    <row r="2499" spans="11:11" x14ac:dyDescent="0.25">
      <c r="K2499" s="400"/>
    </row>
    <row r="2500" spans="11:11" x14ac:dyDescent="0.25">
      <c r="K2500" s="400"/>
    </row>
    <row r="2501" spans="11:11" x14ac:dyDescent="0.25">
      <c r="K2501" s="400"/>
    </row>
    <row r="2502" spans="11:11" x14ac:dyDescent="0.25">
      <c r="K2502" s="400"/>
    </row>
    <row r="2503" spans="11:11" x14ac:dyDescent="0.25">
      <c r="K2503" s="400"/>
    </row>
    <row r="2504" spans="11:11" x14ac:dyDescent="0.25">
      <c r="K2504" s="400"/>
    </row>
    <row r="2505" spans="11:11" x14ac:dyDescent="0.25">
      <c r="K2505" s="400"/>
    </row>
    <row r="2506" spans="11:11" x14ac:dyDescent="0.25">
      <c r="K2506" s="400"/>
    </row>
    <row r="2507" spans="11:11" x14ac:dyDescent="0.25">
      <c r="K2507" s="400"/>
    </row>
    <row r="2508" spans="11:11" x14ac:dyDescent="0.25">
      <c r="K2508" s="400"/>
    </row>
    <row r="2509" spans="11:11" x14ac:dyDescent="0.25">
      <c r="K2509" s="400"/>
    </row>
    <row r="2510" spans="11:11" x14ac:dyDescent="0.25">
      <c r="K2510" s="400"/>
    </row>
    <row r="2511" spans="11:11" x14ac:dyDescent="0.25">
      <c r="K2511" s="400"/>
    </row>
    <row r="2512" spans="11:11" x14ac:dyDescent="0.25">
      <c r="K2512" s="400"/>
    </row>
    <row r="2513" spans="11:11" x14ac:dyDescent="0.25">
      <c r="K2513" s="400"/>
    </row>
    <row r="2514" spans="11:11" x14ac:dyDescent="0.25">
      <c r="K2514" s="400"/>
    </row>
    <row r="2515" spans="11:11" x14ac:dyDescent="0.25">
      <c r="K2515" s="400"/>
    </row>
    <row r="2516" spans="11:11" x14ac:dyDescent="0.25">
      <c r="K2516" s="400"/>
    </row>
    <row r="2517" spans="11:11" x14ac:dyDescent="0.25">
      <c r="K2517" s="400"/>
    </row>
    <row r="2518" spans="11:11" x14ac:dyDescent="0.25">
      <c r="K2518" s="400"/>
    </row>
    <row r="2519" spans="11:11" x14ac:dyDescent="0.25">
      <c r="K2519" s="400"/>
    </row>
    <row r="2520" spans="11:11" x14ac:dyDescent="0.25">
      <c r="K2520" s="400"/>
    </row>
    <row r="2521" spans="11:11" x14ac:dyDescent="0.25">
      <c r="K2521" s="400"/>
    </row>
    <row r="2522" spans="11:11" x14ac:dyDescent="0.25">
      <c r="K2522" s="400"/>
    </row>
    <row r="2523" spans="11:11" x14ac:dyDescent="0.25">
      <c r="K2523" s="400"/>
    </row>
    <row r="2524" spans="11:11" x14ac:dyDescent="0.25">
      <c r="K2524" s="400"/>
    </row>
    <row r="2525" spans="11:11" x14ac:dyDescent="0.25">
      <c r="K2525" s="400"/>
    </row>
    <row r="2526" spans="11:11" x14ac:dyDescent="0.25">
      <c r="K2526" s="400"/>
    </row>
    <row r="2527" spans="11:11" x14ac:dyDescent="0.25">
      <c r="K2527" s="400"/>
    </row>
    <row r="2528" spans="11:11" x14ac:dyDescent="0.25">
      <c r="K2528" s="400"/>
    </row>
    <row r="2529" spans="11:11" x14ac:dyDescent="0.25">
      <c r="K2529" s="400"/>
    </row>
    <row r="2530" spans="11:11" x14ac:dyDescent="0.25">
      <c r="K2530" s="400"/>
    </row>
    <row r="2531" spans="11:11" x14ac:dyDescent="0.25">
      <c r="K2531" s="400"/>
    </row>
    <row r="2532" spans="11:11" x14ac:dyDescent="0.25">
      <c r="K2532" s="400"/>
    </row>
    <row r="2533" spans="11:11" x14ac:dyDescent="0.25">
      <c r="K2533" s="400"/>
    </row>
    <row r="2534" spans="11:11" x14ac:dyDescent="0.25">
      <c r="K2534" s="400"/>
    </row>
    <row r="2535" spans="11:11" x14ac:dyDescent="0.25">
      <c r="K2535" s="400"/>
    </row>
    <row r="2536" spans="11:11" x14ac:dyDescent="0.25">
      <c r="K2536" s="400"/>
    </row>
    <row r="2537" spans="11:11" x14ac:dyDescent="0.25">
      <c r="K2537" s="400"/>
    </row>
    <row r="2538" spans="11:11" x14ac:dyDescent="0.25">
      <c r="K2538" s="400"/>
    </row>
    <row r="2539" spans="11:11" x14ac:dyDescent="0.25">
      <c r="K2539" s="400"/>
    </row>
    <row r="2540" spans="11:11" x14ac:dyDescent="0.25">
      <c r="K2540" s="400"/>
    </row>
    <row r="2541" spans="11:11" x14ac:dyDescent="0.25">
      <c r="K2541" s="400"/>
    </row>
    <row r="2542" spans="11:11" x14ac:dyDescent="0.25">
      <c r="K2542" s="400"/>
    </row>
    <row r="2543" spans="11:11" x14ac:dyDescent="0.25">
      <c r="K2543" s="400"/>
    </row>
    <row r="2544" spans="11:11" x14ac:dyDescent="0.25">
      <c r="K2544" s="400"/>
    </row>
    <row r="2545" spans="11:11" x14ac:dyDescent="0.25">
      <c r="K2545" s="400"/>
    </row>
    <row r="2546" spans="11:11" x14ac:dyDescent="0.25">
      <c r="K2546" s="400"/>
    </row>
    <row r="2547" spans="11:11" x14ac:dyDescent="0.25">
      <c r="K2547" s="400"/>
    </row>
    <row r="2548" spans="11:11" x14ac:dyDescent="0.25">
      <c r="K2548" s="400"/>
    </row>
    <row r="2549" spans="11:11" x14ac:dyDescent="0.25">
      <c r="K2549" s="400"/>
    </row>
    <row r="2550" spans="11:11" x14ac:dyDescent="0.25">
      <c r="K2550" s="400"/>
    </row>
    <row r="2551" spans="11:11" x14ac:dyDescent="0.25">
      <c r="K2551" s="400"/>
    </row>
    <row r="2552" spans="11:11" x14ac:dyDescent="0.25">
      <c r="K2552" s="400"/>
    </row>
    <row r="2553" spans="11:11" x14ac:dyDescent="0.25">
      <c r="K2553" s="400"/>
    </row>
    <row r="2554" spans="11:11" x14ac:dyDescent="0.25">
      <c r="K2554" s="400"/>
    </row>
    <row r="2555" spans="11:11" x14ac:dyDescent="0.25">
      <c r="K2555" s="400"/>
    </row>
    <row r="2556" spans="11:11" x14ac:dyDescent="0.25">
      <c r="K2556" s="400"/>
    </row>
    <row r="2557" spans="11:11" x14ac:dyDescent="0.25">
      <c r="K2557" s="400"/>
    </row>
    <row r="2558" spans="11:11" x14ac:dyDescent="0.25">
      <c r="K2558" s="400"/>
    </row>
    <row r="2559" spans="11:11" x14ac:dyDescent="0.25">
      <c r="K2559" s="400"/>
    </row>
    <row r="2560" spans="11:11" x14ac:dyDescent="0.25">
      <c r="K2560" s="400"/>
    </row>
    <row r="2561" spans="11:11" x14ac:dyDescent="0.25">
      <c r="K2561" s="400"/>
    </row>
    <row r="2562" spans="11:11" x14ac:dyDescent="0.25">
      <c r="K2562" s="400"/>
    </row>
    <row r="2563" spans="11:11" x14ac:dyDescent="0.25">
      <c r="K2563" s="400"/>
    </row>
    <row r="2564" spans="11:11" x14ac:dyDescent="0.25">
      <c r="K2564" s="400"/>
    </row>
    <row r="2565" spans="11:11" x14ac:dyDescent="0.25">
      <c r="K2565" s="400"/>
    </row>
    <row r="2566" spans="11:11" x14ac:dyDescent="0.25">
      <c r="K2566" s="400"/>
    </row>
    <row r="2567" spans="11:11" x14ac:dyDescent="0.25">
      <c r="K2567" s="400"/>
    </row>
    <row r="2568" spans="11:11" x14ac:dyDescent="0.25">
      <c r="K2568" s="400"/>
    </row>
    <row r="2569" spans="11:11" x14ac:dyDescent="0.25">
      <c r="K2569" s="400"/>
    </row>
    <row r="2570" spans="11:11" x14ac:dyDescent="0.25">
      <c r="K2570" s="400"/>
    </row>
    <row r="2571" spans="11:11" x14ac:dyDescent="0.25">
      <c r="K2571" s="400"/>
    </row>
    <row r="2572" spans="11:11" x14ac:dyDescent="0.25">
      <c r="K2572" s="400"/>
    </row>
    <row r="2573" spans="11:11" x14ac:dyDescent="0.25">
      <c r="K2573" s="400"/>
    </row>
    <row r="2574" spans="11:11" x14ac:dyDescent="0.25">
      <c r="K2574" s="400"/>
    </row>
    <row r="2575" spans="11:11" x14ac:dyDescent="0.25">
      <c r="K2575" s="400"/>
    </row>
    <row r="2576" spans="11:11" x14ac:dyDescent="0.25">
      <c r="K2576" s="400"/>
    </row>
    <row r="2577" spans="11:11" x14ac:dyDescent="0.25">
      <c r="K2577" s="400"/>
    </row>
    <row r="2578" spans="11:11" x14ac:dyDescent="0.25">
      <c r="K2578" s="400"/>
    </row>
    <row r="2579" spans="11:11" x14ac:dyDescent="0.25">
      <c r="K2579" s="400"/>
    </row>
    <row r="2580" spans="11:11" x14ac:dyDescent="0.25">
      <c r="K2580" s="400"/>
    </row>
    <row r="2581" spans="11:11" x14ac:dyDescent="0.25">
      <c r="K2581" s="400"/>
    </row>
    <row r="2582" spans="11:11" x14ac:dyDescent="0.25">
      <c r="K2582" s="400"/>
    </row>
    <row r="2583" spans="11:11" x14ac:dyDescent="0.25">
      <c r="K2583" s="400"/>
    </row>
    <row r="2584" spans="11:11" x14ac:dyDescent="0.25">
      <c r="K2584" s="400"/>
    </row>
    <row r="2585" spans="11:11" x14ac:dyDescent="0.25">
      <c r="K2585" s="400"/>
    </row>
    <row r="2586" spans="11:11" x14ac:dyDescent="0.25">
      <c r="K2586" s="400"/>
    </row>
    <row r="2587" spans="11:11" x14ac:dyDescent="0.25">
      <c r="K2587" s="400"/>
    </row>
    <row r="2588" spans="11:11" x14ac:dyDescent="0.25">
      <c r="K2588" s="400"/>
    </row>
    <row r="2589" spans="11:11" x14ac:dyDescent="0.25">
      <c r="K2589" s="400"/>
    </row>
    <row r="2590" spans="11:11" x14ac:dyDescent="0.25">
      <c r="K2590" s="400"/>
    </row>
    <row r="2591" spans="11:11" x14ac:dyDescent="0.25">
      <c r="K2591" s="400"/>
    </row>
    <row r="2592" spans="11:11" x14ac:dyDescent="0.25">
      <c r="K2592" s="400"/>
    </row>
    <row r="2593" spans="11:11" x14ac:dyDescent="0.25">
      <c r="K2593" s="400"/>
    </row>
    <row r="2594" spans="11:11" x14ac:dyDescent="0.25">
      <c r="K2594" s="400"/>
    </row>
    <row r="2595" spans="11:11" x14ac:dyDescent="0.25">
      <c r="K2595" s="400"/>
    </row>
    <row r="2596" spans="11:11" x14ac:dyDescent="0.25">
      <c r="K2596" s="400"/>
    </row>
    <row r="2597" spans="11:11" x14ac:dyDescent="0.25">
      <c r="K2597" s="400"/>
    </row>
    <row r="2598" spans="11:11" x14ac:dyDescent="0.25">
      <c r="K2598" s="400"/>
    </row>
    <row r="2599" spans="11:11" x14ac:dyDescent="0.25">
      <c r="K2599" s="400"/>
    </row>
    <row r="2600" spans="11:11" x14ac:dyDescent="0.25">
      <c r="K2600" s="400"/>
    </row>
    <row r="2601" spans="11:11" x14ac:dyDescent="0.25">
      <c r="K2601" s="400"/>
    </row>
    <row r="2602" spans="11:11" x14ac:dyDescent="0.25">
      <c r="K2602" s="400"/>
    </row>
    <row r="2603" spans="11:11" x14ac:dyDescent="0.25">
      <c r="K2603" s="400"/>
    </row>
    <row r="2604" spans="11:11" x14ac:dyDescent="0.25">
      <c r="K2604" s="400"/>
    </row>
    <row r="2605" spans="11:11" x14ac:dyDescent="0.25">
      <c r="K2605" s="400"/>
    </row>
    <row r="2606" spans="11:11" x14ac:dyDescent="0.25">
      <c r="K2606" s="400"/>
    </row>
    <row r="2607" spans="11:11" x14ac:dyDescent="0.25">
      <c r="K2607" s="400"/>
    </row>
    <row r="2608" spans="11:11" x14ac:dyDescent="0.25">
      <c r="K2608" s="400"/>
    </row>
    <row r="2609" spans="11:11" x14ac:dyDescent="0.25">
      <c r="K2609" s="400"/>
    </row>
    <row r="2610" spans="11:11" x14ac:dyDescent="0.25">
      <c r="K2610" s="400"/>
    </row>
    <row r="2611" spans="11:11" x14ac:dyDescent="0.25">
      <c r="K2611" s="400"/>
    </row>
    <row r="2612" spans="11:11" x14ac:dyDescent="0.25">
      <c r="K2612" s="400"/>
    </row>
    <row r="2613" spans="11:11" x14ac:dyDescent="0.25">
      <c r="K2613" s="400"/>
    </row>
    <row r="2614" spans="11:11" x14ac:dyDescent="0.25">
      <c r="K2614" s="400"/>
    </row>
    <row r="2615" spans="11:11" x14ac:dyDescent="0.25">
      <c r="K2615" s="400"/>
    </row>
    <row r="2616" spans="11:11" x14ac:dyDescent="0.25">
      <c r="K2616" s="400"/>
    </row>
    <row r="2617" spans="11:11" x14ac:dyDescent="0.25">
      <c r="K2617" s="400"/>
    </row>
    <row r="2618" spans="11:11" x14ac:dyDescent="0.25">
      <c r="K2618" s="400"/>
    </row>
    <row r="2619" spans="11:11" x14ac:dyDescent="0.25">
      <c r="K2619" s="400"/>
    </row>
    <row r="2620" spans="11:11" x14ac:dyDescent="0.25">
      <c r="K2620" s="400"/>
    </row>
    <row r="2621" spans="11:11" x14ac:dyDescent="0.25">
      <c r="K2621" s="400"/>
    </row>
    <row r="2622" spans="11:11" x14ac:dyDescent="0.25">
      <c r="K2622" s="400"/>
    </row>
    <row r="2623" spans="11:11" x14ac:dyDescent="0.25">
      <c r="K2623" s="400"/>
    </row>
    <row r="2624" spans="11:11" x14ac:dyDescent="0.25">
      <c r="K2624" s="400"/>
    </row>
    <row r="2625" spans="11:11" x14ac:dyDescent="0.25">
      <c r="K2625" s="400"/>
    </row>
    <row r="2626" spans="11:11" x14ac:dyDescent="0.25">
      <c r="K2626" s="400"/>
    </row>
    <row r="2627" spans="11:11" x14ac:dyDescent="0.25">
      <c r="K2627" s="400"/>
    </row>
    <row r="2628" spans="11:11" x14ac:dyDescent="0.25">
      <c r="K2628" s="400"/>
    </row>
    <row r="2629" spans="11:11" x14ac:dyDescent="0.25">
      <c r="K2629" s="400"/>
    </row>
    <row r="2630" spans="11:11" x14ac:dyDescent="0.25">
      <c r="K2630" s="400"/>
    </row>
    <row r="2631" spans="11:11" x14ac:dyDescent="0.25">
      <c r="K2631" s="400"/>
    </row>
    <row r="2632" spans="11:11" x14ac:dyDescent="0.25">
      <c r="K2632" s="400"/>
    </row>
    <row r="2633" spans="11:11" x14ac:dyDescent="0.25">
      <c r="K2633" s="400"/>
    </row>
    <row r="2634" spans="11:11" x14ac:dyDescent="0.25">
      <c r="K2634" s="400"/>
    </row>
    <row r="2635" spans="11:11" x14ac:dyDescent="0.25">
      <c r="K2635" s="400"/>
    </row>
    <row r="2636" spans="11:11" x14ac:dyDescent="0.25">
      <c r="K2636" s="400"/>
    </row>
    <row r="2637" spans="11:11" x14ac:dyDescent="0.25">
      <c r="K2637" s="400"/>
    </row>
    <row r="2638" spans="11:11" x14ac:dyDescent="0.25">
      <c r="K2638" s="400"/>
    </row>
    <row r="2639" spans="11:11" x14ac:dyDescent="0.25">
      <c r="K2639" s="400"/>
    </row>
    <row r="2640" spans="11:11" x14ac:dyDescent="0.25">
      <c r="K2640" s="400"/>
    </row>
    <row r="2641" spans="11:11" x14ac:dyDescent="0.25">
      <c r="K2641" s="400"/>
    </row>
    <row r="2642" spans="11:11" x14ac:dyDescent="0.25">
      <c r="K2642" s="400"/>
    </row>
    <row r="2643" spans="11:11" x14ac:dyDescent="0.25">
      <c r="K2643" s="400"/>
    </row>
    <row r="2644" spans="11:11" x14ac:dyDescent="0.25">
      <c r="K2644" s="400"/>
    </row>
    <row r="2645" spans="11:11" x14ac:dyDescent="0.25">
      <c r="K2645" s="400"/>
    </row>
    <row r="2646" spans="11:11" x14ac:dyDescent="0.25">
      <c r="K2646" s="400"/>
    </row>
    <row r="2647" spans="11:11" x14ac:dyDescent="0.25">
      <c r="K2647" s="400"/>
    </row>
    <row r="2648" spans="11:11" x14ac:dyDescent="0.25">
      <c r="K2648" s="400"/>
    </row>
    <row r="2649" spans="11:11" x14ac:dyDescent="0.25">
      <c r="K2649" s="400"/>
    </row>
    <row r="2650" spans="11:11" x14ac:dyDescent="0.25">
      <c r="K2650" s="400"/>
    </row>
    <row r="2651" spans="11:11" x14ac:dyDescent="0.25">
      <c r="K2651" s="400"/>
    </row>
    <row r="2652" spans="11:11" x14ac:dyDescent="0.25">
      <c r="K2652" s="400"/>
    </row>
    <row r="2653" spans="11:11" x14ac:dyDescent="0.25">
      <c r="K2653" s="400"/>
    </row>
    <row r="2654" spans="11:11" x14ac:dyDescent="0.25">
      <c r="K2654" s="400"/>
    </row>
    <row r="2655" spans="11:11" x14ac:dyDescent="0.25">
      <c r="K2655" s="400"/>
    </row>
    <row r="2656" spans="11:11" x14ac:dyDescent="0.25">
      <c r="K2656" s="400"/>
    </row>
    <row r="2657" spans="11:11" x14ac:dyDescent="0.25">
      <c r="K2657" s="400"/>
    </row>
    <row r="2658" spans="11:11" x14ac:dyDescent="0.25">
      <c r="K2658" s="400"/>
    </row>
    <row r="2659" spans="11:11" x14ac:dyDescent="0.25">
      <c r="K2659" s="400"/>
    </row>
    <row r="2660" spans="11:11" x14ac:dyDescent="0.25">
      <c r="K2660" s="400"/>
    </row>
    <row r="2661" spans="11:11" x14ac:dyDescent="0.25">
      <c r="K2661" s="400"/>
    </row>
    <row r="2662" spans="11:11" x14ac:dyDescent="0.25">
      <c r="K2662" s="400"/>
    </row>
    <row r="2663" spans="11:11" x14ac:dyDescent="0.25">
      <c r="K2663" s="400"/>
    </row>
    <row r="2664" spans="11:11" x14ac:dyDescent="0.25">
      <c r="K2664" s="400"/>
    </row>
    <row r="2665" spans="11:11" x14ac:dyDescent="0.25">
      <c r="K2665" s="400"/>
    </row>
    <row r="2666" spans="11:11" x14ac:dyDescent="0.25">
      <c r="K2666" s="400"/>
    </row>
    <row r="2667" spans="11:11" x14ac:dyDescent="0.25">
      <c r="K2667" s="400"/>
    </row>
    <row r="2668" spans="11:11" x14ac:dyDescent="0.25">
      <c r="K2668" s="400"/>
    </row>
    <row r="2669" spans="11:11" x14ac:dyDescent="0.25">
      <c r="K2669" s="400"/>
    </row>
    <row r="2670" spans="11:11" x14ac:dyDescent="0.25">
      <c r="K2670" s="400"/>
    </row>
    <row r="2671" spans="11:11" x14ac:dyDescent="0.25">
      <c r="K2671" s="400"/>
    </row>
    <row r="2672" spans="11:11" x14ac:dyDescent="0.25">
      <c r="K2672" s="400"/>
    </row>
    <row r="2673" spans="11:11" x14ac:dyDescent="0.25">
      <c r="K2673" s="400"/>
    </row>
    <row r="2674" spans="11:11" x14ac:dyDescent="0.25">
      <c r="K2674" s="400"/>
    </row>
    <row r="2675" spans="11:11" x14ac:dyDescent="0.25">
      <c r="K2675" s="400"/>
    </row>
    <row r="2676" spans="11:11" x14ac:dyDescent="0.25">
      <c r="K2676" s="400"/>
    </row>
    <row r="2677" spans="11:11" x14ac:dyDescent="0.25">
      <c r="K2677" s="400"/>
    </row>
    <row r="2678" spans="11:11" x14ac:dyDescent="0.25">
      <c r="K2678" s="400"/>
    </row>
    <row r="2679" spans="11:11" x14ac:dyDescent="0.25">
      <c r="K2679" s="400"/>
    </row>
    <row r="2680" spans="11:11" x14ac:dyDescent="0.25">
      <c r="K2680" s="400"/>
    </row>
    <row r="2681" spans="11:11" x14ac:dyDescent="0.25">
      <c r="K2681" s="400"/>
    </row>
    <row r="2682" spans="11:11" x14ac:dyDescent="0.25">
      <c r="K2682" s="400"/>
    </row>
    <row r="2683" spans="11:11" x14ac:dyDescent="0.25">
      <c r="K2683" s="400"/>
    </row>
    <row r="2684" spans="11:11" x14ac:dyDescent="0.25">
      <c r="K2684" s="400"/>
    </row>
    <row r="2685" spans="11:11" x14ac:dyDescent="0.25">
      <c r="K2685" s="400"/>
    </row>
    <row r="2686" spans="11:11" x14ac:dyDescent="0.25">
      <c r="K2686" s="400"/>
    </row>
    <row r="2687" spans="11:11" x14ac:dyDescent="0.25">
      <c r="K2687" s="400"/>
    </row>
    <row r="2688" spans="11:11" x14ac:dyDescent="0.25">
      <c r="K2688" s="400"/>
    </row>
    <row r="2689" spans="11:11" x14ac:dyDescent="0.25">
      <c r="K2689" s="400"/>
    </row>
    <row r="2690" spans="11:11" x14ac:dyDescent="0.25">
      <c r="K2690" s="400"/>
    </row>
    <row r="2691" spans="11:11" x14ac:dyDescent="0.25">
      <c r="K2691" s="400"/>
    </row>
    <row r="2692" spans="11:11" x14ac:dyDescent="0.25">
      <c r="K2692" s="400"/>
    </row>
    <row r="2693" spans="11:11" x14ac:dyDescent="0.25">
      <c r="K2693" s="400"/>
    </row>
    <row r="2694" spans="11:11" x14ac:dyDescent="0.25">
      <c r="K2694" s="400"/>
    </row>
    <row r="2695" spans="11:11" x14ac:dyDescent="0.25">
      <c r="K2695" s="400"/>
    </row>
    <row r="2696" spans="11:11" x14ac:dyDescent="0.25">
      <c r="K2696" s="400"/>
    </row>
    <row r="2697" spans="11:11" x14ac:dyDescent="0.25">
      <c r="K2697" s="400"/>
    </row>
    <row r="2698" spans="11:11" x14ac:dyDescent="0.25">
      <c r="K2698" s="400"/>
    </row>
    <row r="2699" spans="11:11" x14ac:dyDescent="0.25">
      <c r="K2699" s="400"/>
    </row>
    <row r="2700" spans="11:11" x14ac:dyDescent="0.25">
      <c r="K2700" s="400"/>
    </row>
    <row r="2701" spans="11:11" x14ac:dyDescent="0.25">
      <c r="K2701" s="400"/>
    </row>
    <row r="2702" spans="11:11" x14ac:dyDescent="0.25">
      <c r="K2702" s="400"/>
    </row>
    <row r="2703" spans="11:11" x14ac:dyDescent="0.25">
      <c r="K2703" s="400"/>
    </row>
    <row r="2704" spans="11:11" x14ac:dyDescent="0.25">
      <c r="K2704" s="400"/>
    </row>
    <row r="2705" spans="11:11" x14ac:dyDescent="0.25">
      <c r="K2705" s="400"/>
    </row>
    <row r="2706" spans="11:11" x14ac:dyDescent="0.25">
      <c r="K2706" s="400"/>
    </row>
    <row r="2707" spans="11:11" x14ac:dyDescent="0.25">
      <c r="K2707" s="400"/>
    </row>
    <row r="2708" spans="11:11" x14ac:dyDescent="0.25">
      <c r="K2708" s="400"/>
    </row>
    <row r="2709" spans="11:11" x14ac:dyDescent="0.25">
      <c r="K2709" s="400"/>
    </row>
    <row r="2710" spans="11:11" x14ac:dyDescent="0.25">
      <c r="K2710" s="400"/>
    </row>
    <row r="2711" spans="11:11" x14ac:dyDescent="0.25">
      <c r="K2711" s="400"/>
    </row>
    <row r="2712" spans="11:11" x14ac:dyDescent="0.25">
      <c r="K2712" s="400"/>
    </row>
    <row r="2713" spans="11:11" x14ac:dyDescent="0.25">
      <c r="K2713" s="400"/>
    </row>
    <row r="2714" spans="11:11" x14ac:dyDescent="0.25">
      <c r="K2714" s="400"/>
    </row>
    <row r="2715" spans="11:11" x14ac:dyDescent="0.25">
      <c r="K2715" s="400"/>
    </row>
    <row r="2716" spans="11:11" x14ac:dyDescent="0.25">
      <c r="K2716" s="400"/>
    </row>
    <row r="2717" spans="11:11" x14ac:dyDescent="0.25">
      <c r="K2717" s="400"/>
    </row>
    <row r="2718" spans="11:11" x14ac:dyDescent="0.25">
      <c r="K2718" s="400"/>
    </row>
    <row r="2719" spans="11:11" x14ac:dyDescent="0.25">
      <c r="K2719" s="400"/>
    </row>
    <row r="2720" spans="11:11" x14ac:dyDescent="0.25">
      <c r="K2720" s="400"/>
    </row>
    <row r="2721" spans="11:11" x14ac:dyDescent="0.25">
      <c r="K2721" s="400"/>
    </row>
    <row r="2722" spans="11:11" x14ac:dyDescent="0.25">
      <c r="K2722" s="400"/>
    </row>
    <row r="2723" spans="11:11" x14ac:dyDescent="0.25">
      <c r="K2723" s="400"/>
    </row>
    <row r="2724" spans="11:11" x14ac:dyDescent="0.25">
      <c r="K2724" s="400"/>
    </row>
    <row r="2725" spans="11:11" x14ac:dyDescent="0.25">
      <c r="K2725" s="400"/>
    </row>
    <row r="2726" spans="11:11" x14ac:dyDescent="0.25">
      <c r="K2726" s="400"/>
    </row>
    <row r="2727" spans="11:11" x14ac:dyDescent="0.25">
      <c r="K2727" s="400"/>
    </row>
    <row r="2728" spans="11:11" x14ac:dyDescent="0.25">
      <c r="K2728" s="400"/>
    </row>
    <row r="2729" spans="11:11" x14ac:dyDescent="0.25">
      <c r="K2729" s="400"/>
    </row>
    <row r="2730" spans="11:11" x14ac:dyDescent="0.25">
      <c r="K2730" s="400"/>
    </row>
    <row r="2731" spans="11:11" x14ac:dyDescent="0.25">
      <c r="K2731" s="400"/>
    </row>
    <row r="2732" spans="11:11" x14ac:dyDescent="0.25">
      <c r="K2732" s="400"/>
    </row>
    <row r="2733" spans="11:11" x14ac:dyDescent="0.25">
      <c r="K2733" s="400"/>
    </row>
    <row r="2734" spans="11:11" x14ac:dyDescent="0.25">
      <c r="K2734" s="400"/>
    </row>
    <row r="2735" spans="11:11" x14ac:dyDescent="0.25">
      <c r="K2735" s="400"/>
    </row>
    <row r="2736" spans="11:11" x14ac:dyDescent="0.25">
      <c r="K2736" s="400"/>
    </row>
    <row r="2737" spans="11:11" x14ac:dyDescent="0.25">
      <c r="K2737" s="400"/>
    </row>
    <row r="2738" spans="11:11" x14ac:dyDescent="0.25">
      <c r="K2738" s="400"/>
    </row>
    <row r="2739" spans="11:11" x14ac:dyDescent="0.25">
      <c r="K2739" s="400"/>
    </row>
    <row r="2740" spans="11:11" x14ac:dyDescent="0.25">
      <c r="K2740" s="400"/>
    </row>
    <row r="2741" spans="11:11" x14ac:dyDescent="0.25">
      <c r="K2741" s="400"/>
    </row>
    <row r="2742" spans="11:11" x14ac:dyDescent="0.25">
      <c r="K2742" s="400"/>
    </row>
    <row r="2743" spans="11:11" x14ac:dyDescent="0.25">
      <c r="K2743" s="400"/>
    </row>
    <row r="2744" spans="11:11" x14ac:dyDescent="0.25">
      <c r="K2744" s="400"/>
    </row>
    <row r="2745" spans="11:11" x14ac:dyDescent="0.25">
      <c r="K2745" s="400"/>
    </row>
    <row r="2746" spans="11:11" x14ac:dyDescent="0.25">
      <c r="K2746" s="400"/>
    </row>
    <row r="2747" spans="11:11" x14ac:dyDescent="0.25">
      <c r="K2747" s="400"/>
    </row>
    <row r="2748" spans="11:11" x14ac:dyDescent="0.25">
      <c r="K2748" s="400"/>
    </row>
    <row r="2749" spans="11:11" x14ac:dyDescent="0.25">
      <c r="K2749" s="400"/>
    </row>
    <row r="2750" spans="11:11" x14ac:dyDescent="0.25">
      <c r="K2750" s="400"/>
    </row>
    <row r="2751" spans="11:11" x14ac:dyDescent="0.25">
      <c r="K2751" s="400"/>
    </row>
    <row r="2752" spans="11:11" x14ac:dyDescent="0.25">
      <c r="K2752" s="400"/>
    </row>
    <row r="2753" spans="11:11" x14ac:dyDescent="0.25">
      <c r="K2753" s="400"/>
    </row>
    <row r="2754" spans="11:11" x14ac:dyDescent="0.25">
      <c r="K2754" s="400"/>
    </row>
    <row r="2755" spans="11:11" x14ac:dyDescent="0.25">
      <c r="K2755" s="400"/>
    </row>
    <row r="2756" spans="11:11" x14ac:dyDescent="0.25">
      <c r="K2756" s="400"/>
    </row>
    <row r="2757" spans="11:11" x14ac:dyDescent="0.25">
      <c r="K2757" s="400"/>
    </row>
    <row r="2758" spans="11:11" x14ac:dyDescent="0.25">
      <c r="K2758" s="400"/>
    </row>
    <row r="2759" spans="11:11" x14ac:dyDescent="0.25">
      <c r="K2759" s="400"/>
    </row>
    <row r="2760" spans="11:11" x14ac:dyDescent="0.25">
      <c r="K2760" s="400"/>
    </row>
    <row r="2761" spans="11:11" x14ac:dyDescent="0.25">
      <c r="K2761" s="400"/>
    </row>
    <row r="2762" spans="11:11" x14ac:dyDescent="0.25">
      <c r="K2762" s="400"/>
    </row>
    <row r="2763" spans="11:11" x14ac:dyDescent="0.25">
      <c r="K2763" s="400"/>
    </row>
    <row r="2764" spans="11:11" x14ac:dyDescent="0.25">
      <c r="K2764" s="400"/>
    </row>
    <row r="2765" spans="11:11" x14ac:dyDescent="0.25">
      <c r="K2765" s="400"/>
    </row>
    <row r="2766" spans="11:11" x14ac:dyDescent="0.25">
      <c r="K2766" s="400"/>
    </row>
    <row r="2767" spans="11:11" x14ac:dyDescent="0.25">
      <c r="K2767" s="400"/>
    </row>
    <row r="2768" spans="11:11" x14ac:dyDescent="0.25">
      <c r="K2768" s="400"/>
    </row>
    <row r="2769" spans="11:11" x14ac:dyDescent="0.25">
      <c r="K2769" s="400"/>
    </row>
    <row r="2770" spans="11:11" x14ac:dyDescent="0.25">
      <c r="K2770" s="400"/>
    </row>
    <row r="2771" spans="11:11" x14ac:dyDescent="0.25">
      <c r="K2771" s="400"/>
    </row>
    <row r="2772" spans="11:11" x14ac:dyDescent="0.25">
      <c r="K2772" s="400"/>
    </row>
    <row r="2773" spans="11:11" x14ac:dyDescent="0.25">
      <c r="K2773" s="400"/>
    </row>
    <row r="2774" spans="11:11" x14ac:dyDescent="0.25">
      <c r="K2774" s="400"/>
    </row>
    <row r="2775" spans="11:11" x14ac:dyDescent="0.25">
      <c r="K2775" s="400"/>
    </row>
    <row r="2776" spans="11:11" x14ac:dyDescent="0.25">
      <c r="K2776" s="400"/>
    </row>
    <row r="2777" spans="11:11" x14ac:dyDescent="0.25">
      <c r="K2777" s="400"/>
    </row>
    <row r="2778" spans="11:11" x14ac:dyDescent="0.25">
      <c r="K2778" s="400"/>
    </row>
    <row r="2779" spans="11:11" x14ac:dyDescent="0.25">
      <c r="K2779" s="400"/>
    </row>
    <row r="2780" spans="11:11" x14ac:dyDescent="0.25">
      <c r="K2780" s="400"/>
    </row>
    <row r="2781" spans="11:11" x14ac:dyDescent="0.25">
      <c r="K2781" s="400"/>
    </row>
    <row r="2782" spans="11:11" x14ac:dyDescent="0.25">
      <c r="K2782" s="400"/>
    </row>
    <row r="2783" spans="11:11" x14ac:dyDescent="0.25">
      <c r="K2783" s="400"/>
    </row>
    <row r="2784" spans="11:11" x14ac:dyDescent="0.25">
      <c r="K2784" s="400"/>
    </row>
    <row r="2785" spans="11:11" x14ac:dyDescent="0.25">
      <c r="K2785" s="400"/>
    </row>
    <row r="2786" spans="11:11" x14ac:dyDescent="0.25">
      <c r="K2786" s="400"/>
    </row>
    <row r="2787" spans="11:11" x14ac:dyDescent="0.25">
      <c r="K2787" s="400"/>
    </row>
    <row r="2788" spans="11:11" x14ac:dyDescent="0.25">
      <c r="K2788" s="400"/>
    </row>
    <row r="2789" spans="11:11" x14ac:dyDescent="0.25">
      <c r="K2789" s="400"/>
    </row>
    <row r="2790" spans="11:11" x14ac:dyDescent="0.25">
      <c r="K2790" s="400"/>
    </row>
    <row r="2791" spans="11:11" x14ac:dyDescent="0.25">
      <c r="K2791" s="400"/>
    </row>
    <row r="2792" spans="11:11" x14ac:dyDescent="0.25">
      <c r="K2792" s="400"/>
    </row>
    <row r="2793" spans="11:11" x14ac:dyDescent="0.25">
      <c r="K2793" s="400"/>
    </row>
    <row r="2794" spans="11:11" x14ac:dyDescent="0.25">
      <c r="K2794" s="400"/>
    </row>
    <row r="2795" spans="11:11" x14ac:dyDescent="0.25">
      <c r="K2795" s="400"/>
    </row>
    <row r="2796" spans="11:11" x14ac:dyDescent="0.25">
      <c r="K2796" s="400"/>
    </row>
    <row r="2797" spans="11:11" x14ac:dyDescent="0.25">
      <c r="K2797" s="400"/>
    </row>
    <row r="2798" spans="11:11" x14ac:dyDescent="0.25">
      <c r="K2798" s="400"/>
    </row>
    <row r="2799" spans="11:11" x14ac:dyDescent="0.25">
      <c r="K2799" s="400"/>
    </row>
    <row r="2800" spans="11:11" x14ac:dyDescent="0.25">
      <c r="K2800" s="400"/>
    </row>
    <row r="2801" spans="11:11" x14ac:dyDescent="0.25">
      <c r="K2801" s="400"/>
    </row>
    <row r="2802" spans="11:11" x14ac:dyDescent="0.25">
      <c r="K2802" s="400"/>
    </row>
    <row r="2803" spans="11:11" x14ac:dyDescent="0.25">
      <c r="K2803" s="400"/>
    </row>
    <row r="2804" spans="11:11" x14ac:dyDescent="0.25">
      <c r="K2804" s="400"/>
    </row>
    <row r="2805" spans="11:11" x14ac:dyDescent="0.25">
      <c r="K2805" s="400"/>
    </row>
    <row r="2806" spans="11:11" x14ac:dyDescent="0.25">
      <c r="K2806" s="400"/>
    </row>
    <row r="2807" spans="11:11" x14ac:dyDescent="0.25">
      <c r="K2807" s="400"/>
    </row>
    <row r="2808" spans="11:11" x14ac:dyDescent="0.25">
      <c r="K2808" s="400"/>
    </row>
    <row r="2809" spans="11:11" x14ac:dyDescent="0.25">
      <c r="K2809" s="400"/>
    </row>
    <row r="2810" spans="11:11" x14ac:dyDescent="0.25">
      <c r="K2810" s="400"/>
    </row>
    <row r="2811" spans="11:11" x14ac:dyDescent="0.25">
      <c r="K2811" s="400"/>
    </row>
    <row r="2812" spans="11:11" x14ac:dyDescent="0.25">
      <c r="K2812" s="400"/>
    </row>
    <row r="2813" spans="11:11" x14ac:dyDescent="0.25">
      <c r="K2813" s="400"/>
    </row>
    <row r="2814" spans="11:11" x14ac:dyDescent="0.25">
      <c r="K2814" s="400"/>
    </row>
    <row r="2815" spans="11:11" x14ac:dyDescent="0.25">
      <c r="K2815" s="400"/>
    </row>
    <row r="2816" spans="11:11" x14ac:dyDescent="0.25">
      <c r="K2816" s="400"/>
    </row>
    <row r="2817" spans="11:11" x14ac:dyDescent="0.25">
      <c r="K2817" s="400"/>
    </row>
    <row r="2818" spans="11:11" x14ac:dyDescent="0.25">
      <c r="K2818" s="400"/>
    </row>
    <row r="2819" spans="11:11" x14ac:dyDescent="0.25">
      <c r="K2819" s="400"/>
    </row>
    <row r="2820" spans="11:11" x14ac:dyDescent="0.25">
      <c r="K2820" s="400"/>
    </row>
    <row r="2821" spans="11:11" x14ac:dyDescent="0.25">
      <c r="K2821" s="400"/>
    </row>
    <row r="2822" spans="11:11" x14ac:dyDescent="0.25">
      <c r="K2822" s="400"/>
    </row>
    <row r="2823" spans="11:11" x14ac:dyDescent="0.25">
      <c r="K2823" s="400"/>
    </row>
    <row r="2824" spans="11:11" x14ac:dyDescent="0.25">
      <c r="K2824" s="400"/>
    </row>
    <row r="2825" spans="11:11" x14ac:dyDescent="0.25">
      <c r="K2825" s="400"/>
    </row>
    <row r="2826" spans="11:11" x14ac:dyDescent="0.25">
      <c r="K2826" s="400"/>
    </row>
    <row r="2827" spans="11:11" x14ac:dyDescent="0.25">
      <c r="K2827" s="400"/>
    </row>
    <row r="2828" spans="11:11" x14ac:dyDescent="0.25">
      <c r="K2828" s="400"/>
    </row>
    <row r="2829" spans="11:11" x14ac:dyDescent="0.25">
      <c r="K2829" s="400"/>
    </row>
    <row r="2830" spans="11:11" x14ac:dyDescent="0.25">
      <c r="K2830" s="400"/>
    </row>
    <row r="2831" spans="11:11" x14ac:dyDescent="0.25">
      <c r="K2831" s="400"/>
    </row>
    <row r="2832" spans="11:11" x14ac:dyDescent="0.25">
      <c r="K2832" s="400"/>
    </row>
    <row r="2833" spans="11:11" x14ac:dyDescent="0.25">
      <c r="K2833" s="400"/>
    </row>
    <row r="2834" spans="11:11" x14ac:dyDescent="0.25">
      <c r="K2834" s="400"/>
    </row>
    <row r="2835" spans="11:11" x14ac:dyDescent="0.25">
      <c r="K2835" s="400"/>
    </row>
    <row r="2836" spans="11:11" x14ac:dyDescent="0.25">
      <c r="K2836" s="400"/>
    </row>
    <row r="2837" spans="11:11" x14ac:dyDescent="0.25">
      <c r="K2837" s="400"/>
    </row>
    <row r="2838" spans="11:11" x14ac:dyDescent="0.25">
      <c r="K2838" s="400"/>
    </row>
    <row r="2839" spans="11:11" x14ac:dyDescent="0.25">
      <c r="K2839" s="400"/>
    </row>
    <row r="2840" spans="11:11" x14ac:dyDescent="0.25">
      <c r="K2840" s="400"/>
    </row>
    <row r="2841" spans="11:11" x14ac:dyDescent="0.25">
      <c r="K2841" s="400"/>
    </row>
    <row r="2842" spans="11:11" x14ac:dyDescent="0.25">
      <c r="K2842" s="400"/>
    </row>
    <row r="2843" spans="11:11" x14ac:dyDescent="0.25">
      <c r="K2843" s="400"/>
    </row>
    <row r="2844" spans="11:11" x14ac:dyDescent="0.25">
      <c r="K2844" s="400"/>
    </row>
    <row r="2845" spans="11:11" x14ac:dyDescent="0.25">
      <c r="K2845" s="400"/>
    </row>
    <row r="2846" spans="11:11" x14ac:dyDescent="0.25">
      <c r="K2846" s="400"/>
    </row>
    <row r="2847" spans="11:11" x14ac:dyDescent="0.25">
      <c r="K2847" s="400"/>
    </row>
    <row r="2848" spans="11:11" x14ac:dyDescent="0.25">
      <c r="K2848" s="400"/>
    </row>
    <row r="2849" spans="11:11" x14ac:dyDescent="0.25">
      <c r="K2849" s="400"/>
    </row>
    <row r="2850" spans="11:11" x14ac:dyDescent="0.25">
      <c r="K2850" s="400"/>
    </row>
    <row r="2851" spans="11:11" x14ac:dyDescent="0.25">
      <c r="K2851" s="400"/>
    </row>
    <row r="2852" spans="11:11" x14ac:dyDescent="0.25">
      <c r="K2852" s="400"/>
    </row>
    <row r="2853" spans="11:11" x14ac:dyDescent="0.25">
      <c r="K2853" s="400"/>
    </row>
    <row r="2854" spans="11:11" x14ac:dyDescent="0.25">
      <c r="K2854" s="400"/>
    </row>
    <row r="2855" spans="11:11" x14ac:dyDescent="0.25">
      <c r="K2855" s="400"/>
    </row>
    <row r="2856" spans="11:11" x14ac:dyDescent="0.25">
      <c r="K2856" s="400"/>
    </row>
    <row r="2857" spans="11:11" x14ac:dyDescent="0.25">
      <c r="K2857" s="400"/>
    </row>
    <row r="2858" spans="11:11" x14ac:dyDescent="0.25">
      <c r="K2858" s="400"/>
    </row>
    <row r="2859" spans="11:11" x14ac:dyDescent="0.25">
      <c r="K2859" s="400"/>
    </row>
    <row r="2860" spans="11:11" x14ac:dyDescent="0.25">
      <c r="K2860" s="400"/>
    </row>
    <row r="2861" spans="11:11" x14ac:dyDescent="0.25">
      <c r="K2861" s="400"/>
    </row>
    <row r="2862" spans="11:11" x14ac:dyDescent="0.25">
      <c r="K2862" s="400"/>
    </row>
    <row r="2863" spans="11:11" x14ac:dyDescent="0.25">
      <c r="K2863" s="400"/>
    </row>
    <row r="2864" spans="11:11" x14ac:dyDescent="0.25">
      <c r="K2864" s="400"/>
    </row>
    <row r="2865" spans="11:11" x14ac:dyDescent="0.25">
      <c r="K2865" s="400"/>
    </row>
    <row r="2866" spans="11:11" x14ac:dyDescent="0.25">
      <c r="K2866" s="400"/>
    </row>
    <row r="2867" spans="11:11" x14ac:dyDescent="0.25">
      <c r="K2867" s="400"/>
    </row>
    <row r="2868" spans="11:11" x14ac:dyDescent="0.25">
      <c r="K2868" s="400"/>
    </row>
    <row r="2869" spans="11:11" x14ac:dyDescent="0.25">
      <c r="K2869" s="400"/>
    </row>
    <row r="2870" spans="11:11" x14ac:dyDescent="0.25">
      <c r="K2870" s="400"/>
    </row>
    <row r="2871" spans="11:11" x14ac:dyDescent="0.25">
      <c r="K2871" s="400"/>
    </row>
    <row r="2872" spans="11:11" x14ac:dyDescent="0.25">
      <c r="K2872" s="400"/>
    </row>
    <row r="2873" spans="11:11" x14ac:dyDescent="0.25">
      <c r="K2873" s="400"/>
    </row>
    <row r="2874" spans="11:11" x14ac:dyDescent="0.25">
      <c r="K2874" s="400"/>
    </row>
    <row r="2875" spans="11:11" x14ac:dyDescent="0.25">
      <c r="K2875" s="400"/>
    </row>
    <row r="2876" spans="11:11" x14ac:dyDescent="0.25">
      <c r="K2876" s="400"/>
    </row>
    <row r="2877" spans="11:11" x14ac:dyDescent="0.25">
      <c r="K2877" s="400"/>
    </row>
    <row r="2878" spans="11:11" x14ac:dyDescent="0.25">
      <c r="K2878" s="400"/>
    </row>
    <row r="2879" spans="11:11" x14ac:dyDescent="0.25">
      <c r="K2879" s="400"/>
    </row>
    <row r="2880" spans="11:11" x14ac:dyDescent="0.25">
      <c r="K2880" s="400"/>
    </row>
    <row r="2881" spans="11:11" x14ac:dyDescent="0.25">
      <c r="K2881" s="400"/>
    </row>
    <row r="2882" spans="11:11" x14ac:dyDescent="0.25">
      <c r="K2882" s="400"/>
    </row>
    <row r="2883" spans="11:11" x14ac:dyDescent="0.25">
      <c r="K2883" s="400"/>
    </row>
    <row r="2884" spans="11:11" x14ac:dyDescent="0.25">
      <c r="K2884" s="400"/>
    </row>
    <row r="2885" spans="11:11" x14ac:dyDescent="0.25">
      <c r="K2885" s="400"/>
    </row>
    <row r="2886" spans="11:11" x14ac:dyDescent="0.25">
      <c r="K2886" s="400"/>
    </row>
    <row r="2887" spans="11:11" x14ac:dyDescent="0.25">
      <c r="K2887" s="400"/>
    </row>
    <row r="2888" spans="11:11" x14ac:dyDescent="0.25">
      <c r="K2888" s="400"/>
    </row>
    <row r="2889" spans="11:11" x14ac:dyDescent="0.25">
      <c r="K2889" s="400"/>
    </row>
    <row r="2890" spans="11:11" x14ac:dyDescent="0.25">
      <c r="K2890" s="400"/>
    </row>
    <row r="2891" spans="11:11" x14ac:dyDescent="0.25">
      <c r="K2891" s="400"/>
    </row>
    <row r="2892" spans="11:11" x14ac:dyDescent="0.25">
      <c r="K2892" s="400"/>
    </row>
    <row r="2893" spans="11:11" x14ac:dyDescent="0.25">
      <c r="K2893" s="400"/>
    </row>
    <row r="2894" spans="11:11" x14ac:dyDescent="0.25">
      <c r="K2894" s="400"/>
    </row>
    <row r="2895" spans="11:11" x14ac:dyDescent="0.25">
      <c r="K2895" s="400"/>
    </row>
    <row r="2896" spans="11:11" x14ac:dyDescent="0.25">
      <c r="K2896" s="400"/>
    </row>
    <row r="2897" spans="11:11" x14ac:dyDescent="0.25">
      <c r="K2897" s="400"/>
    </row>
    <row r="2898" spans="11:11" x14ac:dyDescent="0.25">
      <c r="K2898" s="400"/>
    </row>
    <row r="2899" spans="11:11" x14ac:dyDescent="0.25">
      <c r="K2899" s="400"/>
    </row>
    <row r="2900" spans="11:11" x14ac:dyDescent="0.25">
      <c r="K2900" s="400"/>
    </row>
    <row r="2901" spans="11:11" x14ac:dyDescent="0.25">
      <c r="K2901" s="400"/>
    </row>
    <row r="2902" spans="11:11" x14ac:dyDescent="0.25">
      <c r="K2902" s="400"/>
    </row>
    <row r="2903" spans="11:11" x14ac:dyDescent="0.25">
      <c r="K2903" s="400"/>
    </row>
    <row r="2904" spans="11:11" x14ac:dyDescent="0.25">
      <c r="K2904" s="400"/>
    </row>
    <row r="2905" spans="11:11" x14ac:dyDescent="0.25">
      <c r="K2905" s="400"/>
    </row>
    <row r="2906" spans="11:11" x14ac:dyDescent="0.25">
      <c r="K2906" s="400"/>
    </row>
    <row r="2907" spans="11:11" x14ac:dyDescent="0.25">
      <c r="K2907" s="400"/>
    </row>
    <row r="2908" spans="11:11" x14ac:dyDescent="0.25">
      <c r="K2908" s="400"/>
    </row>
    <row r="2909" spans="11:11" x14ac:dyDescent="0.25">
      <c r="K2909" s="400"/>
    </row>
    <row r="2910" spans="11:11" x14ac:dyDescent="0.25">
      <c r="K2910" s="400"/>
    </row>
    <row r="2911" spans="11:11" x14ac:dyDescent="0.25">
      <c r="K2911" s="400"/>
    </row>
    <row r="2912" spans="11:11" x14ac:dyDescent="0.25">
      <c r="K2912" s="400"/>
    </row>
    <row r="2913" spans="11:11" x14ac:dyDescent="0.25">
      <c r="K2913" s="400"/>
    </row>
    <row r="2914" spans="11:11" x14ac:dyDescent="0.25">
      <c r="K2914" s="400"/>
    </row>
    <row r="2915" spans="11:11" x14ac:dyDescent="0.25">
      <c r="K2915" s="400"/>
    </row>
    <row r="2916" spans="11:11" x14ac:dyDescent="0.25">
      <c r="K2916" s="400"/>
    </row>
    <row r="2917" spans="11:11" x14ac:dyDescent="0.25">
      <c r="K2917" s="400"/>
    </row>
    <row r="2918" spans="11:11" x14ac:dyDescent="0.25">
      <c r="K2918" s="400"/>
    </row>
    <row r="2919" spans="11:11" x14ac:dyDescent="0.25">
      <c r="K2919" s="400"/>
    </row>
    <row r="2920" spans="11:11" x14ac:dyDescent="0.25">
      <c r="K2920" s="400"/>
    </row>
    <row r="2921" spans="11:11" x14ac:dyDescent="0.25">
      <c r="K2921" s="400"/>
    </row>
    <row r="2922" spans="11:11" x14ac:dyDescent="0.25">
      <c r="K2922" s="400"/>
    </row>
    <row r="2923" spans="11:11" x14ac:dyDescent="0.25">
      <c r="K2923" s="400"/>
    </row>
    <row r="2924" spans="11:11" x14ac:dyDescent="0.25">
      <c r="K2924" s="400"/>
    </row>
    <row r="2925" spans="11:11" x14ac:dyDescent="0.25">
      <c r="K2925" s="400"/>
    </row>
    <row r="2926" spans="11:11" x14ac:dyDescent="0.25">
      <c r="K2926" s="400"/>
    </row>
    <row r="2927" spans="11:11" x14ac:dyDescent="0.25">
      <c r="K2927" s="400"/>
    </row>
    <row r="2928" spans="11:11" x14ac:dyDescent="0.25">
      <c r="K2928" s="400"/>
    </row>
    <row r="2929" spans="11:11" x14ac:dyDescent="0.25">
      <c r="K2929" s="400"/>
    </row>
    <row r="2930" spans="11:11" x14ac:dyDescent="0.25">
      <c r="K2930" s="400"/>
    </row>
    <row r="2931" spans="11:11" x14ac:dyDescent="0.25">
      <c r="K2931" s="400"/>
    </row>
    <row r="2932" spans="11:11" x14ac:dyDescent="0.25">
      <c r="K2932" s="400"/>
    </row>
    <row r="2933" spans="11:11" x14ac:dyDescent="0.25">
      <c r="K2933" s="400"/>
    </row>
    <row r="2934" spans="11:11" x14ac:dyDescent="0.25">
      <c r="K2934" s="400"/>
    </row>
    <row r="2935" spans="11:11" x14ac:dyDescent="0.25">
      <c r="K2935" s="400"/>
    </row>
    <row r="2936" spans="11:11" x14ac:dyDescent="0.25">
      <c r="K2936" s="400"/>
    </row>
    <row r="2937" spans="11:11" x14ac:dyDescent="0.25">
      <c r="K2937" s="400"/>
    </row>
    <row r="2938" spans="11:11" x14ac:dyDescent="0.25">
      <c r="K2938" s="400"/>
    </row>
    <row r="2939" spans="11:11" x14ac:dyDescent="0.25">
      <c r="K2939" s="400"/>
    </row>
    <row r="2940" spans="11:11" x14ac:dyDescent="0.25">
      <c r="K2940" s="400"/>
    </row>
    <row r="2941" spans="11:11" x14ac:dyDescent="0.25">
      <c r="K2941" s="400"/>
    </row>
    <row r="2942" spans="11:11" x14ac:dyDescent="0.25">
      <c r="K2942" s="400"/>
    </row>
    <row r="2943" spans="11:11" x14ac:dyDescent="0.25">
      <c r="K2943" s="400"/>
    </row>
    <row r="2944" spans="11:11" x14ac:dyDescent="0.25">
      <c r="K2944" s="400"/>
    </row>
    <row r="2945" spans="11:11" x14ac:dyDescent="0.25">
      <c r="K2945" s="400"/>
    </row>
    <row r="2946" spans="11:11" x14ac:dyDescent="0.25">
      <c r="K2946" s="400"/>
    </row>
    <row r="2947" spans="11:11" x14ac:dyDescent="0.25">
      <c r="K2947" s="400"/>
    </row>
    <row r="2948" spans="11:11" x14ac:dyDescent="0.25">
      <c r="K2948" s="400"/>
    </row>
    <row r="2949" spans="11:11" x14ac:dyDescent="0.25">
      <c r="K2949" s="400"/>
    </row>
    <row r="2950" spans="11:11" x14ac:dyDescent="0.25">
      <c r="K2950" s="400"/>
    </row>
    <row r="2951" spans="11:11" x14ac:dyDescent="0.25">
      <c r="K2951" s="400"/>
    </row>
    <row r="2952" spans="11:11" x14ac:dyDescent="0.25">
      <c r="K2952" s="400"/>
    </row>
    <row r="2953" spans="11:11" x14ac:dyDescent="0.25">
      <c r="K2953" s="400"/>
    </row>
    <row r="2954" spans="11:11" x14ac:dyDescent="0.25">
      <c r="K2954" s="400"/>
    </row>
    <row r="2955" spans="11:11" x14ac:dyDescent="0.25">
      <c r="K2955" s="400"/>
    </row>
    <row r="2956" spans="11:11" x14ac:dyDescent="0.25">
      <c r="K2956" s="400"/>
    </row>
    <row r="2957" spans="11:11" x14ac:dyDescent="0.25">
      <c r="K2957" s="400"/>
    </row>
    <row r="2958" spans="11:11" x14ac:dyDescent="0.25">
      <c r="K2958" s="400"/>
    </row>
    <row r="2959" spans="11:11" x14ac:dyDescent="0.25">
      <c r="K2959" s="400"/>
    </row>
    <row r="2960" spans="11:11" x14ac:dyDescent="0.25">
      <c r="K2960" s="400"/>
    </row>
    <row r="2961" spans="11:11" x14ac:dyDescent="0.25">
      <c r="K2961" s="400"/>
    </row>
    <row r="2962" spans="11:11" x14ac:dyDescent="0.25">
      <c r="K2962" s="400"/>
    </row>
    <row r="2963" spans="11:11" x14ac:dyDescent="0.25">
      <c r="K2963" s="400"/>
    </row>
    <row r="2964" spans="11:11" x14ac:dyDescent="0.25">
      <c r="K2964" s="400"/>
    </row>
    <row r="2965" spans="11:11" x14ac:dyDescent="0.25">
      <c r="K2965" s="400"/>
    </row>
    <row r="2966" spans="11:11" x14ac:dyDescent="0.25">
      <c r="K2966" s="400"/>
    </row>
    <row r="2967" spans="11:11" x14ac:dyDescent="0.25">
      <c r="K2967" s="400"/>
    </row>
    <row r="2968" spans="11:11" x14ac:dyDescent="0.25">
      <c r="K2968" s="400"/>
    </row>
    <row r="2969" spans="11:11" x14ac:dyDescent="0.25">
      <c r="K2969" s="400"/>
    </row>
    <row r="2970" spans="11:11" x14ac:dyDescent="0.25">
      <c r="K2970" s="400"/>
    </row>
    <row r="2971" spans="11:11" x14ac:dyDescent="0.25">
      <c r="K2971" s="400"/>
    </row>
    <row r="2972" spans="11:11" x14ac:dyDescent="0.25">
      <c r="K2972" s="400"/>
    </row>
    <row r="2973" spans="11:11" x14ac:dyDescent="0.25">
      <c r="K2973" s="400"/>
    </row>
    <row r="2974" spans="11:11" x14ac:dyDescent="0.25">
      <c r="K2974" s="400"/>
    </row>
    <row r="2975" spans="11:11" x14ac:dyDescent="0.25">
      <c r="K2975" s="400"/>
    </row>
    <row r="2976" spans="11:11" x14ac:dyDescent="0.25">
      <c r="K2976" s="400"/>
    </row>
    <row r="2977" spans="11:11" x14ac:dyDescent="0.25">
      <c r="K2977" s="400"/>
    </row>
    <row r="2978" spans="11:11" x14ac:dyDescent="0.25">
      <c r="K2978" s="400"/>
    </row>
    <row r="2979" spans="11:11" x14ac:dyDescent="0.25">
      <c r="K2979" s="400"/>
    </row>
    <row r="2980" spans="11:11" x14ac:dyDescent="0.25">
      <c r="K2980" s="400"/>
    </row>
    <row r="2981" spans="11:11" x14ac:dyDescent="0.25">
      <c r="K2981" s="400"/>
    </row>
    <row r="2982" spans="11:11" x14ac:dyDescent="0.25">
      <c r="K2982" s="400"/>
    </row>
    <row r="2983" spans="11:11" x14ac:dyDescent="0.25">
      <c r="K2983" s="400"/>
    </row>
    <row r="2984" spans="11:11" x14ac:dyDescent="0.25">
      <c r="K2984" s="400"/>
    </row>
    <row r="2985" spans="11:11" x14ac:dyDescent="0.25">
      <c r="K2985" s="400"/>
    </row>
    <row r="2986" spans="11:11" x14ac:dyDescent="0.25">
      <c r="K2986" s="400"/>
    </row>
    <row r="2987" spans="11:11" x14ac:dyDescent="0.25">
      <c r="K2987" s="400"/>
    </row>
    <row r="2988" spans="11:11" x14ac:dyDescent="0.25">
      <c r="K2988" s="400"/>
    </row>
    <row r="2989" spans="11:11" x14ac:dyDescent="0.25">
      <c r="K2989" s="400"/>
    </row>
    <row r="2990" spans="11:11" x14ac:dyDescent="0.25">
      <c r="K2990" s="400"/>
    </row>
    <row r="2991" spans="11:11" x14ac:dyDescent="0.25">
      <c r="K2991" s="400"/>
    </row>
    <row r="2992" spans="11:11" x14ac:dyDescent="0.25">
      <c r="K2992" s="400"/>
    </row>
    <row r="2993" spans="11:11" x14ac:dyDescent="0.25">
      <c r="K2993" s="400"/>
    </row>
    <row r="2994" spans="11:11" x14ac:dyDescent="0.25">
      <c r="K2994" s="400"/>
    </row>
    <row r="2995" spans="11:11" x14ac:dyDescent="0.25">
      <c r="K2995" s="400"/>
    </row>
    <row r="2996" spans="11:11" x14ac:dyDescent="0.25">
      <c r="K2996" s="400"/>
    </row>
    <row r="2997" spans="11:11" x14ac:dyDescent="0.25">
      <c r="K2997" s="400"/>
    </row>
    <row r="2998" spans="11:11" x14ac:dyDescent="0.25">
      <c r="K2998" s="400"/>
    </row>
    <row r="2999" spans="11:11" x14ac:dyDescent="0.25">
      <c r="K2999" s="400"/>
    </row>
    <row r="3000" spans="11:11" x14ac:dyDescent="0.25">
      <c r="K3000" s="400"/>
    </row>
    <row r="3001" spans="11:11" x14ac:dyDescent="0.25">
      <c r="K3001" s="400"/>
    </row>
    <row r="3002" spans="11:11" x14ac:dyDescent="0.25">
      <c r="K3002" s="400"/>
    </row>
    <row r="3003" spans="11:11" x14ac:dyDescent="0.25">
      <c r="K3003" s="400"/>
    </row>
    <row r="3004" spans="11:11" x14ac:dyDescent="0.25">
      <c r="K3004" s="400"/>
    </row>
    <row r="3005" spans="11:11" x14ac:dyDescent="0.25">
      <c r="K3005" s="400"/>
    </row>
    <row r="3006" spans="11:11" x14ac:dyDescent="0.25">
      <c r="K3006" s="400"/>
    </row>
    <row r="3007" spans="11:11" x14ac:dyDescent="0.25">
      <c r="K3007" s="400"/>
    </row>
    <row r="3008" spans="11:11" x14ac:dyDescent="0.25">
      <c r="K3008" s="400"/>
    </row>
    <row r="3009" spans="11:11" x14ac:dyDescent="0.25">
      <c r="K3009" s="400"/>
    </row>
    <row r="3010" spans="11:11" x14ac:dyDescent="0.25">
      <c r="K3010" s="400"/>
    </row>
    <row r="3011" spans="11:11" x14ac:dyDescent="0.25">
      <c r="K3011" s="400"/>
    </row>
    <row r="3012" spans="11:11" x14ac:dyDescent="0.25">
      <c r="K3012" s="400"/>
    </row>
    <row r="3013" spans="11:11" x14ac:dyDescent="0.25">
      <c r="K3013" s="400"/>
    </row>
    <row r="3014" spans="11:11" x14ac:dyDescent="0.25">
      <c r="K3014" s="400"/>
    </row>
    <row r="3015" spans="11:11" x14ac:dyDescent="0.25">
      <c r="K3015" s="400"/>
    </row>
    <row r="3016" spans="11:11" x14ac:dyDescent="0.25">
      <c r="K3016" s="400"/>
    </row>
    <row r="3017" spans="11:11" x14ac:dyDescent="0.25">
      <c r="K3017" s="400"/>
    </row>
    <row r="3018" spans="11:11" x14ac:dyDescent="0.25">
      <c r="K3018" s="400"/>
    </row>
    <row r="3019" spans="11:11" x14ac:dyDescent="0.25">
      <c r="K3019" s="400"/>
    </row>
    <row r="3020" spans="11:11" x14ac:dyDescent="0.25">
      <c r="K3020" s="400"/>
    </row>
    <row r="3021" spans="11:11" x14ac:dyDescent="0.25">
      <c r="K3021" s="400"/>
    </row>
    <row r="3022" spans="11:11" x14ac:dyDescent="0.25">
      <c r="K3022" s="400"/>
    </row>
    <row r="3023" spans="11:11" x14ac:dyDescent="0.25">
      <c r="K3023" s="400"/>
    </row>
    <row r="3024" spans="11:11" x14ac:dyDescent="0.25">
      <c r="K3024" s="400"/>
    </row>
    <row r="3025" spans="11:11" x14ac:dyDescent="0.25">
      <c r="K3025" s="400"/>
    </row>
    <row r="3026" spans="11:11" x14ac:dyDescent="0.25">
      <c r="K3026" s="400"/>
    </row>
    <row r="3027" spans="11:11" x14ac:dyDescent="0.25">
      <c r="K3027" s="400"/>
    </row>
    <row r="3028" spans="11:11" x14ac:dyDescent="0.25">
      <c r="K3028" s="400"/>
    </row>
    <row r="3029" spans="11:11" x14ac:dyDescent="0.25">
      <c r="K3029" s="400"/>
    </row>
    <row r="3030" spans="11:11" x14ac:dyDescent="0.25">
      <c r="K3030" s="400"/>
    </row>
    <row r="3031" spans="11:11" x14ac:dyDescent="0.25">
      <c r="K3031" s="400"/>
    </row>
    <row r="3032" spans="11:11" x14ac:dyDescent="0.25">
      <c r="K3032" s="400"/>
    </row>
    <row r="3033" spans="11:11" x14ac:dyDescent="0.25">
      <c r="K3033" s="400"/>
    </row>
    <row r="3034" spans="11:11" x14ac:dyDescent="0.25">
      <c r="K3034" s="400"/>
    </row>
    <row r="3035" spans="11:11" x14ac:dyDescent="0.25">
      <c r="K3035" s="400"/>
    </row>
    <row r="3036" spans="11:11" x14ac:dyDescent="0.25">
      <c r="K3036" s="400"/>
    </row>
    <row r="3037" spans="11:11" x14ac:dyDescent="0.25">
      <c r="K3037" s="400"/>
    </row>
    <row r="3038" spans="11:11" x14ac:dyDescent="0.25">
      <c r="K3038" s="400"/>
    </row>
    <row r="3039" spans="11:11" x14ac:dyDescent="0.25">
      <c r="K3039" s="400"/>
    </row>
    <row r="3040" spans="11:11" x14ac:dyDescent="0.25">
      <c r="K3040" s="400"/>
    </row>
    <row r="3041" spans="11:11" x14ac:dyDescent="0.25">
      <c r="K3041" s="400"/>
    </row>
    <row r="3042" spans="11:11" x14ac:dyDescent="0.25">
      <c r="K3042" s="400"/>
    </row>
    <row r="3043" spans="11:11" x14ac:dyDescent="0.25">
      <c r="K3043" s="400"/>
    </row>
    <row r="3044" spans="11:11" x14ac:dyDescent="0.25">
      <c r="K3044" s="400"/>
    </row>
    <row r="3045" spans="11:11" x14ac:dyDescent="0.25">
      <c r="K3045" s="400"/>
    </row>
    <row r="3046" spans="11:11" x14ac:dyDescent="0.25">
      <c r="K3046" s="400"/>
    </row>
    <row r="3047" spans="11:11" x14ac:dyDescent="0.25">
      <c r="K3047" s="400"/>
    </row>
    <row r="3048" spans="11:11" x14ac:dyDescent="0.25">
      <c r="K3048" s="400"/>
    </row>
    <row r="3049" spans="11:11" x14ac:dyDescent="0.25">
      <c r="K3049" s="400"/>
    </row>
    <row r="3050" spans="11:11" x14ac:dyDescent="0.25">
      <c r="K3050" s="400"/>
    </row>
    <row r="3051" spans="11:11" x14ac:dyDescent="0.25">
      <c r="K3051" s="400"/>
    </row>
    <row r="3052" spans="11:11" x14ac:dyDescent="0.25">
      <c r="K3052" s="400"/>
    </row>
    <row r="3053" spans="11:11" x14ac:dyDescent="0.25">
      <c r="K3053" s="400"/>
    </row>
    <row r="3054" spans="11:11" x14ac:dyDescent="0.25">
      <c r="K3054" s="400"/>
    </row>
    <row r="3055" spans="11:11" x14ac:dyDescent="0.25">
      <c r="K3055" s="400"/>
    </row>
    <row r="3056" spans="11:11" x14ac:dyDescent="0.25">
      <c r="K3056" s="400"/>
    </row>
    <row r="3057" spans="11:11" x14ac:dyDescent="0.25">
      <c r="K3057" s="400"/>
    </row>
    <row r="3058" spans="11:11" x14ac:dyDescent="0.25">
      <c r="K3058" s="400"/>
    </row>
    <row r="3059" spans="11:11" x14ac:dyDescent="0.25">
      <c r="K3059" s="400"/>
    </row>
    <row r="3060" spans="11:11" x14ac:dyDescent="0.25">
      <c r="K3060" s="400"/>
    </row>
    <row r="3061" spans="11:11" x14ac:dyDescent="0.25">
      <c r="K3061" s="400"/>
    </row>
    <row r="3062" spans="11:11" x14ac:dyDescent="0.25">
      <c r="K3062" s="400"/>
    </row>
    <row r="3063" spans="11:11" x14ac:dyDescent="0.25">
      <c r="K3063" s="400"/>
    </row>
    <row r="3064" spans="11:11" x14ac:dyDescent="0.25">
      <c r="K3064" s="400"/>
    </row>
    <row r="3065" spans="11:11" x14ac:dyDescent="0.25">
      <c r="K3065" s="400"/>
    </row>
    <row r="3066" spans="11:11" x14ac:dyDescent="0.25">
      <c r="K3066" s="400"/>
    </row>
    <row r="3067" spans="11:11" x14ac:dyDescent="0.25">
      <c r="K3067" s="400"/>
    </row>
    <row r="3068" spans="11:11" x14ac:dyDescent="0.25">
      <c r="K3068" s="400"/>
    </row>
    <row r="3069" spans="11:11" x14ac:dyDescent="0.25">
      <c r="K3069" s="400"/>
    </row>
    <row r="3070" spans="11:11" x14ac:dyDescent="0.25">
      <c r="K3070" s="400"/>
    </row>
    <row r="3071" spans="11:11" x14ac:dyDescent="0.25">
      <c r="K3071" s="400"/>
    </row>
    <row r="3072" spans="11:11" x14ac:dyDescent="0.25">
      <c r="K3072" s="400"/>
    </row>
    <row r="3073" spans="11:11" x14ac:dyDescent="0.25">
      <c r="K3073" s="400"/>
    </row>
    <row r="3074" spans="11:11" x14ac:dyDescent="0.25">
      <c r="K3074" s="400"/>
    </row>
    <row r="3075" spans="11:11" x14ac:dyDescent="0.25">
      <c r="K3075" s="400"/>
    </row>
    <row r="3076" spans="11:11" x14ac:dyDescent="0.25">
      <c r="K3076" s="400"/>
    </row>
    <row r="3077" spans="11:11" x14ac:dyDescent="0.25">
      <c r="K3077" s="400"/>
    </row>
    <row r="3078" spans="11:11" x14ac:dyDescent="0.25">
      <c r="K3078" s="400"/>
    </row>
    <row r="3079" spans="11:11" x14ac:dyDescent="0.25">
      <c r="K3079" s="400"/>
    </row>
    <row r="3080" spans="11:11" x14ac:dyDescent="0.25">
      <c r="K3080" s="400"/>
    </row>
    <row r="3081" spans="11:11" x14ac:dyDescent="0.25">
      <c r="K3081" s="400"/>
    </row>
    <row r="3082" spans="11:11" x14ac:dyDescent="0.25">
      <c r="K3082" s="400"/>
    </row>
    <row r="3083" spans="11:11" x14ac:dyDescent="0.25">
      <c r="K3083" s="400"/>
    </row>
    <row r="3084" spans="11:11" x14ac:dyDescent="0.25">
      <c r="K3084" s="400"/>
    </row>
    <row r="3085" spans="11:11" x14ac:dyDescent="0.25">
      <c r="K3085" s="400"/>
    </row>
    <row r="3086" spans="11:11" x14ac:dyDescent="0.25">
      <c r="K3086" s="400"/>
    </row>
    <row r="3087" spans="11:11" x14ac:dyDescent="0.25">
      <c r="K3087" s="400"/>
    </row>
    <row r="3088" spans="11:11" x14ac:dyDescent="0.25">
      <c r="K3088" s="400"/>
    </row>
    <row r="3089" spans="11:11" x14ac:dyDescent="0.25">
      <c r="K3089" s="400"/>
    </row>
    <row r="3090" spans="11:11" x14ac:dyDescent="0.25">
      <c r="K3090" s="400"/>
    </row>
    <row r="3091" spans="11:11" x14ac:dyDescent="0.25">
      <c r="K3091" s="400"/>
    </row>
    <row r="3092" spans="11:11" x14ac:dyDescent="0.25">
      <c r="K3092" s="400"/>
    </row>
    <row r="3093" spans="11:11" x14ac:dyDescent="0.25">
      <c r="K3093" s="400"/>
    </row>
    <row r="3094" spans="11:11" x14ac:dyDescent="0.25">
      <c r="K3094" s="400"/>
    </row>
    <row r="3095" spans="11:11" x14ac:dyDescent="0.25">
      <c r="K3095" s="400"/>
    </row>
    <row r="3096" spans="11:11" x14ac:dyDescent="0.25">
      <c r="K3096" s="400"/>
    </row>
    <row r="3097" spans="11:11" x14ac:dyDescent="0.25">
      <c r="K3097" s="400"/>
    </row>
    <row r="3098" spans="11:11" x14ac:dyDescent="0.25">
      <c r="K3098" s="400"/>
    </row>
    <row r="3099" spans="11:11" x14ac:dyDescent="0.25">
      <c r="K3099" s="400"/>
    </row>
    <row r="3100" spans="11:11" x14ac:dyDescent="0.25">
      <c r="K3100" s="400"/>
    </row>
    <row r="3101" spans="11:11" x14ac:dyDescent="0.25">
      <c r="K3101" s="400"/>
    </row>
    <row r="3102" spans="11:11" x14ac:dyDescent="0.25">
      <c r="K3102" s="400"/>
    </row>
    <row r="3103" spans="11:11" x14ac:dyDescent="0.25">
      <c r="K3103" s="400"/>
    </row>
    <row r="3104" spans="11:11" x14ac:dyDescent="0.25">
      <c r="K3104" s="400"/>
    </row>
    <row r="3105" spans="11:11" x14ac:dyDescent="0.25">
      <c r="K3105" s="400"/>
    </row>
    <row r="3106" spans="11:11" x14ac:dyDescent="0.25">
      <c r="K3106" s="400"/>
    </row>
    <row r="3107" spans="11:11" x14ac:dyDescent="0.25">
      <c r="K3107" s="400"/>
    </row>
    <row r="3108" spans="11:11" x14ac:dyDescent="0.25">
      <c r="K3108" s="400"/>
    </row>
    <row r="3109" spans="11:11" x14ac:dyDescent="0.25">
      <c r="K3109" s="400"/>
    </row>
    <row r="3110" spans="11:11" x14ac:dyDescent="0.25">
      <c r="K3110" s="400"/>
    </row>
    <row r="3111" spans="11:11" x14ac:dyDescent="0.25">
      <c r="K3111" s="400"/>
    </row>
    <row r="3112" spans="11:11" x14ac:dyDescent="0.25">
      <c r="K3112" s="400"/>
    </row>
    <row r="3113" spans="11:11" x14ac:dyDescent="0.25">
      <c r="K3113" s="400"/>
    </row>
    <row r="3114" spans="11:11" x14ac:dyDescent="0.25">
      <c r="K3114" s="400"/>
    </row>
    <row r="3115" spans="11:11" x14ac:dyDescent="0.25">
      <c r="K3115" s="400"/>
    </row>
    <row r="3116" spans="11:11" x14ac:dyDescent="0.25">
      <c r="K3116" s="400"/>
    </row>
    <row r="3117" spans="11:11" x14ac:dyDescent="0.25">
      <c r="K3117" s="400"/>
    </row>
    <row r="3118" spans="11:11" x14ac:dyDescent="0.25">
      <c r="K3118" s="400"/>
    </row>
    <row r="3119" spans="11:11" x14ac:dyDescent="0.25">
      <c r="K3119" s="400"/>
    </row>
    <row r="3120" spans="11:11" x14ac:dyDescent="0.25">
      <c r="K3120" s="400"/>
    </row>
    <row r="3121" spans="11:11" x14ac:dyDescent="0.25">
      <c r="K3121" s="400"/>
    </row>
    <row r="3122" spans="11:11" x14ac:dyDescent="0.25">
      <c r="K3122" s="400"/>
    </row>
    <row r="3123" spans="11:11" x14ac:dyDescent="0.25">
      <c r="K3123" s="400"/>
    </row>
    <row r="3124" spans="11:11" x14ac:dyDescent="0.25">
      <c r="K3124" s="400"/>
    </row>
    <row r="3125" spans="11:11" x14ac:dyDescent="0.25">
      <c r="K3125" s="400"/>
    </row>
    <row r="3126" spans="11:11" x14ac:dyDescent="0.25">
      <c r="K3126" s="400"/>
    </row>
    <row r="3127" spans="11:11" x14ac:dyDescent="0.25">
      <c r="K3127" s="400"/>
    </row>
    <row r="3128" spans="11:11" x14ac:dyDescent="0.25">
      <c r="K3128" s="400"/>
    </row>
    <row r="3129" spans="11:11" x14ac:dyDescent="0.25">
      <c r="K3129" s="400"/>
    </row>
    <row r="3130" spans="11:11" x14ac:dyDescent="0.25">
      <c r="K3130" s="400"/>
    </row>
    <row r="3131" spans="11:11" x14ac:dyDescent="0.25">
      <c r="K3131" s="400"/>
    </row>
    <row r="3132" spans="11:11" x14ac:dyDescent="0.25">
      <c r="K3132" s="400"/>
    </row>
    <row r="3133" spans="11:11" x14ac:dyDescent="0.25">
      <c r="K3133" s="400"/>
    </row>
    <row r="3134" spans="11:11" x14ac:dyDescent="0.25">
      <c r="K3134" s="400"/>
    </row>
    <row r="3135" spans="11:11" x14ac:dyDescent="0.25">
      <c r="K3135" s="400"/>
    </row>
    <row r="3136" spans="11:11" x14ac:dyDescent="0.25">
      <c r="K3136" s="400"/>
    </row>
    <row r="3137" spans="11:11" x14ac:dyDescent="0.25">
      <c r="K3137" s="400"/>
    </row>
    <row r="3138" spans="11:11" x14ac:dyDescent="0.25">
      <c r="K3138" s="400"/>
    </row>
    <row r="3139" spans="11:11" x14ac:dyDescent="0.25">
      <c r="K3139" s="400"/>
    </row>
    <row r="3140" spans="11:11" x14ac:dyDescent="0.25">
      <c r="K3140" s="400"/>
    </row>
    <row r="3141" spans="11:11" x14ac:dyDescent="0.25">
      <c r="K3141" s="400"/>
    </row>
    <row r="3142" spans="11:11" x14ac:dyDescent="0.25">
      <c r="K3142" s="400"/>
    </row>
    <row r="3143" spans="11:11" x14ac:dyDescent="0.25">
      <c r="K3143" s="400"/>
    </row>
    <row r="3144" spans="11:11" x14ac:dyDescent="0.25">
      <c r="K3144" s="400"/>
    </row>
    <row r="3145" spans="11:11" x14ac:dyDescent="0.25">
      <c r="K3145" s="400"/>
    </row>
    <row r="3146" spans="11:11" x14ac:dyDescent="0.25">
      <c r="K3146" s="400"/>
    </row>
    <row r="3147" spans="11:11" x14ac:dyDescent="0.25">
      <c r="K3147" s="400"/>
    </row>
    <row r="3148" spans="11:11" x14ac:dyDescent="0.25">
      <c r="K3148" s="400"/>
    </row>
    <row r="3149" spans="11:11" x14ac:dyDescent="0.25">
      <c r="K3149" s="400"/>
    </row>
    <row r="3150" spans="11:11" x14ac:dyDescent="0.25">
      <c r="K3150" s="400"/>
    </row>
    <row r="3151" spans="11:11" x14ac:dyDescent="0.25">
      <c r="K3151" s="400"/>
    </row>
    <row r="3152" spans="11:11" x14ac:dyDescent="0.25">
      <c r="K3152" s="400"/>
    </row>
    <row r="3153" spans="11:11" x14ac:dyDescent="0.25">
      <c r="K3153" s="400"/>
    </row>
    <row r="3154" spans="11:11" x14ac:dyDescent="0.25">
      <c r="K3154" s="400"/>
    </row>
    <row r="3155" spans="11:11" x14ac:dyDescent="0.25">
      <c r="K3155" s="400"/>
    </row>
    <row r="3156" spans="11:11" x14ac:dyDescent="0.25">
      <c r="K3156" s="400"/>
    </row>
    <row r="3157" spans="11:11" x14ac:dyDescent="0.25">
      <c r="K3157" s="400"/>
    </row>
    <row r="3158" spans="11:11" x14ac:dyDescent="0.25">
      <c r="K3158" s="400"/>
    </row>
    <row r="3159" spans="11:11" x14ac:dyDescent="0.25">
      <c r="K3159" s="400"/>
    </row>
    <row r="3160" spans="11:11" x14ac:dyDescent="0.25">
      <c r="K3160" s="400"/>
    </row>
    <row r="3161" spans="11:11" x14ac:dyDescent="0.25">
      <c r="K3161" s="400"/>
    </row>
    <row r="3162" spans="11:11" x14ac:dyDescent="0.25">
      <c r="K3162" s="400"/>
    </row>
    <row r="3163" spans="11:11" x14ac:dyDescent="0.25">
      <c r="K3163" s="400"/>
    </row>
    <row r="3164" spans="11:11" x14ac:dyDescent="0.25">
      <c r="K3164" s="400"/>
    </row>
    <row r="3165" spans="11:11" x14ac:dyDescent="0.25">
      <c r="K3165" s="400"/>
    </row>
    <row r="3166" spans="11:11" x14ac:dyDescent="0.25">
      <c r="K3166" s="400"/>
    </row>
    <row r="3167" spans="11:11" x14ac:dyDescent="0.25">
      <c r="K3167" s="400"/>
    </row>
    <row r="3168" spans="11:11" x14ac:dyDescent="0.25">
      <c r="K3168" s="400"/>
    </row>
    <row r="3169" spans="11:11" x14ac:dyDescent="0.25">
      <c r="K3169" s="400"/>
    </row>
    <row r="3170" spans="11:11" x14ac:dyDescent="0.25">
      <c r="K3170" s="400"/>
    </row>
    <row r="3171" spans="11:11" x14ac:dyDescent="0.25">
      <c r="K3171" s="400"/>
    </row>
    <row r="3172" spans="11:11" x14ac:dyDescent="0.25">
      <c r="K3172" s="400"/>
    </row>
    <row r="3173" spans="11:11" x14ac:dyDescent="0.25">
      <c r="K3173" s="400"/>
    </row>
    <row r="3174" spans="11:11" x14ac:dyDescent="0.25">
      <c r="K3174" s="400"/>
    </row>
    <row r="3175" spans="11:11" x14ac:dyDescent="0.25">
      <c r="K3175" s="400"/>
    </row>
    <row r="3176" spans="11:11" x14ac:dyDescent="0.25">
      <c r="K3176" s="400"/>
    </row>
    <row r="3177" spans="11:11" x14ac:dyDescent="0.25">
      <c r="K3177" s="400"/>
    </row>
    <row r="3178" spans="11:11" x14ac:dyDescent="0.25">
      <c r="K3178" s="400"/>
    </row>
    <row r="3179" spans="11:11" x14ac:dyDescent="0.25">
      <c r="K3179" s="400"/>
    </row>
    <row r="3180" spans="11:11" x14ac:dyDescent="0.25">
      <c r="K3180" s="400"/>
    </row>
    <row r="3181" spans="11:11" x14ac:dyDescent="0.25">
      <c r="K3181" s="400"/>
    </row>
    <row r="3182" spans="11:11" x14ac:dyDescent="0.25">
      <c r="K3182" s="400"/>
    </row>
    <row r="3183" spans="11:11" x14ac:dyDescent="0.25">
      <c r="K3183" s="400"/>
    </row>
    <row r="3184" spans="11:11" x14ac:dyDescent="0.25">
      <c r="K3184" s="400"/>
    </row>
    <row r="3185" spans="11:11" x14ac:dyDescent="0.25">
      <c r="K3185" s="400"/>
    </row>
    <row r="3186" spans="11:11" x14ac:dyDescent="0.25">
      <c r="K3186" s="400"/>
    </row>
    <row r="3187" spans="11:11" x14ac:dyDescent="0.25">
      <c r="K3187" s="400"/>
    </row>
    <row r="3188" spans="11:11" x14ac:dyDescent="0.25">
      <c r="K3188" s="400"/>
    </row>
    <row r="3189" spans="11:11" x14ac:dyDescent="0.25">
      <c r="K3189" s="400"/>
    </row>
    <row r="3190" spans="11:11" x14ac:dyDescent="0.25">
      <c r="K3190" s="400"/>
    </row>
    <row r="3191" spans="11:11" x14ac:dyDescent="0.25">
      <c r="K3191" s="400"/>
    </row>
    <row r="3192" spans="11:11" x14ac:dyDescent="0.25">
      <c r="K3192" s="400"/>
    </row>
    <row r="3193" spans="11:11" x14ac:dyDescent="0.25">
      <c r="K3193" s="400"/>
    </row>
    <row r="3194" spans="11:11" x14ac:dyDescent="0.25">
      <c r="K3194" s="400"/>
    </row>
    <row r="3195" spans="11:11" x14ac:dyDescent="0.25">
      <c r="K3195" s="400"/>
    </row>
    <row r="3196" spans="11:11" x14ac:dyDescent="0.25">
      <c r="K3196" s="400"/>
    </row>
    <row r="3197" spans="11:11" x14ac:dyDescent="0.25">
      <c r="K3197" s="400"/>
    </row>
    <row r="3198" spans="11:11" x14ac:dyDescent="0.25">
      <c r="K3198" s="400"/>
    </row>
    <row r="3199" spans="11:11" x14ac:dyDescent="0.25">
      <c r="K3199" s="400"/>
    </row>
    <row r="3200" spans="11:11" x14ac:dyDescent="0.25">
      <c r="K3200" s="400"/>
    </row>
    <row r="3201" spans="11:11" x14ac:dyDescent="0.25">
      <c r="K3201" s="400"/>
    </row>
    <row r="3202" spans="11:11" x14ac:dyDescent="0.25">
      <c r="K3202" s="400"/>
    </row>
    <row r="3203" spans="11:11" x14ac:dyDescent="0.25">
      <c r="K3203" s="400"/>
    </row>
    <row r="3204" spans="11:11" x14ac:dyDescent="0.25">
      <c r="K3204" s="400"/>
    </row>
    <row r="3205" spans="11:11" x14ac:dyDescent="0.25">
      <c r="K3205" s="400"/>
    </row>
    <row r="3206" spans="11:11" x14ac:dyDescent="0.25">
      <c r="K3206" s="400"/>
    </row>
    <row r="3207" spans="11:11" x14ac:dyDescent="0.25">
      <c r="K3207" s="400"/>
    </row>
    <row r="3208" spans="11:11" x14ac:dyDescent="0.25">
      <c r="K3208" s="400"/>
    </row>
    <row r="3209" spans="11:11" x14ac:dyDescent="0.25">
      <c r="K3209" s="400"/>
    </row>
    <row r="3210" spans="11:11" x14ac:dyDescent="0.25">
      <c r="K3210" s="400"/>
    </row>
    <row r="3211" spans="11:11" x14ac:dyDescent="0.25">
      <c r="K3211" s="400"/>
    </row>
    <row r="3212" spans="11:11" x14ac:dyDescent="0.25">
      <c r="K3212" s="400"/>
    </row>
    <row r="3213" spans="11:11" x14ac:dyDescent="0.25">
      <c r="K3213" s="400"/>
    </row>
    <row r="3214" spans="11:11" x14ac:dyDescent="0.25">
      <c r="K3214" s="400"/>
    </row>
    <row r="3215" spans="11:11" x14ac:dyDescent="0.25">
      <c r="K3215" s="400"/>
    </row>
    <row r="3216" spans="11:11" x14ac:dyDescent="0.25">
      <c r="K3216" s="400"/>
    </row>
    <row r="3217" spans="11:11" x14ac:dyDescent="0.25">
      <c r="K3217" s="400"/>
    </row>
    <row r="3218" spans="11:11" x14ac:dyDescent="0.25">
      <c r="K3218" s="400"/>
    </row>
    <row r="3219" spans="11:11" x14ac:dyDescent="0.25">
      <c r="K3219" s="400"/>
    </row>
    <row r="3220" spans="11:11" x14ac:dyDescent="0.25">
      <c r="K3220" s="400"/>
    </row>
    <row r="3221" spans="11:11" x14ac:dyDescent="0.25">
      <c r="K3221" s="400"/>
    </row>
    <row r="3222" spans="11:11" x14ac:dyDescent="0.25">
      <c r="K3222" s="400"/>
    </row>
    <row r="3223" spans="11:11" x14ac:dyDescent="0.25">
      <c r="K3223" s="400"/>
    </row>
    <row r="3224" spans="11:11" x14ac:dyDescent="0.25">
      <c r="K3224" s="400"/>
    </row>
    <row r="3225" spans="11:11" x14ac:dyDescent="0.25">
      <c r="K3225" s="400"/>
    </row>
    <row r="3226" spans="11:11" x14ac:dyDescent="0.25">
      <c r="K3226" s="400"/>
    </row>
    <row r="3227" spans="11:11" x14ac:dyDescent="0.25">
      <c r="K3227" s="400"/>
    </row>
    <row r="3228" spans="11:11" x14ac:dyDescent="0.25">
      <c r="K3228" s="400"/>
    </row>
    <row r="3229" spans="11:11" x14ac:dyDescent="0.25">
      <c r="K3229" s="400"/>
    </row>
    <row r="3230" spans="11:11" x14ac:dyDescent="0.25">
      <c r="K3230" s="400"/>
    </row>
    <row r="3231" spans="11:11" x14ac:dyDescent="0.25">
      <c r="K3231" s="400"/>
    </row>
    <row r="3232" spans="11:11" x14ac:dyDescent="0.25">
      <c r="K3232" s="400"/>
    </row>
    <row r="3233" spans="11:11" x14ac:dyDescent="0.25">
      <c r="K3233" s="400"/>
    </row>
    <row r="3234" spans="11:11" x14ac:dyDescent="0.25">
      <c r="K3234" s="400"/>
    </row>
    <row r="3235" spans="11:11" x14ac:dyDescent="0.25">
      <c r="K3235" s="400"/>
    </row>
    <row r="3236" spans="11:11" x14ac:dyDescent="0.25">
      <c r="K3236" s="400"/>
    </row>
    <row r="3237" spans="11:11" x14ac:dyDescent="0.25">
      <c r="K3237" s="400"/>
    </row>
    <row r="3238" spans="11:11" x14ac:dyDescent="0.25">
      <c r="K3238" s="400"/>
    </row>
    <row r="3239" spans="11:11" x14ac:dyDescent="0.25">
      <c r="K3239" s="400"/>
    </row>
    <row r="3240" spans="11:11" x14ac:dyDescent="0.25">
      <c r="K3240" s="400"/>
    </row>
    <row r="3241" spans="11:11" x14ac:dyDescent="0.25">
      <c r="K3241" s="400"/>
    </row>
    <row r="3242" spans="11:11" x14ac:dyDescent="0.25">
      <c r="K3242" s="400"/>
    </row>
    <row r="3243" spans="11:11" x14ac:dyDescent="0.25">
      <c r="K3243" s="400"/>
    </row>
    <row r="3244" spans="11:11" x14ac:dyDescent="0.25">
      <c r="K3244" s="400"/>
    </row>
    <row r="3245" spans="11:11" x14ac:dyDescent="0.25">
      <c r="K3245" s="400"/>
    </row>
    <row r="3246" spans="11:11" x14ac:dyDescent="0.25">
      <c r="K3246" s="400"/>
    </row>
    <row r="3247" spans="11:11" x14ac:dyDescent="0.25">
      <c r="K3247" s="400"/>
    </row>
    <row r="3248" spans="11:11" x14ac:dyDescent="0.25">
      <c r="K3248" s="400"/>
    </row>
    <row r="3249" spans="11:11" x14ac:dyDescent="0.25">
      <c r="K3249" s="400"/>
    </row>
    <row r="3250" spans="11:11" x14ac:dyDescent="0.25">
      <c r="K3250" s="400"/>
    </row>
    <row r="3251" spans="11:11" x14ac:dyDescent="0.25">
      <c r="K3251" s="400"/>
    </row>
    <row r="3252" spans="11:11" x14ac:dyDescent="0.25">
      <c r="K3252" s="400"/>
    </row>
    <row r="3253" spans="11:11" x14ac:dyDescent="0.25">
      <c r="K3253" s="400"/>
    </row>
    <row r="3254" spans="11:11" x14ac:dyDescent="0.25">
      <c r="K3254" s="400"/>
    </row>
    <row r="3255" spans="11:11" x14ac:dyDescent="0.25">
      <c r="K3255" s="400"/>
    </row>
    <row r="3256" spans="11:11" x14ac:dyDescent="0.25">
      <c r="K3256" s="400"/>
    </row>
    <row r="3257" spans="11:11" x14ac:dyDescent="0.25">
      <c r="K3257" s="400"/>
    </row>
  </sheetData>
  <autoFilter ref="A3:CS56" xr:uid="{00000000-0001-0000-0200-000000000000}"/>
  <mergeCells count="2">
    <mergeCell ref="G2:J2"/>
    <mergeCell ref="K2:M2"/>
  </mergeCells>
  <phoneticPr fontId="33" type="noConversion"/>
  <conditionalFormatting sqref="P4:P11">
    <cfRule type="containsText" dxfId="367" priority="283" operator="containsText" text="RILASCIATO IN ESERCIZIO">
      <formula>NOT(ISERROR(SEARCH("RILASCIATO IN ESERCIZIO",P4)))</formula>
    </cfRule>
  </conditionalFormatting>
  <conditionalFormatting sqref="P5:P9">
    <cfRule type="containsText" dxfId="366" priority="284" operator="containsText" text="RILASCIATO IN COLLAUDO">
      <formula>NOT(ISERROR(SEARCH("RILASCIATO IN COLLAUDO",P5)))</formula>
    </cfRule>
  </conditionalFormatting>
  <conditionalFormatting sqref="P11">
    <cfRule type="containsText" dxfId="365" priority="286" operator="containsText" text="RILASCIATO IN COLLAUDO">
      <formula>NOT(ISERROR(SEARCH("RILASCIATO IN COLLAUDO",P11)))</formula>
    </cfRule>
  </conditionalFormatting>
  <conditionalFormatting sqref="P14">
    <cfRule type="cellIs" dxfId="364" priority="20" operator="equal">
      <formula>"DA RIPIANIFICARE"</formula>
    </cfRule>
    <cfRule type="cellIs" dxfId="363" priority="21" operator="equal">
      <formula>"CANCELLATO"</formula>
    </cfRule>
    <cfRule type="containsText" dxfId="362" priority="22" operator="containsText" text="RILASCIATO IN COLLAUDO">
      <formula>NOT(ISERROR(SEARCH("RILASCIATO IN COLLAUDO",#REF!)))</formula>
    </cfRule>
    <cfRule type="cellIs" dxfId="361" priority="19" operator="equal">
      <formula>"COMPLETATO"</formula>
    </cfRule>
    <cfRule type="containsText" dxfId="360" priority="16" operator="containsText" text="RILASCIATO IN COLLAUDO">
      <formula>NOT(ISERROR(SEARCH("RILASCIATO IN COLLAUDO",P14)))</formula>
    </cfRule>
    <cfRule type="cellIs" dxfId="359" priority="17" operator="equal">
      <formula>"IN CORSO"</formula>
    </cfRule>
    <cfRule type="cellIs" dxfId="358" priority="18" operator="equal">
      <formula>"PIANIFICATO"</formula>
    </cfRule>
    <cfRule type="containsText" dxfId="357" priority="23" operator="containsText" text="RILASCIATO IN ESERCIZIO">
      <formula>NOT(ISERROR(SEARCH("RILASCIATO IN ESERCIZIO",P14)))</formula>
    </cfRule>
  </conditionalFormatting>
  <conditionalFormatting sqref="P14:P15">
    <cfRule type="containsText" dxfId="356" priority="24" operator="containsText" text="RILASCIATO IN COLLAUDO">
      <formula>NOT(ISERROR(SEARCH("RILASCIATO IN COLLAUDO",P14)))</formula>
    </cfRule>
  </conditionalFormatting>
  <conditionalFormatting sqref="P15">
    <cfRule type="cellIs" dxfId="355" priority="28" operator="equal">
      <formula>"COMPLETATO"</formula>
    </cfRule>
    <cfRule type="cellIs" dxfId="354" priority="26" operator="equal">
      <formula>"IN CORSO"</formula>
    </cfRule>
    <cfRule type="cellIs" dxfId="353" priority="27" operator="equal">
      <formula>"PIANIFICATO"</formula>
    </cfRule>
    <cfRule type="cellIs" dxfId="352" priority="29" operator="equal">
      <formula>"DA RIPIANIFICARE"</formula>
    </cfRule>
    <cfRule type="cellIs" dxfId="351" priority="30" operator="equal">
      <formula>"CANCELLATO"</formula>
    </cfRule>
    <cfRule type="containsText" dxfId="350" priority="31" operator="containsText" text="RILASCIATO IN COLLAUDO">
      <formula>NOT(ISERROR(SEARCH("RILASCIATO IN COLLAUDO",#REF!)))</formula>
    </cfRule>
    <cfRule type="containsText" dxfId="349" priority="32" operator="containsText" text="RILASCIATO IN ESERCIZIO">
      <formula>NOT(ISERROR(SEARCH("RILASCIATO IN ESERCIZIO",P15)))</formula>
    </cfRule>
    <cfRule type="containsText" dxfId="348" priority="33" operator="containsText" text="RILASCIATO IN COLLAUDO">
      <formula>NOT(ISERROR(SEARCH("RILASCIATO IN COLLAUDO",P15)))</formula>
    </cfRule>
  </conditionalFormatting>
  <conditionalFormatting sqref="P17">
    <cfRule type="cellIs" dxfId="347" priority="2" operator="equal">
      <formula>"IN CORSO"</formula>
    </cfRule>
    <cfRule type="cellIs" dxfId="346" priority="3" operator="equal">
      <formula>"PIANIFICATO"</formula>
    </cfRule>
    <cfRule type="cellIs" dxfId="345" priority="4" operator="equal">
      <formula>"COMPLETATO"</formula>
    </cfRule>
    <cfRule type="cellIs" dxfId="344" priority="5" operator="equal">
      <formula>"DA RIPIANIFICARE"</formula>
    </cfRule>
    <cfRule type="cellIs" dxfId="343" priority="6" operator="equal">
      <formula>"CANCELLATO"</formula>
    </cfRule>
    <cfRule type="containsText" dxfId="342" priority="7" operator="containsText" text="RILASCIATO IN COLLAUDO">
      <formula>NOT(ISERROR(SEARCH("RILASCIATO IN COLLAUDO",#REF!)))</formula>
    </cfRule>
    <cfRule type="cellIs" dxfId="341" priority="8" operator="equal">
      <formula>"IN CORSO"</formula>
    </cfRule>
    <cfRule type="cellIs" dxfId="340" priority="9" operator="equal">
      <formula>"PIANIFICATO"</formula>
    </cfRule>
    <cfRule type="cellIs" dxfId="339" priority="10" operator="equal">
      <formula>"COMPLETATO"</formula>
    </cfRule>
    <cfRule type="cellIs" dxfId="338" priority="11" operator="equal">
      <formula>"DA RIPIANIFICARE"</formula>
    </cfRule>
    <cfRule type="containsText" dxfId="337" priority="13" operator="containsText" text="RILASCIATO IN COLLAUDO">
      <formula>NOT(ISERROR(SEARCH("RILASCIATO IN COLLAUDO",#REF!)))</formula>
    </cfRule>
    <cfRule type="containsText" dxfId="336" priority="1" operator="containsText" text="RILASCIATO IN COLLAUDO">
      <formula>NOT(ISERROR(SEARCH("RILASCIATO IN COLLAUDO",P17)))</formula>
    </cfRule>
    <cfRule type="containsText" dxfId="335" priority="15" operator="containsText" text="RILASCIATO IN COLLAUDO">
      <formula>NOT(ISERROR(SEARCH("RILASCIATO IN COLLAUDO",P17)))</formula>
    </cfRule>
    <cfRule type="containsText" dxfId="334" priority="14" operator="containsText" text="RILASCIATO IN ESERCIZIO">
      <formula>NOT(ISERROR(SEARCH("RILASCIATO IN ESERCIZIO",P17)))</formula>
    </cfRule>
    <cfRule type="cellIs" dxfId="333" priority="12" operator="equal">
      <formula>"CANCELLATO"</formula>
    </cfRule>
  </conditionalFormatting>
  <conditionalFormatting sqref="P19:P23">
    <cfRule type="containsText" dxfId="332" priority="288" operator="containsText" text="RILASCIATO IN COLLAUDO">
      <formula>NOT(ISERROR(SEARCH("RILASCIATO IN COLLAUDO",P19)))</formula>
    </cfRule>
    <cfRule type="containsText" dxfId="331" priority="287" operator="containsText" text="RILASCIATO IN ESERCIZIO">
      <formula>NOT(ISERROR(SEARCH("RILASCIATO IN ESERCIZIO",P19)))</formula>
    </cfRule>
  </conditionalFormatting>
  <conditionalFormatting sqref="P25">
    <cfRule type="cellIs" dxfId="330" priority="38" operator="equal">
      <formula>"DA RIPIANIFICARE"</formula>
    </cfRule>
    <cfRule type="cellIs" dxfId="329" priority="39" operator="equal">
      <formula>"CANCELLATO"</formula>
    </cfRule>
    <cfRule type="containsText" dxfId="328" priority="40" operator="containsText" text="RILASCIATO IN COLLAUDO">
      <formula>NOT(ISERROR(SEARCH("RILASCIATO IN COLLAUDO",#REF!)))</formula>
    </cfRule>
    <cfRule type="cellIs" dxfId="327" priority="41" operator="equal">
      <formula>"IN CORSO"</formula>
    </cfRule>
    <cfRule type="cellIs" dxfId="326" priority="42" operator="equal">
      <formula>"PIANIFICATO"</formula>
    </cfRule>
    <cfRule type="cellIs" dxfId="325" priority="43" operator="equal">
      <formula>"COMPLETATO"</formula>
    </cfRule>
    <cfRule type="cellIs" dxfId="324" priority="44" operator="equal">
      <formula>"DA RIPIANIFICARE"</formula>
    </cfRule>
    <cfRule type="cellIs" dxfId="323" priority="45" operator="equal">
      <formula>"CANCELLATO"</formula>
    </cfRule>
    <cfRule type="containsText" dxfId="322" priority="46" operator="containsText" text="RILASCIATO IN COLLAUDO">
      <formula>NOT(ISERROR(SEARCH("RILASCIATO IN COLLAUDO",#REF!)))</formula>
    </cfRule>
    <cfRule type="containsText" dxfId="321" priority="47" operator="containsText" text="RILASCIATO IN ESERCIZIO">
      <formula>NOT(ISERROR(SEARCH("RILASCIATO IN ESERCIZIO",P25)))</formula>
    </cfRule>
    <cfRule type="containsText" dxfId="320" priority="48" operator="containsText" text="RILASCIATO IN COLLAUDO">
      <formula>NOT(ISERROR(SEARCH("RILASCIATO IN COLLAUDO",P25)))</formula>
    </cfRule>
    <cfRule type="containsText" dxfId="319" priority="34" operator="containsText" text="RILASCIATO IN COLLAUDO">
      <formula>NOT(ISERROR(SEARCH("RILASCIATO IN COLLAUDO",P25)))</formula>
    </cfRule>
    <cfRule type="cellIs" dxfId="318" priority="35" operator="equal">
      <formula>"IN CORSO"</formula>
    </cfRule>
    <cfRule type="cellIs" dxfId="317" priority="36" operator="equal">
      <formula>"PIANIFICATO"</formula>
    </cfRule>
    <cfRule type="cellIs" dxfId="316" priority="37" operator="equal">
      <formula>"COMPLETATO"</formula>
    </cfRule>
  </conditionalFormatting>
  <conditionalFormatting sqref="P32">
    <cfRule type="containsText" dxfId="315" priority="282" operator="containsText" text="RILASCIATO IN COLLAUDO">
      <formula>NOT(ISERROR(SEARCH("RILASCIATO IN COLLAUDO",P32)))</formula>
    </cfRule>
    <cfRule type="cellIs" dxfId="314" priority="277" operator="equal">
      <formula>"COMPLETATO"</formula>
    </cfRule>
    <cfRule type="containsText" dxfId="313" priority="281" operator="containsText" text="RILASCIATO IN ESERCIZIO">
      <formula>NOT(ISERROR(SEARCH("RILASCIATO IN ESERCIZIO",P32)))</formula>
    </cfRule>
    <cfRule type="cellIs" dxfId="312" priority="269" operator="equal">
      <formula>"IN CORSO"</formula>
    </cfRule>
    <cfRule type="containsText" dxfId="311" priority="280" operator="containsText" text="RILASCIATO IN COLLAUDO">
      <formula>NOT(ISERROR(SEARCH("RILASCIATO IN COLLAUDO",#REF!)))</formula>
    </cfRule>
    <cfRule type="cellIs" dxfId="310" priority="270" operator="equal">
      <formula>"PIANIFICATO"</formula>
    </cfRule>
    <cfRule type="cellIs" dxfId="309" priority="271" operator="equal">
      <formula>"COMPLETATO"</formula>
    </cfRule>
    <cfRule type="cellIs" dxfId="308" priority="272" operator="equal">
      <formula>"DA RIPIANIFICARE"</formula>
    </cfRule>
    <cfRule type="cellIs" dxfId="307" priority="273" operator="equal">
      <formula>"CANCELLATO"</formula>
    </cfRule>
    <cfRule type="containsText" dxfId="306" priority="274" operator="containsText" text="RILASCIATO IN COLLAUDO">
      <formula>NOT(ISERROR(SEARCH("RILASCIATO IN COLLAUDO",#REF!)))</formula>
    </cfRule>
    <cfRule type="cellIs" dxfId="305" priority="275" operator="equal">
      <formula>"IN CORSO"</formula>
    </cfRule>
    <cfRule type="cellIs" dxfId="304" priority="279" operator="equal">
      <formula>"CANCELLATO"</formula>
    </cfRule>
    <cfRule type="cellIs" dxfId="303" priority="276" operator="equal">
      <formula>"PIANIFICATO"</formula>
    </cfRule>
    <cfRule type="cellIs" dxfId="302" priority="278" operator="equal">
      <formula>"DA RIPIANIFICARE"</formula>
    </cfRule>
  </conditionalFormatting>
  <conditionalFormatting sqref="P32:P33">
    <cfRule type="containsText" dxfId="301" priority="267" operator="containsText" text="RILASCIATO IN COLLAUDO">
      <formula>NOT(ISERROR(SEARCH("RILASCIATO IN COLLAUDO",P32)))</formula>
    </cfRule>
  </conditionalFormatting>
  <conditionalFormatting sqref="P33">
    <cfRule type="containsText" dxfId="300" priority="265" operator="containsText" text="RILASCIATO IN COLLAUDO">
      <formula>NOT(ISERROR(SEARCH("RILASCIATO IN COLLAUDO",#REF!)))</formula>
    </cfRule>
    <cfRule type="cellIs" dxfId="299" priority="264" operator="equal">
      <formula>"CANCELLATO"</formula>
    </cfRule>
    <cfRule type="cellIs" dxfId="298" priority="260" operator="equal">
      <formula>"IN CORSO"</formula>
    </cfRule>
    <cfRule type="cellIs" dxfId="297" priority="261" operator="equal">
      <formula>"PIANIFICATO"</formula>
    </cfRule>
    <cfRule type="cellIs" dxfId="296" priority="262" operator="equal">
      <formula>"COMPLETATO"</formula>
    </cfRule>
    <cfRule type="cellIs" dxfId="295" priority="263" operator="equal">
      <formula>"DA RIPIANIFICARE"</formula>
    </cfRule>
    <cfRule type="cellIs" dxfId="294" priority="254" operator="equal">
      <formula>"IN CORSO"</formula>
    </cfRule>
    <cfRule type="containsText" dxfId="293" priority="259" operator="containsText" text="RILASCIATO IN COLLAUDO">
      <formula>NOT(ISERROR(SEARCH("RILASCIATO IN COLLAUDO",#REF!)))</formula>
    </cfRule>
    <cfRule type="cellIs" dxfId="292" priority="258" operator="equal">
      <formula>"CANCELLATO"</formula>
    </cfRule>
    <cfRule type="containsText" dxfId="291" priority="266" operator="containsText" text="RILASCIATO IN ESERCIZIO">
      <formula>NOT(ISERROR(SEARCH("RILASCIATO IN ESERCIZIO",P33)))</formula>
    </cfRule>
    <cfRule type="cellIs" dxfId="290" priority="257" operator="equal">
      <formula>"DA RIPIANIFICARE"</formula>
    </cfRule>
    <cfRule type="cellIs" dxfId="289" priority="256" operator="equal">
      <formula>"COMPLETATO"</formula>
    </cfRule>
    <cfRule type="cellIs" dxfId="288" priority="255" operator="equal">
      <formula>"PIANIFICATO"</formula>
    </cfRule>
  </conditionalFormatting>
  <conditionalFormatting sqref="P33:P34">
    <cfRule type="containsText" dxfId="287" priority="252" operator="containsText" text="RILASCIATO IN COLLAUDO">
      <formula>NOT(ISERROR(SEARCH("RILASCIATO IN COLLAUDO",P33)))</formula>
    </cfRule>
  </conditionalFormatting>
  <conditionalFormatting sqref="P34">
    <cfRule type="containsText" dxfId="286" priority="244" operator="containsText" text="RILASCIATO IN COLLAUDO">
      <formula>NOT(ISERROR(SEARCH("RILASCIATO IN COLLAUDO",#REF!)))</formula>
    </cfRule>
    <cfRule type="cellIs" dxfId="285" priority="242" operator="equal">
      <formula>"DA RIPIANIFICARE"</formula>
    </cfRule>
    <cfRule type="cellIs" dxfId="284" priority="241" operator="equal">
      <formula>"COMPLETATO"</formula>
    </cfRule>
    <cfRule type="cellIs" dxfId="283" priority="239" operator="equal">
      <formula>"IN CORSO"</formula>
    </cfRule>
    <cfRule type="containsText" dxfId="282" priority="238" operator="containsText" text="RILASCIATO IN COLLAUDO">
      <formula>NOT(ISERROR(SEARCH("RILASCIATO IN COLLAUDO",P34)))</formula>
    </cfRule>
    <cfRule type="cellIs" dxfId="281" priority="247" operator="equal">
      <formula>"COMPLETATO"</formula>
    </cfRule>
    <cfRule type="cellIs" dxfId="280" priority="245" operator="equal">
      <formula>"IN CORSO"</formula>
    </cfRule>
    <cfRule type="cellIs" dxfId="279" priority="246" operator="equal">
      <formula>"PIANIFICATO"</formula>
    </cfRule>
    <cfRule type="cellIs" dxfId="278" priority="243" operator="equal">
      <formula>"CANCELLATO"</formula>
    </cfRule>
    <cfRule type="cellIs" dxfId="277" priority="240" operator="equal">
      <formula>"PIANIFICATO"</formula>
    </cfRule>
    <cfRule type="containsText" dxfId="276" priority="251" operator="containsText" text="RILASCIATO IN ESERCIZIO">
      <formula>NOT(ISERROR(SEARCH("RILASCIATO IN ESERCIZIO",P34)))</formula>
    </cfRule>
    <cfRule type="containsText" dxfId="275" priority="250" operator="containsText" text="RILASCIATO IN COLLAUDO">
      <formula>NOT(ISERROR(SEARCH("RILASCIATO IN COLLAUDO",#REF!)))</formula>
    </cfRule>
    <cfRule type="cellIs" dxfId="274" priority="249" operator="equal">
      <formula>"CANCELLATO"</formula>
    </cfRule>
    <cfRule type="cellIs" dxfId="273" priority="248" operator="equal">
      <formula>"DA RIPIANIFICARE"</formula>
    </cfRule>
  </conditionalFormatting>
  <conditionalFormatting sqref="P36">
    <cfRule type="containsText" dxfId="272" priority="205" operator="containsText" text="RILASCIATO IN ESERCIZIO">
      <formula>NOT(ISERROR(SEARCH("RILASCIATO IN ESERCIZIO",P36)))</formula>
    </cfRule>
    <cfRule type="containsText" dxfId="271" priority="191" operator="containsText" text="RILASCIATO IN COLLAUDO">
      <formula>NOT(ISERROR(SEARCH("RILASCIATO IN COLLAUDO",#REF!)))</formula>
    </cfRule>
    <cfRule type="cellIs" dxfId="270" priority="193" operator="equal">
      <formula>"IN CORSO"</formula>
    </cfRule>
    <cfRule type="cellIs" dxfId="269" priority="194" operator="equal">
      <formula>"PIANIFICATO"</formula>
    </cfRule>
    <cfRule type="cellIs" dxfId="268" priority="195" operator="equal">
      <formula>"COMPLETATO"</formula>
    </cfRule>
    <cfRule type="cellIs" dxfId="267" priority="196" operator="equal">
      <formula>"DA RIPIANIFICARE"</formula>
    </cfRule>
    <cfRule type="cellIs" dxfId="266" priority="197" operator="equal">
      <formula>"CANCELLATO"</formula>
    </cfRule>
    <cfRule type="containsText" dxfId="265" priority="198" operator="containsText" text="RILASCIATO IN COLLAUDO">
      <formula>NOT(ISERROR(SEARCH("RILASCIATO IN COLLAUDO",#REF!)))</formula>
    </cfRule>
    <cfRule type="cellIs" dxfId="264" priority="199" operator="equal">
      <formula>"IN CORSO"</formula>
    </cfRule>
    <cfRule type="cellIs" dxfId="263" priority="200" operator="equal">
      <formula>"PIANIFICATO"</formula>
    </cfRule>
    <cfRule type="cellIs" dxfId="262" priority="201" operator="equal">
      <formula>"COMPLETATO"</formula>
    </cfRule>
    <cfRule type="cellIs" dxfId="261" priority="202" operator="equal">
      <formula>"DA RIPIANIFICARE"</formula>
    </cfRule>
    <cfRule type="cellIs" dxfId="260" priority="203" operator="equal">
      <formula>"CANCELLATO"</formula>
    </cfRule>
  </conditionalFormatting>
  <conditionalFormatting sqref="P36:P37">
    <cfRule type="containsText" dxfId="259" priority="192" operator="containsText" text="RILASCIATO IN COLLAUDO">
      <formula>NOT(ISERROR(SEARCH("RILASCIATO IN COLLAUDO",P36)))</formula>
    </cfRule>
    <cfRule type="containsText" dxfId="258" priority="204" operator="containsText" text="RILASCIATO IN COLLAUDO">
      <formula>NOT(ISERROR(SEARCH("RILASCIATO IN COLLAUDO",#REF!)))</formula>
    </cfRule>
  </conditionalFormatting>
  <conditionalFormatting sqref="P37">
    <cfRule type="cellIs" dxfId="257" priority="212" operator="equal">
      <formula>"CANCELLATO"</formula>
    </cfRule>
    <cfRule type="cellIs" dxfId="256" priority="211" operator="equal">
      <formula>"DA RIPIANIFICARE"</formula>
    </cfRule>
    <cfRule type="cellIs" dxfId="255" priority="215" operator="equal">
      <formula>"PIANIFICATO"</formula>
    </cfRule>
    <cfRule type="containsText" dxfId="254" priority="220" operator="containsText" text="RILASCIATO IN ESERCIZIO">
      <formula>NOT(ISERROR(SEARCH("RILASCIATO IN ESERCIZIO",P37)))</formula>
    </cfRule>
    <cfRule type="cellIs" dxfId="253" priority="210" operator="equal">
      <formula>"COMPLETATO"</formula>
    </cfRule>
    <cfRule type="cellIs" dxfId="252" priority="209" operator="equal">
      <formula>"PIANIFICATO"</formula>
    </cfRule>
    <cfRule type="cellIs" dxfId="251" priority="208" operator="equal">
      <formula>"IN CORSO"</formula>
    </cfRule>
    <cfRule type="cellIs" dxfId="250" priority="216" operator="equal">
      <formula>"COMPLETATO"</formula>
    </cfRule>
    <cfRule type="containsText" dxfId="249" priority="213" operator="containsText" text="RILASCIATO IN COLLAUDO">
      <formula>NOT(ISERROR(SEARCH("RILASCIATO IN COLLAUDO",#REF!)))</formula>
    </cfRule>
    <cfRule type="cellIs" dxfId="248" priority="214" operator="equal">
      <formula>"IN CORSO"</formula>
    </cfRule>
    <cfRule type="containsText" dxfId="247" priority="221" operator="containsText" text="RILASCIATO IN COLLAUDO">
      <formula>NOT(ISERROR(SEARCH("RILASCIATO IN COLLAUDO",P37)))</formula>
    </cfRule>
    <cfRule type="containsText" dxfId="246" priority="219" operator="containsText" text="RILASCIATO IN COLLAUDO">
      <formula>NOT(ISERROR(SEARCH("RILASCIATO IN COLLAUDO",#REF!)))</formula>
    </cfRule>
    <cfRule type="cellIs" dxfId="245" priority="218" operator="equal">
      <formula>"CANCELLATO"</formula>
    </cfRule>
    <cfRule type="cellIs" dxfId="244" priority="217" operator="equal">
      <formula>"DA RIPIANIFICARE"</formula>
    </cfRule>
  </conditionalFormatting>
  <conditionalFormatting sqref="P39">
    <cfRule type="containsText" dxfId="243" priority="235" operator="containsText" text="RILASCIATO IN COLLAUDO">
      <formula>NOT(ISERROR(SEARCH("RILASCIATO IN COLLAUDO",#REF!)))</formula>
    </cfRule>
    <cfRule type="cellIs" dxfId="242" priority="234" operator="equal">
      <formula>"CANCELLATO"</formula>
    </cfRule>
    <cfRule type="cellIs" dxfId="241" priority="233" operator="equal">
      <formula>"DA RIPIANIFICARE"</formula>
    </cfRule>
    <cfRule type="cellIs" dxfId="240" priority="232" operator="equal">
      <formula>"COMPLETATO"</formula>
    </cfRule>
    <cfRule type="cellIs" dxfId="239" priority="231" operator="equal">
      <formula>"PIANIFICATO"</formula>
    </cfRule>
    <cfRule type="cellIs" dxfId="238" priority="230" operator="equal">
      <formula>"IN CORSO"</formula>
    </cfRule>
    <cfRule type="containsText" dxfId="237" priority="229" operator="containsText" text="RILASCIATO IN COLLAUDO">
      <formula>NOT(ISERROR(SEARCH("RILASCIATO IN COLLAUDO",#REF!)))</formula>
    </cfRule>
    <cfRule type="cellIs" dxfId="236" priority="228" operator="equal">
      <formula>"CANCELLATO"</formula>
    </cfRule>
    <cfRule type="cellIs" dxfId="235" priority="227" operator="equal">
      <formula>"DA RIPIANIFICARE"</formula>
    </cfRule>
    <cfRule type="cellIs" dxfId="234" priority="226" operator="equal">
      <formula>"COMPLETATO"</formula>
    </cfRule>
    <cfRule type="cellIs" dxfId="233" priority="225" operator="equal">
      <formula>"PIANIFICATO"</formula>
    </cfRule>
    <cfRule type="cellIs" dxfId="232" priority="224" operator="equal">
      <formula>"IN CORSO"</formula>
    </cfRule>
    <cfRule type="containsText" dxfId="231" priority="236" operator="containsText" text="RILASCIATO IN ESERCIZIO">
      <formula>NOT(ISERROR(SEARCH("RILASCIATO IN ESERCIZIO",P39)))</formula>
    </cfRule>
    <cfRule type="containsText" dxfId="230" priority="237" operator="containsText" text="RILASCIATO IN COLLAUDO">
      <formula>NOT(ISERROR(SEARCH("RILASCIATO IN COLLAUDO",P39)))</formula>
    </cfRule>
  </conditionalFormatting>
  <conditionalFormatting sqref="P39:P40">
    <cfRule type="containsText" dxfId="229" priority="167" operator="containsText" text="RILASCIATO IN COLLAUDO">
      <formula>NOT(ISERROR(SEARCH("RILASCIATO IN COLLAUDO",#REF!)))</formula>
    </cfRule>
    <cfRule type="containsText" dxfId="228" priority="174" operator="containsText" text="RILASCIATO IN COLLAUDO">
      <formula>NOT(ISERROR(SEARCH("RILASCIATO IN COLLAUDO",P39)))</formula>
    </cfRule>
  </conditionalFormatting>
  <conditionalFormatting sqref="P40">
    <cfRule type="cellIs" dxfId="227" priority="158" operator="equal">
      <formula>"COMPLETATO"</formula>
    </cfRule>
    <cfRule type="cellIs" dxfId="226" priority="159" operator="equal">
      <formula>"DA RIPIANIFICARE"</formula>
    </cfRule>
    <cfRule type="cellIs" dxfId="225" priority="160" operator="equal">
      <formula>"CANCELLATO"</formula>
    </cfRule>
    <cfRule type="containsText" dxfId="224" priority="161" operator="containsText" text="RILASCIATO IN COLLAUDO">
      <formula>NOT(ISERROR(SEARCH("RILASCIATO IN COLLAUDO",#REF!)))</formula>
    </cfRule>
    <cfRule type="cellIs" dxfId="223" priority="163" operator="equal">
      <formula>"PIANIFICATO"</formula>
    </cfRule>
    <cfRule type="cellIs" dxfId="222" priority="164" operator="equal">
      <formula>"COMPLETATO"</formula>
    </cfRule>
    <cfRule type="cellIs" dxfId="221" priority="165" operator="equal">
      <formula>"DA RIPIANIFICARE"</formula>
    </cfRule>
    <cfRule type="cellIs" dxfId="220" priority="166" operator="equal">
      <formula>"CANCELLATO"</formula>
    </cfRule>
    <cfRule type="cellIs" dxfId="219" priority="168" operator="equal">
      <formula>"IN CORSO"</formula>
    </cfRule>
    <cfRule type="cellIs" dxfId="218" priority="169" operator="equal">
      <formula>"PIANIFICATO"</formula>
    </cfRule>
    <cfRule type="cellIs" dxfId="217" priority="170" operator="equal">
      <formula>"COMPLETATO"</formula>
    </cfRule>
    <cfRule type="cellIs" dxfId="216" priority="171" operator="equal">
      <formula>"DA RIPIANIFICARE"</formula>
    </cfRule>
    <cfRule type="cellIs" dxfId="215" priority="172" operator="equal">
      <formula>"CANCELLATO"</formula>
    </cfRule>
    <cfRule type="containsText" dxfId="214" priority="173" operator="containsText" text="RILASCIATO IN ESERCIZIO">
      <formula>NOT(ISERROR(SEARCH("RILASCIATO IN ESERCIZIO",P40)))</formula>
    </cfRule>
    <cfRule type="cellIs" dxfId="213" priority="162" operator="equal">
      <formula>"IN CORSO"</formula>
    </cfRule>
    <cfRule type="containsText" dxfId="212" priority="155" operator="containsText" text="RILASCIATO IN COLLAUDO">
      <formula>NOT(ISERROR(SEARCH("RILASCIATO IN COLLAUDO",P40)))</formula>
    </cfRule>
    <cfRule type="cellIs" dxfId="211" priority="156" operator="equal">
      <formula>"IN CORSO"</formula>
    </cfRule>
    <cfRule type="cellIs" dxfId="210" priority="157" operator="equal">
      <formula>"PIANIFICATO"</formula>
    </cfRule>
  </conditionalFormatting>
  <conditionalFormatting sqref="P40:P42">
    <cfRule type="containsText" dxfId="209" priority="145" operator="containsText" text="RILASCIATO IN COLLAUDO">
      <formula>NOT(ISERROR(SEARCH("RILASCIATO IN COLLAUDO",#REF!)))</formula>
    </cfRule>
  </conditionalFormatting>
  <conditionalFormatting sqref="P41">
    <cfRule type="cellIs" dxfId="208" priority="150" operator="equal">
      <formula>"COMPLETATO"</formula>
    </cfRule>
    <cfRule type="cellIs" dxfId="207" priority="152" operator="equal">
      <formula>"CANCELLATO"</formula>
    </cfRule>
    <cfRule type="cellIs" dxfId="206" priority="148" operator="equal">
      <formula>"IN CORSO"</formula>
    </cfRule>
    <cfRule type="cellIs" dxfId="205" priority="151" operator="equal">
      <formula>"DA RIPIANIFICARE"</formula>
    </cfRule>
    <cfRule type="cellIs" dxfId="204" priority="149" operator="equal">
      <formula>"PIANIFICATO"</formula>
    </cfRule>
    <cfRule type="containsText" dxfId="203" priority="153" operator="containsText" text="RILASCIATO IN ESERCIZIO">
      <formula>NOT(ISERROR(SEARCH("RILASCIATO IN ESERCIZIO",P41)))</formula>
    </cfRule>
  </conditionalFormatting>
  <conditionalFormatting sqref="P42">
    <cfRule type="cellIs" dxfId="202" priority="144" operator="equal">
      <formula>"CANCELLATO"</formula>
    </cfRule>
    <cfRule type="containsText" dxfId="201" priority="146" operator="containsText" text="RILASCIATO IN ESERCIZIO">
      <formula>NOT(ISERROR(SEARCH("RILASCIATO IN ESERCIZIO",P42)))</formula>
    </cfRule>
    <cfRule type="cellIs" dxfId="200" priority="140" operator="equal">
      <formula>"IN CORSO"</formula>
    </cfRule>
    <cfRule type="cellIs" dxfId="199" priority="141" operator="equal">
      <formula>"PIANIFICATO"</formula>
    </cfRule>
    <cfRule type="cellIs" dxfId="198" priority="143" operator="equal">
      <formula>"DA RIPIANIFICARE"</formula>
    </cfRule>
    <cfRule type="cellIs" dxfId="197" priority="142" operator="equal">
      <formula>"COMPLETATO"</formula>
    </cfRule>
  </conditionalFormatting>
  <conditionalFormatting sqref="P42:P45">
    <cfRule type="containsText" dxfId="196" priority="105" operator="containsText" text="RILASCIATO IN COLLAUDO">
      <formula>NOT(ISERROR(SEARCH("RILASCIATO IN COLLAUDO",#REF!)))</formula>
    </cfRule>
  </conditionalFormatting>
  <conditionalFormatting sqref="P43:P45">
    <cfRule type="containsText" dxfId="195" priority="99" operator="containsText" text="RILASCIATO IN COLLAUDO">
      <formula>NOT(ISERROR(SEARCH("RILASCIATO IN COLLAUDO",#REF!)))</formula>
    </cfRule>
    <cfRule type="cellIs" dxfId="194" priority="101" operator="equal">
      <formula>"PIANIFICATO"</formula>
    </cfRule>
    <cfRule type="containsText" dxfId="193" priority="106" operator="containsText" text="RILASCIATO IN ESERCIZIO">
      <formula>NOT(ISERROR(SEARCH("RILASCIATO IN ESERCIZIO",P43)))</formula>
    </cfRule>
    <cfRule type="cellIs" dxfId="192" priority="104" operator="equal">
      <formula>"CANCELLATO"</formula>
    </cfRule>
    <cfRule type="cellIs" dxfId="191" priority="103" operator="equal">
      <formula>"DA RIPIANIFICARE"</formula>
    </cfRule>
    <cfRule type="cellIs" dxfId="190" priority="102" operator="equal">
      <formula>"COMPLETATO"</formula>
    </cfRule>
    <cfRule type="cellIs" dxfId="189" priority="100" operator="equal">
      <formula>"IN CORSO"</formula>
    </cfRule>
  </conditionalFormatting>
  <conditionalFormatting sqref="P47">
    <cfRule type="cellIs" dxfId="188" priority="108" operator="equal">
      <formula>"IN CORSO"</formula>
    </cfRule>
    <cfRule type="cellIs" dxfId="187" priority="109" operator="equal">
      <formula>"PIANIFICATO"</formula>
    </cfRule>
    <cfRule type="cellIs" dxfId="186" priority="110" operator="equal">
      <formula>"COMPLETATO"</formula>
    </cfRule>
    <cfRule type="containsText" dxfId="185" priority="113" operator="containsText" text="RILASCIATO IN COLLAUDO">
      <formula>NOT(ISERROR(SEARCH("RILASCIATO IN COLLAUDO",#REF!)))</formula>
    </cfRule>
    <cfRule type="containsText" dxfId="184" priority="114" operator="containsText" text="RILASCIATO IN ESERCIZIO">
      <formula>NOT(ISERROR(SEARCH("RILASCIATO IN ESERCIZIO",P47)))</formula>
    </cfRule>
    <cfRule type="cellIs" dxfId="183" priority="111" operator="equal">
      <formula>"DA RIPIANIFICARE"</formula>
    </cfRule>
    <cfRule type="cellIs" dxfId="182" priority="112" operator="equal">
      <formula>"CANCELLATO"</formula>
    </cfRule>
  </conditionalFormatting>
  <conditionalFormatting sqref="P47:P48">
    <cfRule type="containsText" dxfId="181" priority="85" operator="containsText" text="RILASCIATO IN COLLAUDO">
      <formula>NOT(ISERROR(SEARCH("RILASCIATO IN COLLAUDO",#REF!)))</formula>
    </cfRule>
  </conditionalFormatting>
  <conditionalFormatting sqref="P48">
    <cfRule type="cellIs" dxfId="180" priority="84" operator="equal">
      <formula>"CANCELLATO"</formula>
    </cfRule>
    <cfRule type="containsText" dxfId="179" priority="86" operator="containsText" text="RILASCIATO IN ESERCIZIO">
      <formula>NOT(ISERROR(SEARCH("RILASCIATO IN ESERCIZIO",P48)))</formula>
    </cfRule>
    <cfRule type="cellIs" dxfId="178" priority="82" operator="equal">
      <formula>"COMPLETATO"</formula>
    </cfRule>
    <cfRule type="cellIs" dxfId="177" priority="83" operator="equal">
      <formula>"DA RIPIANIFICARE"</formula>
    </cfRule>
    <cfRule type="cellIs" dxfId="176" priority="81" operator="equal">
      <formula>"PIANIFICATO"</formula>
    </cfRule>
    <cfRule type="cellIs" dxfId="175" priority="80" operator="equal">
      <formula>"IN CORSO"</formula>
    </cfRule>
  </conditionalFormatting>
  <conditionalFormatting sqref="P49">
    <cfRule type="containsText" dxfId="174" priority="76" operator="containsText" text="RILASCIATO IN ESERCIZIO">
      <formula>NOT(ISERROR(SEARCH("RILASCIATO IN ESERCIZIO",P49)))</formula>
    </cfRule>
    <cfRule type="cellIs" dxfId="173" priority="71" operator="equal">
      <formula>"PIANIFICATO"</formula>
    </cfRule>
    <cfRule type="cellIs" dxfId="172" priority="74" operator="equal">
      <formula>"CANCELLATO"</formula>
    </cfRule>
    <cfRule type="cellIs" dxfId="171" priority="73" operator="equal">
      <formula>"DA RIPIANIFICARE"</formula>
    </cfRule>
    <cfRule type="cellIs" dxfId="170" priority="72" operator="equal">
      <formula>"COMPLETATO"</formula>
    </cfRule>
    <cfRule type="cellIs" dxfId="169" priority="70" operator="equal">
      <formula>"IN CORSO"</formula>
    </cfRule>
    <cfRule type="containsText" dxfId="168" priority="68" operator="containsText" text="RILASCIATO IN COLLAUDO">
      <formula>NOT(ISERROR(SEARCH("RILASCIATO IN COLLAUDO",#REF!)))</formula>
    </cfRule>
    <cfRule type="containsText" dxfId="167" priority="77" operator="containsText" text="RILASCIATO IN COLLAUDO">
      <formula>NOT(ISERROR(SEARCH("RILASCIATO IN COLLAUDO",P49)))</formula>
    </cfRule>
  </conditionalFormatting>
  <conditionalFormatting sqref="P55:P56">
    <cfRule type="cellIs" dxfId="166" priority="60" operator="equal">
      <formula>"PIANIFICATO"</formula>
    </cfRule>
    <cfRule type="containsText" dxfId="165" priority="58" operator="containsText" text="RILASCIATO IN COLLAUDO">
      <formula>NOT(ISERROR(SEARCH("RILASCIATO IN COLLAUDO",#REF!)))</formula>
    </cfRule>
    <cfRule type="cellIs" dxfId="164" priority="59" operator="equal">
      <formula>"IN CORSO"</formula>
    </cfRule>
    <cfRule type="cellIs" dxfId="163" priority="62" operator="equal">
      <formula>"DA RIPIANIFICARE"</formula>
    </cfRule>
    <cfRule type="cellIs" dxfId="162" priority="63" operator="equal">
      <formula>"CANCELLATO"</formula>
    </cfRule>
    <cfRule type="cellIs" dxfId="161" priority="61" operator="equal">
      <formula>"COMPLETATO"</formula>
    </cfRule>
  </conditionalFormatting>
  <conditionalFormatting sqref="P55:P57">
    <cfRule type="cellIs" dxfId="160" priority="57" operator="equal">
      <formula>"CANCELLATO"</formula>
    </cfRule>
    <cfRule type="cellIs" dxfId="159" priority="56" operator="equal">
      <formula>"DA RIPIANIFICARE"</formula>
    </cfRule>
    <cfRule type="cellIs" dxfId="158" priority="55" operator="equal">
      <formula>"COMPLETATO"</formula>
    </cfRule>
    <cfRule type="cellIs" dxfId="157" priority="54" operator="equal">
      <formula>"PIANIFICATO"</formula>
    </cfRule>
    <cfRule type="cellIs" dxfId="156" priority="53" operator="equal">
      <formula>"IN CORSO"</formula>
    </cfRule>
    <cfRule type="containsText" dxfId="155" priority="51" operator="containsText" text="RILASCIATO IN COLLAUDO">
      <formula>NOT(ISERROR(SEARCH("RILASCIATO IN COLLAUDO",#REF!)))</formula>
    </cfRule>
    <cfRule type="containsText" dxfId="154" priority="67" operator="containsText" text="RILASCIATO IN COLLAUDO">
      <formula>NOT(ISERROR(SEARCH("RILASCIATO IN COLLAUDO",P55)))</formula>
    </cfRule>
    <cfRule type="containsText" dxfId="153" priority="66" operator="containsText" text="RILASCIATO IN ESERCIZIO">
      <formula>NOT(ISERROR(SEARCH("RILASCIATO IN ESERCIZIO",P55)))</formula>
    </cfRule>
    <cfRule type="containsText" dxfId="152" priority="64" operator="containsText" text="RILASCIATO IN COLLAUDO">
      <formula>NOT(ISERROR(SEARCH("RILASCIATO IN COLLAUDO",#REF!)))</formula>
    </cfRule>
  </conditionalFormatting>
  <conditionalFormatting sqref="P58:P60">
    <cfRule type="containsText" dxfId="151" priority="50" operator="containsText" text="RILASCIATO IN COLLAUDO">
      <formula>NOT(ISERROR(SEARCH("RILASCIATO IN COLLAUDO",P58)))</formula>
    </cfRule>
    <cfRule type="containsText" dxfId="150" priority="49" operator="containsText" text="RILASCIATO IN ESERCIZIO">
      <formula>NOT(ISERROR(SEARCH("RILASCIATO IN ESERCIZIO",P58)))</formula>
    </cfRule>
  </conditionalFormatting>
  <conditionalFormatting sqref="P14:Q14">
    <cfRule type="cellIs" dxfId="149" priority="353" operator="equal">
      <formula>"PIANIFICATO"</formula>
    </cfRule>
    <cfRule type="cellIs" dxfId="148" priority="352" operator="equal">
      <formula>"IN CORSO"</formula>
    </cfRule>
    <cfRule type="containsText" dxfId="147" priority="357" operator="containsText" text="RILASCIATO IN COLLAUDO">
      <formula>NOT(ISERROR(SEARCH("RILASCIATO IN COLLAUDO",#REF!)))</formula>
    </cfRule>
    <cfRule type="cellIs" dxfId="146" priority="354" operator="equal">
      <formula>"COMPLETATO"</formula>
    </cfRule>
    <cfRule type="cellIs" dxfId="145" priority="355" operator="equal">
      <formula>"DA RIPIANIFICARE"</formula>
    </cfRule>
    <cfRule type="cellIs" dxfId="144" priority="356" operator="equal">
      <formula>"CANCELLATO"</formula>
    </cfRule>
  </conditionalFormatting>
  <conditionalFormatting sqref="P15:Q15">
    <cfRule type="containsText" dxfId="143" priority="338" operator="containsText" text="RILASCIATO IN COLLAUDO">
      <formula>NOT(ISERROR(SEARCH("RILASCIATO IN COLLAUDO",#REF!)))</formula>
    </cfRule>
    <cfRule type="cellIs" dxfId="142" priority="337" operator="equal">
      <formula>"CANCELLATO"</formula>
    </cfRule>
    <cfRule type="cellIs" dxfId="141" priority="336" operator="equal">
      <formula>"DA RIPIANIFICARE"</formula>
    </cfRule>
    <cfRule type="cellIs" dxfId="140" priority="335" operator="equal">
      <formula>"COMPLETATO"</formula>
    </cfRule>
    <cfRule type="cellIs" dxfId="139" priority="334" operator="equal">
      <formula>"PIANIFICATO"</formula>
    </cfRule>
    <cfRule type="cellIs" dxfId="138" priority="333" operator="equal">
      <formula>"IN CORSO"</formula>
    </cfRule>
  </conditionalFormatting>
  <conditionalFormatting sqref="P40:Q40 Q42:Q45 Q47:Q57">
    <cfRule type="containsText" dxfId="137" priority="818" operator="containsText" text="RILASCIATO IN COLLAUDO">
      <formula>NOT(ISERROR(SEARCH("RILASCIATO IN COLLAUDO",#REF!)))</formula>
    </cfRule>
  </conditionalFormatting>
  <conditionalFormatting sqref="P48:Q49">
    <cfRule type="containsText" dxfId="136" priority="75" operator="containsText" text="RILASCIATO IN COLLAUDO">
      <formula>NOT(ISERROR(SEARCH("RILASCIATO IN COLLAUDO",#REF!)))</formula>
    </cfRule>
  </conditionalFormatting>
  <conditionalFormatting sqref="P57:Q57">
    <cfRule type="cellIs" dxfId="135" priority="293" operator="equal">
      <formula>"PIANIFICATO"</formula>
    </cfRule>
    <cfRule type="cellIs" dxfId="134" priority="292" operator="equal">
      <formula>"IN CORSO"</formula>
    </cfRule>
    <cfRule type="containsText" dxfId="133" priority="290" operator="containsText" text="RILASCIATO IN COLLAUDO">
      <formula>NOT(ISERROR(SEARCH("RILASCIATO IN COLLAUDO",P57)))</formula>
    </cfRule>
    <cfRule type="containsText" dxfId="132" priority="297" operator="containsText" text="RILASCIATO IN COLLAUDO">
      <formula>NOT(ISERROR(SEARCH("RILASCIATO IN COLLAUDO",#REF!)))</formula>
    </cfRule>
    <cfRule type="cellIs" dxfId="131" priority="302" operator="equal">
      <formula>"CANCELLATO"</formula>
    </cfRule>
    <cfRule type="cellIs" dxfId="130" priority="301" operator="equal">
      <formula>"DA RIPIANIFICARE"</formula>
    </cfRule>
    <cfRule type="cellIs" dxfId="129" priority="300" operator="equal">
      <formula>"COMPLETATO"</formula>
    </cfRule>
    <cfRule type="cellIs" dxfId="128" priority="299" operator="equal">
      <formula>"PIANIFICATO"</formula>
    </cfRule>
    <cfRule type="cellIs" dxfId="127" priority="298" operator="equal">
      <formula>"IN CORSO"</formula>
    </cfRule>
    <cfRule type="cellIs" dxfId="126" priority="296" operator="equal">
      <formula>"CANCELLATO"</formula>
    </cfRule>
    <cfRule type="cellIs" dxfId="125" priority="295" operator="equal">
      <formula>"DA RIPIANIFICARE"</formula>
    </cfRule>
    <cfRule type="cellIs" dxfId="124" priority="294" operator="equal">
      <formula>"COMPLETATO"</formula>
    </cfRule>
  </conditionalFormatting>
  <conditionalFormatting sqref="Q3">
    <cfRule type="iconSet" priority="6765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iconSet" priority="6764">
      <iconSet iconSet="4Rating">
        <cfvo type="percent" val="0"/>
        <cfvo type="percent" val="25"/>
        <cfvo type="percent" val="50"/>
        <cfvo type="percent" val="75"/>
      </iconSet>
    </cfRule>
    <cfRule type="iconSet" priority="676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Q4:Q1048576 Q1">
    <cfRule type="containsText" dxfId="123" priority="7304" operator="containsText" text="RILASCIATO IN ESERCIZIO">
      <formula>NOT(ISERROR(SEARCH("RILASCIATO IN ESERCIZIO",Q1)))</formula>
    </cfRule>
  </conditionalFormatting>
  <conditionalFormatting sqref="Q5:Q9 Q11:Q34 Q37:Q40 Q49:Q1048576">
    <cfRule type="containsText" dxfId="122" priority="13841" operator="containsText" text="RILASCIATO IN COLLAUDO">
      <formula>NOT(ISERROR(SEARCH("RILASCIATO IN COLLAUDO",Q5)))</formula>
    </cfRule>
  </conditionalFormatting>
  <conditionalFormatting sqref="Q14:Q17">
    <cfRule type="containsText" dxfId="121" priority="344" operator="containsText" text="RILASCIATO IN COLLAUDO">
      <formula>NOT(ISERROR(SEARCH("RILASCIATO IN COLLAUDO",#REF!)))</formula>
    </cfRule>
    <cfRule type="cellIs" dxfId="120" priority="343" operator="equal">
      <formula>"CANCELLATO"</formula>
    </cfRule>
    <cfRule type="cellIs" dxfId="119" priority="342" operator="equal">
      <formula>"DA RIPIANIFICARE"</formula>
    </cfRule>
    <cfRule type="cellIs" dxfId="118" priority="341" operator="equal">
      <formula>"COMPLETATO"</formula>
    </cfRule>
    <cfRule type="containsText" dxfId="117" priority="332" operator="containsText" text="RILASCIATO IN COLLAUDO">
      <formula>NOT(ISERROR(SEARCH("RILASCIATO IN COLLAUDO",Q14)))</formula>
    </cfRule>
    <cfRule type="cellIs" dxfId="116" priority="339" operator="equal">
      <formula>"IN CORSO"</formula>
    </cfRule>
    <cfRule type="cellIs" dxfId="115" priority="340" operator="equal">
      <formula>"PIANIFICATO"</formula>
    </cfRule>
  </conditionalFormatting>
  <conditionalFormatting sqref="Q16:Q17">
    <cfRule type="cellIs" dxfId="114" priority="369" operator="equal">
      <formula>"CANCELLATO"</formula>
    </cfRule>
    <cfRule type="cellIs" dxfId="113" priority="368" operator="equal">
      <formula>"DA RIPIANIFICARE"</formula>
    </cfRule>
    <cfRule type="cellIs" dxfId="112" priority="367" operator="equal">
      <formula>"COMPLETATO"</formula>
    </cfRule>
    <cfRule type="cellIs" dxfId="111" priority="365" operator="equal">
      <formula>"IN CORSO"</formula>
    </cfRule>
    <cfRule type="cellIs" dxfId="110" priority="366" operator="equal">
      <formula>"PIANIFICATO"</formula>
    </cfRule>
    <cfRule type="containsText" dxfId="109" priority="370" operator="containsText" text="RILASCIATO IN COLLAUDO">
      <formula>NOT(ISERROR(SEARCH("RILASCIATO IN COLLAUDO",#REF!)))</formula>
    </cfRule>
  </conditionalFormatting>
  <conditionalFormatting sqref="Q23:Q25">
    <cfRule type="containsText" dxfId="108" priority="400" operator="containsText" text="RILASCIATO IN COLLAUDO">
      <formula>NOT(ISERROR(SEARCH("RILASCIATO IN COLLAUDO",Q23)))</formula>
    </cfRule>
    <cfRule type="cellIs" dxfId="107" priority="405" operator="equal">
      <formula>"DA RIPIANIFICARE"</formula>
    </cfRule>
    <cfRule type="cellIs" dxfId="106" priority="406" operator="equal">
      <formula>"CANCELLATO"</formula>
    </cfRule>
    <cfRule type="containsText" dxfId="105" priority="407" operator="containsText" text="RILASCIATO IN COLLAUDO">
      <formula>NOT(ISERROR(SEARCH("RILASCIATO IN COLLAUDO",#REF!)))</formula>
    </cfRule>
    <cfRule type="cellIs" dxfId="104" priority="408" operator="equal">
      <formula>"IN CORSO"</formula>
    </cfRule>
    <cfRule type="cellIs" dxfId="103" priority="409" operator="equal">
      <formula>"PIANIFICATO"</formula>
    </cfRule>
    <cfRule type="cellIs" dxfId="102" priority="410" operator="equal">
      <formula>"COMPLETATO"</formula>
    </cfRule>
    <cfRule type="cellIs" dxfId="101" priority="402" operator="equal">
      <formula>"IN CORSO"</formula>
    </cfRule>
    <cfRule type="cellIs" dxfId="100" priority="411" operator="equal">
      <formula>"DA RIPIANIFICARE"</formula>
    </cfRule>
    <cfRule type="cellIs" dxfId="99" priority="412" operator="equal">
      <formula>"CANCELLATO"</formula>
    </cfRule>
    <cfRule type="containsText" dxfId="98" priority="413" operator="containsText" text="RILASCIATO IN COLLAUDO">
      <formula>NOT(ISERROR(SEARCH("RILASCIATO IN COLLAUDO",#REF!)))</formula>
    </cfRule>
    <cfRule type="cellIs" dxfId="97" priority="403" operator="equal">
      <formula>"PIANIFICATO"</formula>
    </cfRule>
    <cfRule type="cellIs" dxfId="96" priority="404" operator="equal">
      <formula>"COMPLETATO"</formula>
    </cfRule>
  </conditionalFormatting>
  <conditionalFormatting sqref="Q28:Q29">
    <cfRule type="cellIs" dxfId="95" priority="391" operator="equal">
      <formula>"DA RIPIANIFICARE"</formula>
    </cfRule>
    <cfRule type="containsText" dxfId="94" priority="399" operator="containsText" text="RILASCIATO IN COLLAUDO">
      <formula>NOT(ISERROR(SEARCH("RILASCIATO IN COLLAUDO",#REF!)))</formula>
    </cfRule>
    <cfRule type="cellIs" dxfId="93" priority="398" operator="equal">
      <formula>"CANCELLATO"</formula>
    </cfRule>
    <cfRule type="cellIs" dxfId="92" priority="397" operator="equal">
      <formula>"DA RIPIANIFICARE"</formula>
    </cfRule>
    <cfRule type="cellIs" dxfId="91" priority="396" operator="equal">
      <formula>"COMPLETATO"</formula>
    </cfRule>
    <cfRule type="cellIs" dxfId="90" priority="395" operator="equal">
      <formula>"PIANIFICATO"</formula>
    </cfRule>
    <cfRule type="cellIs" dxfId="89" priority="394" operator="equal">
      <formula>"IN CORSO"</formula>
    </cfRule>
    <cfRule type="containsText" dxfId="88" priority="393" operator="containsText" text="RILASCIATO IN COLLAUDO">
      <formula>NOT(ISERROR(SEARCH("RILASCIATO IN COLLAUDO",#REF!)))</formula>
    </cfRule>
    <cfRule type="cellIs" dxfId="87" priority="392" operator="equal">
      <formula>"CANCELLATO"</formula>
    </cfRule>
    <cfRule type="cellIs" dxfId="86" priority="390" operator="equal">
      <formula>"COMPLETATO"</formula>
    </cfRule>
    <cfRule type="containsText" dxfId="85" priority="386" operator="containsText" text="RILASCIATO IN COLLAUDO">
      <formula>NOT(ISERROR(SEARCH("RILASCIATO IN COLLAUDO",Q28)))</formula>
    </cfRule>
    <cfRule type="cellIs" dxfId="84" priority="388" operator="equal">
      <formula>"IN CORSO"</formula>
    </cfRule>
    <cfRule type="cellIs" dxfId="83" priority="389" operator="equal">
      <formula>"PIANIFICATO"</formula>
    </cfRule>
  </conditionalFormatting>
  <conditionalFormatting sqref="Q32:Q40">
    <cfRule type="cellIs" dxfId="82" priority="426" operator="equal">
      <formula>"PIANIFICATO"</formula>
    </cfRule>
    <cfRule type="cellIs" dxfId="81" priority="427" operator="equal">
      <formula>"COMPLETATO"</formula>
    </cfRule>
    <cfRule type="cellIs" dxfId="80" priority="428" operator="equal">
      <formula>"DA RIPIANIFICARE"</formula>
    </cfRule>
    <cfRule type="cellIs" dxfId="79" priority="429" operator="equal">
      <formula>"CANCELLATO"</formula>
    </cfRule>
    <cfRule type="cellIs" dxfId="78" priority="423" operator="equal">
      <formula>"CANCELLATO"</formula>
    </cfRule>
    <cfRule type="containsText" dxfId="77" priority="414" operator="containsText" text="RILASCIATO IN COLLAUDO">
      <formula>NOT(ISERROR(SEARCH("RILASCIATO IN COLLAUDO",Q32)))</formula>
    </cfRule>
    <cfRule type="cellIs" dxfId="76" priority="419" operator="equal">
      <formula>"IN CORSO"</formula>
    </cfRule>
    <cfRule type="cellIs" dxfId="75" priority="420" operator="equal">
      <formula>"PIANIFICATO"</formula>
    </cfRule>
    <cfRule type="cellIs" dxfId="74" priority="421" operator="equal">
      <formula>"COMPLETATO"</formula>
    </cfRule>
    <cfRule type="cellIs" dxfId="73" priority="422" operator="equal">
      <formula>"DA RIPIANIFICARE"</formula>
    </cfRule>
    <cfRule type="containsText" dxfId="72" priority="424" operator="containsText" text="RILASCIATO IN COLLAUDO">
      <formula>NOT(ISERROR(SEARCH("RILASCIATO IN COLLAUDO",#REF!)))</formula>
    </cfRule>
    <cfRule type="cellIs" dxfId="71" priority="425" operator="equal">
      <formula>"IN CORSO"</formula>
    </cfRule>
  </conditionalFormatting>
  <conditionalFormatting sqref="Q32:Q57">
    <cfRule type="containsText" dxfId="70" priority="430" operator="containsText" text="RILASCIATO IN COLLAUDO">
      <formula>NOT(ISERROR(SEARCH("RILASCIATO IN COLLAUDO",#REF!)))</formula>
    </cfRule>
  </conditionalFormatting>
  <conditionalFormatting sqref="Q36:Q40">
    <cfRule type="containsText" dxfId="69" priority="384" operator="containsText" text="RILASCIATO IN COLLAUDO">
      <formula>NOT(ISERROR(SEARCH("RILASCIATO IN COLLAUDO",#REF!)))</formula>
    </cfRule>
  </conditionalFormatting>
  <conditionalFormatting sqref="Q40:Q49">
    <cfRule type="cellIs" dxfId="68" priority="682" operator="equal">
      <formula>"CANCELLATO"</formula>
    </cfRule>
    <cfRule type="cellIs" dxfId="67" priority="680" operator="equal">
      <formula>"COMPLETATO"</formula>
    </cfRule>
    <cfRule type="cellIs" dxfId="66" priority="681" operator="equal">
      <formula>"DA RIPIANIFICARE"</formula>
    </cfRule>
    <cfRule type="cellIs" dxfId="65" priority="679" operator="equal">
      <formula>"PIANIFICATO"</formula>
    </cfRule>
    <cfRule type="cellIs" dxfId="64" priority="678" operator="equal">
      <formula>"IN CORSO"</formula>
    </cfRule>
  </conditionalFormatting>
  <conditionalFormatting sqref="Q46">
    <cfRule type="cellIs" dxfId="63" priority="123" operator="equal">
      <formula>"PIANIFICATO"</formula>
    </cfRule>
    <cfRule type="cellIs" dxfId="62" priority="122" operator="equal">
      <formula>"IN CORSO"</formula>
    </cfRule>
    <cfRule type="containsText" dxfId="61" priority="121" operator="containsText" text="RILASCIATO IN COLLAUDO">
      <formula>NOT(ISERROR(SEARCH("RILASCIATO IN COLLAUDO",#REF!)))</formula>
    </cfRule>
    <cfRule type="cellIs" dxfId="60" priority="120" operator="equal">
      <formula>"CANCELLATO"</formula>
    </cfRule>
    <cfRule type="cellIs" dxfId="59" priority="119" operator="equal">
      <formula>"DA RIPIANIFICARE"</formula>
    </cfRule>
    <cfRule type="cellIs" dxfId="58" priority="118" operator="equal">
      <formula>"COMPLETATO"</formula>
    </cfRule>
    <cfRule type="cellIs" dxfId="57" priority="117" operator="equal">
      <formula>"PIANIFICATO"</formula>
    </cfRule>
    <cfRule type="cellIs" dxfId="56" priority="116" operator="equal">
      <formula>"IN CORSO"</formula>
    </cfRule>
    <cfRule type="containsText" dxfId="55" priority="115" operator="containsText" text="RILASCIATO IN COLLAUDO">
      <formula>NOT(ISERROR(SEARCH("RILASCIATO IN COLLAUDO",Q46)))</formula>
    </cfRule>
    <cfRule type="cellIs" dxfId="54" priority="322" operator="equal">
      <formula>"DA RIPIANIFICARE"</formula>
    </cfRule>
    <cfRule type="cellIs" dxfId="53" priority="98" operator="equal">
      <formula>"CANCELLATO"</formula>
    </cfRule>
    <cfRule type="cellIs" dxfId="52" priority="97" operator="equal">
      <formula>"DA RIPIANIFICARE"</formula>
    </cfRule>
    <cfRule type="cellIs" dxfId="51" priority="96" operator="equal">
      <formula>"COMPLETATO"</formula>
    </cfRule>
    <cfRule type="cellIs" dxfId="50" priority="95" operator="equal">
      <formula>"PIANIFICATO"</formula>
    </cfRule>
    <cfRule type="cellIs" dxfId="49" priority="94" operator="equal">
      <formula>"IN CORSO"</formula>
    </cfRule>
    <cfRule type="containsText" dxfId="48" priority="93" operator="containsText" text="RILASCIATO IN COLLAUDO">
      <formula>NOT(ISERROR(SEARCH("RILASCIATO IN COLLAUDO",#REF!)))</formula>
    </cfRule>
    <cfRule type="containsText" dxfId="47" priority="318" operator="containsText" text="RILASCIATO IN COLLAUDO">
      <formula>NOT(ISERROR(SEARCH("RILASCIATO IN COLLAUDO",#REF!)))</formula>
    </cfRule>
    <cfRule type="containsText" dxfId="46" priority="317" operator="containsText" text="RILASCIATO IN COLLAUDO">
      <formula>NOT(ISERROR(SEARCH("RILASCIATO IN COLLAUDO",Q46)))</formula>
    </cfRule>
    <cfRule type="cellIs" dxfId="45" priority="321" operator="equal">
      <formula>"COMPLETATO"</formula>
    </cfRule>
    <cfRule type="cellIs" dxfId="44" priority="319" operator="equal">
      <formula>"IN CORSO"</formula>
    </cfRule>
    <cfRule type="containsText" dxfId="43" priority="87" operator="containsText" text="RILASCIATO IN COLLAUDO">
      <formula>NOT(ISERROR(SEARCH("RILASCIATO IN COLLAUDO",Q46)))</formula>
    </cfRule>
    <cfRule type="cellIs" dxfId="42" priority="89" operator="equal">
      <formula>"PIANIFICATO"</formula>
    </cfRule>
    <cfRule type="cellIs" dxfId="41" priority="90" operator="equal">
      <formula>"COMPLETATO"</formula>
    </cfRule>
    <cfRule type="cellIs" dxfId="40" priority="91" operator="equal">
      <formula>"DA RIPIANIFICARE"</formula>
    </cfRule>
    <cfRule type="cellIs" dxfId="39" priority="92" operator="equal">
      <formula>"CANCELLATO"</formula>
    </cfRule>
    <cfRule type="containsText" dxfId="38" priority="330" operator="containsText" text="RILASCIATO IN COLLAUDO">
      <formula>NOT(ISERROR(SEARCH("RILASCIATO IN COLLAUDO",#REF!)))</formula>
    </cfRule>
    <cfRule type="cellIs" dxfId="37" priority="124" operator="equal">
      <formula>"COMPLETATO"</formula>
    </cfRule>
    <cfRule type="cellIs" dxfId="36" priority="125" operator="equal">
      <formula>"DA RIPIANIFICARE"</formula>
    </cfRule>
    <cfRule type="cellIs" dxfId="35" priority="126" operator="equal">
      <formula>"CANCELLATO"</formula>
    </cfRule>
    <cfRule type="containsText" dxfId="34" priority="127" operator="containsText" text="RILASCIATO IN COLLAUDO">
      <formula>NOT(ISERROR(SEARCH("RILASCIATO IN COLLAUDO",Q46)))</formula>
    </cfRule>
    <cfRule type="cellIs" dxfId="33" priority="134" operator="equal">
      <formula>"IN CORSO"</formula>
    </cfRule>
    <cfRule type="cellIs" dxfId="32" priority="128" operator="equal">
      <formula>"IN CORSO"</formula>
    </cfRule>
    <cfRule type="cellIs" dxfId="31" priority="129" operator="equal">
      <formula>"PIANIFICATO"</formula>
    </cfRule>
    <cfRule type="cellIs" dxfId="30" priority="130" operator="equal">
      <formula>"COMPLETATO"</formula>
    </cfRule>
    <cfRule type="cellIs" dxfId="29" priority="131" operator="equal">
      <formula>"DA RIPIANIFICARE"</formula>
    </cfRule>
    <cfRule type="cellIs" dxfId="28" priority="320" operator="equal">
      <formula>"PIANIFICATO"</formula>
    </cfRule>
    <cfRule type="cellIs" dxfId="27" priority="132" operator="equal">
      <formula>"CANCELLATO"</formula>
    </cfRule>
    <cfRule type="containsText" dxfId="26" priority="133" operator="containsText" text="RILASCIATO IN COLLAUDO">
      <formula>NOT(ISERROR(SEARCH("RILASCIATO IN COLLAUDO",#REF!)))</formula>
    </cfRule>
    <cfRule type="cellIs" dxfId="25" priority="326" operator="equal">
      <formula>"PIANIFICATO"</formula>
    </cfRule>
    <cfRule type="cellIs" dxfId="24" priority="135" operator="equal">
      <formula>"PIANIFICATO"</formula>
    </cfRule>
    <cfRule type="cellIs" dxfId="23" priority="136" operator="equal">
      <formula>"COMPLETATO"</formula>
    </cfRule>
    <cfRule type="cellIs" dxfId="22" priority="137" operator="equal">
      <formula>"DA RIPIANIFICARE"</formula>
    </cfRule>
    <cfRule type="cellIs" dxfId="21" priority="138" operator="equal">
      <formula>"CANCELLATO"</formula>
    </cfRule>
    <cfRule type="containsText" dxfId="20" priority="331" operator="containsText" text="RILASCIATO IN COLLAUDO">
      <formula>NOT(ISERROR(SEARCH("RILASCIATO IN COLLAUDO",Q46)))</formula>
    </cfRule>
    <cfRule type="cellIs" dxfId="19" priority="329" operator="equal">
      <formula>"CANCELLATO"</formula>
    </cfRule>
    <cfRule type="cellIs" dxfId="18" priority="328" operator="equal">
      <formula>"DA RIPIANIFICARE"</formula>
    </cfRule>
    <cfRule type="cellIs" dxfId="17" priority="327" operator="equal">
      <formula>"COMPLETATO"</formula>
    </cfRule>
    <cfRule type="cellIs" dxfId="16" priority="88" operator="equal">
      <formula>"IN CORSO"</formula>
    </cfRule>
    <cfRule type="cellIs" dxfId="15" priority="325" operator="equal">
      <formula>"IN CORSO"</formula>
    </cfRule>
    <cfRule type="containsText" dxfId="14" priority="324" operator="containsText" text="RILASCIATO IN COLLAUDO">
      <formula>NOT(ISERROR(SEARCH("RILASCIATO IN COLLAUDO",#REF!)))</formula>
    </cfRule>
    <cfRule type="cellIs" dxfId="13" priority="323" operator="equal">
      <formula>"CANCELLATO"</formula>
    </cfRule>
  </conditionalFormatting>
  <conditionalFormatting sqref="Q51:Q56">
    <cfRule type="cellIs" dxfId="12" priority="376" operator="equal">
      <formula>"CANCELLATO"</formula>
    </cfRule>
    <cfRule type="cellIs" dxfId="11" priority="375" operator="equal">
      <formula>"DA RIPIANIFICARE"</formula>
    </cfRule>
    <cfRule type="cellIs" dxfId="10" priority="373" operator="equal">
      <formula>"PIANIFICATO"</formula>
    </cfRule>
    <cfRule type="cellIs" dxfId="9" priority="372" operator="equal">
      <formula>"IN CORSO"</formula>
    </cfRule>
    <cfRule type="cellIs" dxfId="8" priority="374" operator="equal">
      <formula>"COMPLETATO"</formula>
    </cfRule>
    <cfRule type="containsText" dxfId="7" priority="371" operator="containsText" text="RILASCIATO IN COLLAUDO">
      <formula>NOT(ISERROR(SEARCH("RILASCIATO IN COLLAUDO",#REF!)))</formula>
    </cfRule>
  </conditionalFormatting>
  <conditionalFormatting sqref="Q54:Q57">
    <cfRule type="cellIs" dxfId="6" priority="309" operator="equal">
      <formula>"CANCELLATO"</formula>
    </cfRule>
    <cfRule type="cellIs" dxfId="5" priority="308" operator="equal">
      <formula>"DA RIPIANIFICARE"</formula>
    </cfRule>
    <cfRule type="cellIs" dxfId="4" priority="307" operator="equal">
      <formula>"COMPLETATO"</formula>
    </cfRule>
    <cfRule type="cellIs" dxfId="3" priority="306" operator="equal">
      <formula>"PIANIFICATO"</formula>
    </cfRule>
    <cfRule type="cellIs" dxfId="2" priority="305" operator="equal">
      <formula>"IN CORSO"</formula>
    </cfRule>
    <cfRule type="containsText" dxfId="1" priority="303" operator="containsText" text="RILASCIATO IN COLLAUDO">
      <formula>NOT(ISERROR(SEARCH("RILASCIATO IN COLLAUDO",#REF!)))</formula>
    </cfRule>
    <cfRule type="containsText" dxfId="0" priority="289" operator="containsText" text="RILASCIATO IN COLLAUDO">
      <formula>NOT(ISERROR(SEARCH("RILASCIATO IN COLLAUDO",#REF!)))</formula>
    </cfRule>
  </conditionalFormatting>
  <conditionalFormatting sqref="S1 S3:S9 S41:S48 S58:S1048576 S11:S39 S50:S56">
    <cfRule type="iconSet" priority="1773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S1 S3:S1048576">
    <cfRule type="iconSet" priority="17752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iconSet" priority="1775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8DECF3-A306-4D37-BACB-1205812C0A0A}">
          <x14:formula1>
            <xm:f>Legende!$A$10:$A$15</xm:f>
          </x14:formula1>
          <xm:sqref>L4:L57</xm:sqref>
        </x14:dataValidation>
        <x14:dataValidation type="list" allowBlank="1" showInputMessage="1" showErrorMessage="1" xr:uid="{EDAE1A4D-DA9E-403B-A274-1E15EC12F351}">
          <x14:formula1>
            <xm:f>Legende!$A$18:$A$27</xm:f>
          </x14:formula1>
          <xm:sqref>M4:M57</xm:sqref>
        </x14:dataValidation>
        <x14:dataValidation type="list" allowBlank="1" showInputMessage="1" showErrorMessage="1" xr:uid="{C7D45796-E2B0-47FE-B479-62373C1FD4F0}">
          <x14:formula1>
            <xm:f>Legende!$A$1:$A$7</xm:f>
          </x14:formula1>
          <xm:sqref>Q1:Q1048576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H12"/>
  <sheetViews>
    <sheetView zoomScale="70" workbookViewId="0">
      <selection activeCell="H38" sqref="H38"/>
    </sheetView>
  </sheetViews>
  <sheetFormatPr defaultColWidth="19.42578125" defaultRowHeight="15.75" x14ac:dyDescent="0.25"/>
  <cols>
    <col min="3" max="7" width="38.85546875" style="11" customWidth="1"/>
    <col min="8" max="8" width="35.42578125" bestFit="1" customWidth="1"/>
  </cols>
  <sheetData>
    <row r="1" spans="3:8" x14ac:dyDescent="0.25">
      <c r="C1" s="18" t="s">
        <v>30</v>
      </c>
      <c r="D1" s="18" t="s">
        <v>31</v>
      </c>
      <c r="E1" s="19" t="s">
        <v>32</v>
      </c>
      <c r="F1" s="20" t="s">
        <v>33</v>
      </c>
      <c r="G1" s="18" t="s">
        <v>34</v>
      </c>
      <c r="H1" s="18" t="s">
        <v>12</v>
      </c>
    </row>
    <row r="2" spans="3:8" x14ac:dyDescent="0.25">
      <c r="C2" s="21" t="s">
        <v>35</v>
      </c>
      <c r="D2" s="22" t="s">
        <v>36</v>
      </c>
      <c r="E2" s="22"/>
      <c r="F2" s="16"/>
      <c r="G2" s="22" t="s">
        <v>37</v>
      </c>
      <c r="H2" s="15" t="s">
        <v>38</v>
      </c>
    </row>
    <row r="3" spans="3:8" x14ac:dyDescent="0.25">
      <c r="C3" s="21" t="s">
        <v>22</v>
      </c>
      <c r="D3" s="22" t="s">
        <v>39</v>
      </c>
      <c r="E3" s="22"/>
      <c r="F3" s="23"/>
      <c r="G3" s="22" t="s">
        <v>40</v>
      </c>
      <c r="H3" s="15"/>
    </row>
    <row r="4" spans="3:8" x14ac:dyDescent="0.25">
      <c r="C4" s="21" t="s">
        <v>23</v>
      </c>
      <c r="D4" s="22" t="s">
        <v>41</v>
      </c>
      <c r="E4" s="22"/>
      <c r="F4" s="16"/>
      <c r="G4" s="12"/>
      <c r="H4" s="15"/>
    </row>
    <row r="5" spans="3:8" x14ac:dyDescent="0.25">
      <c r="C5" s="21" t="s">
        <v>26</v>
      </c>
      <c r="D5" s="22"/>
      <c r="E5" s="22"/>
      <c r="F5" s="16"/>
      <c r="G5" s="12"/>
      <c r="H5" s="15"/>
    </row>
    <row r="6" spans="3:8" x14ac:dyDescent="0.25">
      <c r="C6" s="21" t="s">
        <v>42</v>
      </c>
      <c r="D6" s="22"/>
      <c r="E6" s="22"/>
      <c r="F6" s="16"/>
      <c r="G6" s="12"/>
      <c r="H6" s="15"/>
    </row>
    <row r="7" spans="3:8" ht="31.5" x14ac:dyDescent="0.25">
      <c r="C7" s="21" t="s">
        <v>43</v>
      </c>
      <c r="D7" s="22"/>
      <c r="E7" s="22"/>
      <c r="F7" s="16"/>
      <c r="G7" s="12"/>
      <c r="H7" s="15"/>
    </row>
    <row r="8" spans="3:8" x14ac:dyDescent="0.25">
      <c r="C8" s="21" t="s">
        <v>44</v>
      </c>
      <c r="D8" s="12"/>
      <c r="E8" s="22"/>
      <c r="F8" s="16"/>
      <c r="G8" s="12"/>
      <c r="H8" s="15"/>
    </row>
    <row r="9" spans="3:8" x14ac:dyDescent="0.25">
      <c r="C9" s="21" t="s">
        <v>18</v>
      </c>
      <c r="D9" s="12"/>
      <c r="E9" s="22"/>
      <c r="F9" s="16"/>
      <c r="G9" s="12"/>
      <c r="H9" s="15"/>
    </row>
    <row r="10" spans="3:8" x14ac:dyDescent="0.25">
      <c r="C10" s="21" t="s">
        <v>45</v>
      </c>
      <c r="D10" s="12"/>
      <c r="E10" s="22"/>
      <c r="F10" s="16"/>
      <c r="G10" s="12"/>
      <c r="H10" s="15"/>
    </row>
    <row r="11" spans="3:8" x14ac:dyDescent="0.25">
      <c r="C11" s="21" t="s">
        <v>46</v>
      </c>
      <c r="D11" s="12"/>
      <c r="E11" s="22"/>
      <c r="F11" s="16"/>
      <c r="G11" s="12"/>
      <c r="H11" s="15"/>
    </row>
    <row r="12" spans="3:8" x14ac:dyDescent="0.25">
      <c r="C12" s="21" t="s">
        <v>21</v>
      </c>
      <c r="D12" s="12"/>
      <c r="E12" s="12"/>
      <c r="F12" s="16"/>
      <c r="G12" s="12"/>
      <c r="H12" s="15"/>
    </row>
  </sheetData>
  <sheetProtection algorithmName="SHA-512" hashValue="PZJUpa8r4HqhmbvTInu7lo0oXmwzhKBHEKoqIilrpF5H2shpuKxKpAM9xtp7XcRQxHJfpW9Y6V9HTdfmOiEQ2g==" saltValue="8hPaKTEey6KKtWTholTqDw==" spinCount="100000" sheet="1" objects="1" scenarios="1"/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9"/>
  <sheetViews>
    <sheetView zoomScale="80" workbookViewId="0">
      <pane ySplit="1" topLeftCell="A2" activePane="bottomLeft" state="frozen"/>
      <selection pane="bottomLeft"/>
    </sheetView>
  </sheetViews>
  <sheetFormatPr defaultColWidth="8.5703125" defaultRowHeight="15" x14ac:dyDescent="0.25"/>
  <cols>
    <col min="1" max="1" width="11.42578125" customWidth="1"/>
    <col min="2" max="2" width="152.85546875" bestFit="1" customWidth="1"/>
  </cols>
  <sheetData>
    <row r="1" spans="1:2" ht="45" x14ac:dyDescent="0.25">
      <c r="A1" s="24" t="s">
        <v>47</v>
      </c>
      <c r="B1" s="25" t="s">
        <v>48</v>
      </c>
    </row>
    <row r="2" spans="1:2" x14ac:dyDescent="0.25">
      <c r="A2" s="26" t="s">
        <v>49</v>
      </c>
      <c r="B2" s="15" t="s">
        <v>50</v>
      </c>
    </row>
    <row r="3" spans="1:2" x14ac:dyDescent="0.25">
      <c r="A3" s="26" t="s">
        <v>51</v>
      </c>
      <c r="B3" s="15" t="s">
        <v>52</v>
      </c>
    </row>
    <row r="4" spans="1:2" x14ac:dyDescent="0.25">
      <c r="A4" s="26" t="s">
        <v>53</v>
      </c>
      <c r="B4" s="15" t="s">
        <v>54</v>
      </c>
    </row>
    <row r="5" spans="1:2" x14ac:dyDescent="0.25">
      <c r="A5" s="26" t="s">
        <v>55</v>
      </c>
      <c r="B5" s="15" t="s">
        <v>56</v>
      </c>
    </row>
    <row r="6" spans="1:2" x14ac:dyDescent="0.25">
      <c r="A6" s="26" t="s">
        <v>57</v>
      </c>
      <c r="B6" s="15" t="s">
        <v>58</v>
      </c>
    </row>
    <row r="7" spans="1:2" x14ac:dyDescent="0.25">
      <c r="A7" s="26" t="s">
        <v>59</v>
      </c>
      <c r="B7" s="15" t="s">
        <v>60</v>
      </c>
    </row>
    <row r="8" spans="1:2" x14ac:dyDescent="0.25">
      <c r="A8" s="26" t="s">
        <v>61</v>
      </c>
      <c r="B8" s="15" t="s">
        <v>62</v>
      </c>
    </row>
    <row r="9" spans="1:2" x14ac:dyDescent="0.25">
      <c r="A9" s="26" t="s">
        <v>63</v>
      </c>
      <c r="B9" s="15" t="s">
        <v>64</v>
      </c>
    </row>
    <row r="10" spans="1:2" x14ac:dyDescent="0.25">
      <c r="A10" s="26" t="s">
        <v>65</v>
      </c>
      <c r="B10" s="15" t="s">
        <v>66</v>
      </c>
    </row>
    <row r="11" spans="1:2" x14ac:dyDescent="0.25">
      <c r="A11" s="26" t="s">
        <v>67</v>
      </c>
      <c r="B11" s="15" t="s">
        <v>68</v>
      </c>
    </row>
    <row r="12" spans="1:2" x14ac:dyDescent="0.25">
      <c r="A12" s="26" t="s">
        <v>69</v>
      </c>
      <c r="B12" s="15" t="s">
        <v>70</v>
      </c>
    </row>
    <row r="13" spans="1:2" x14ac:dyDescent="0.25">
      <c r="A13" s="26" t="s">
        <v>71</v>
      </c>
      <c r="B13" s="15" t="s">
        <v>72</v>
      </c>
    </row>
    <row r="14" spans="1:2" x14ac:dyDescent="0.25">
      <c r="A14" s="26" t="s">
        <v>73</v>
      </c>
      <c r="B14" s="15" t="s">
        <v>74</v>
      </c>
    </row>
    <row r="15" spans="1:2" x14ac:dyDescent="0.25">
      <c r="A15" s="27" t="s">
        <v>75</v>
      </c>
      <c r="B15" s="15" t="s">
        <v>76</v>
      </c>
    </row>
    <row r="16" spans="1:2" x14ac:dyDescent="0.25">
      <c r="A16" s="26" t="s">
        <v>77</v>
      </c>
      <c r="B16" s="15" t="s">
        <v>78</v>
      </c>
    </row>
    <row r="17" spans="1:2" x14ac:dyDescent="0.25">
      <c r="A17" s="26" t="s">
        <v>79</v>
      </c>
      <c r="B17" s="15" t="s">
        <v>80</v>
      </c>
    </row>
    <row r="18" spans="1:2" x14ac:dyDescent="0.25">
      <c r="A18" s="26" t="s">
        <v>81</v>
      </c>
      <c r="B18" s="15" t="s">
        <v>82</v>
      </c>
    </row>
    <row r="19" spans="1:2" x14ac:dyDescent="0.25">
      <c r="A19" s="26" t="s">
        <v>83</v>
      </c>
      <c r="B19" s="15" t="s">
        <v>84</v>
      </c>
    </row>
    <row r="20" spans="1:2" x14ac:dyDescent="0.25">
      <c r="A20" s="26" t="s">
        <v>85</v>
      </c>
      <c r="B20" s="28" t="s">
        <v>86</v>
      </c>
    </row>
    <row r="21" spans="1:2" x14ac:dyDescent="0.25">
      <c r="A21" s="26" t="s">
        <v>87</v>
      </c>
      <c r="B21" s="15" t="s">
        <v>88</v>
      </c>
    </row>
    <row r="22" spans="1:2" x14ac:dyDescent="0.25">
      <c r="A22" s="26" t="s">
        <v>89</v>
      </c>
      <c r="B22" s="15" t="s">
        <v>90</v>
      </c>
    </row>
    <row r="23" spans="1:2" x14ac:dyDescent="0.25">
      <c r="A23" s="26" t="s">
        <v>91</v>
      </c>
      <c r="B23" s="15" t="s">
        <v>92</v>
      </c>
    </row>
    <row r="24" spans="1:2" x14ac:dyDescent="0.25">
      <c r="A24" s="26" t="s">
        <v>93</v>
      </c>
      <c r="B24" s="29" t="s">
        <v>94</v>
      </c>
    </row>
    <row r="25" spans="1:2" x14ac:dyDescent="0.25">
      <c r="A25" s="26" t="s">
        <v>95</v>
      </c>
      <c r="B25" s="15" t="s">
        <v>96</v>
      </c>
    </row>
    <row r="26" spans="1:2" x14ac:dyDescent="0.25">
      <c r="A26" s="26" t="s">
        <v>97</v>
      </c>
      <c r="B26" s="15" t="s">
        <v>98</v>
      </c>
    </row>
    <row r="27" spans="1:2" x14ac:dyDescent="0.25">
      <c r="A27" s="26" t="s">
        <v>99</v>
      </c>
      <c r="B27" s="15" t="s">
        <v>100</v>
      </c>
    </row>
    <row r="28" spans="1:2" x14ac:dyDescent="0.25">
      <c r="A28" s="26" t="s">
        <v>101</v>
      </c>
      <c r="B28" s="29" t="s">
        <v>102</v>
      </c>
    </row>
    <row r="29" spans="1:2" x14ac:dyDescent="0.25">
      <c r="A29" s="26" t="s">
        <v>103</v>
      </c>
      <c r="B29" s="15" t="s">
        <v>104</v>
      </c>
    </row>
    <row r="30" spans="1:2" x14ac:dyDescent="0.25">
      <c r="A30" s="26" t="s">
        <v>105</v>
      </c>
      <c r="B30" s="15" t="s">
        <v>106</v>
      </c>
    </row>
    <row r="31" spans="1:2" x14ac:dyDescent="0.25">
      <c r="A31" s="26" t="s">
        <v>107</v>
      </c>
      <c r="B31" s="15" t="s">
        <v>108</v>
      </c>
    </row>
    <row r="32" spans="1:2" x14ac:dyDescent="0.25">
      <c r="A32" s="26" t="s">
        <v>109</v>
      </c>
      <c r="B32" s="15" t="s">
        <v>110</v>
      </c>
    </row>
    <row r="33" spans="1:2" x14ac:dyDescent="0.25">
      <c r="A33" s="26" t="s">
        <v>111</v>
      </c>
      <c r="B33" s="29" t="s">
        <v>112</v>
      </c>
    </row>
    <row r="34" spans="1:2" x14ac:dyDescent="0.25">
      <c r="A34" s="26" t="s">
        <v>113</v>
      </c>
      <c r="B34" s="15" t="s">
        <v>114</v>
      </c>
    </row>
    <row r="35" spans="1:2" x14ac:dyDescent="0.25">
      <c r="A35" s="26" t="s">
        <v>115</v>
      </c>
      <c r="B35" s="15" t="s">
        <v>116</v>
      </c>
    </row>
    <row r="36" spans="1:2" x14ac:dyDescent="0.25">
      <c r="A36" s="26" t="s">
        <v>117</v>
      </c>
      <c r="B36" s="15" t="s">
        <v>118</v>
      </c>
    </row>
    <row r="37" spans="1:2" x14ac:dyDescent="0.25">
      <c r="A37" s="26" t="s">
        <v>119</v>
      </c>
      <c r="B37" s="29" t="s">
        <v>120</v>
      </c>
    </row>
    <row r="38" spans="1:2" x14ac:dyDescent="0.25">
      <c r="A38" s="26" t="s">
        <v>121</v>
      </c>
      <c r="B38" s="15" t="s">
        <v>122</v>
      </c>
    </row>
    <row r="39" spans="1:2" x14ac:dyDescent="0.25">
      <c r="A39" s="26" t="s">
        <v>123</v>
      </c>
      <c r="B39" s="15" t="s">
        <v>124</v>
      </c>
    </row>
    <row r="40" spans="1:2" x14ac:dyDescent="0.25">
      <c r="A40" s="26" t="s">
        <v>125</v>
      </c>
      <c r="B40" s="15" t="s">
        <v>126</v>
      </c>
    </row>
    <row r="41" spans="1:2" x14ac:dyDescent="0.25">
      <c r="A41" s="26" t="s">
        <v>127</v>
      </c>
      <c r="B41" s="15" t="s">
        <v>128</v>
      </c>
    </row>
    <row r="42" spans="1:2" x14ac:dyDescent="0.25">
      <c r="A42" s="26" t="s">
        <v>129</v>
      </c>
      <c r="B42" s="15" t="s">
        <v>130</v>
      </c>
    </row>
    <row r="43" spans="1:2" x14ac:dyDescent="0.25">
      <c r="A43" s="26" t="s">
        <v>131</v>
      </c>
      <c r="B43" s="15" t="s">
        <v>132</v>
      </c>
    </row>
    <row r="44" spans="1:2" x14ac:dyDescent="0.25">
      <c r="A44" s="27" t="s">
        <v>133</v>
      </c>
      <c r="B44" s="28" t="s">
        <v>134</v>
      </c>
    </row>
    <row r="45" spans="1:2" x14ac:dyDescent="0.25">
      <c r="A45" s="26" t="s">
        <v>135</v>
      </c>
      <c r="B45" s="15" t="s">
        <v>136</v>
      </c>
    </row>
    <row r="46" spans="1:2" x14ac:dyDescent="0.25">
      <c r="A46" s="26" t="s">
        <v>137</v>
      </c>
      <c r="B46" s="15" t="s">
        <v>138</v>
      </c>
    </row>
    <row r="47" spans="1:2" x14ac:dyDescent="0.25">
      <c r="A47" s="26" t="s">
        <v>139</v>
      </c>
      <c r="B47" s="29" t="s">
        <v>140</v>
      </c>
    </row>
    <row r="48" spans="1:2" x14ac:dyDescent="0.25">
      <c r="A48" s="26" t="s">
        <v>141</v>
      </c>
      <c r="B48" s="15" t="s">
        <v>142</v>
      </c>
    </row>
    <row r="49" spans="1:2" x14ac:dyDescent="0.25">
      <c r="A49" s="26" t="s">
        <v>143</v>
      </c>
      <c r="B49" s="28" t="s">
        <v>144</v>
      </c>
    </row>
    <row r="50" spans="1:2" x14ac:dyDescent="0.25">
      <c r="A50" s="15" t="s">
        <v>145</v>
      </c>
      <c r="B50" s="15" t="s">
        <v>146</v>
      </c>
    </row>
    <row r="51" spans="1:2" x14ac:dyDescent="0.25">
      <c r="A51" s="15" t="s">
        <v>147</v>
      </c>
      <c r="B51" s="15" t="s">
        <v>148</v>
      </c>
    </row>
    <row r="52" spans="1:2" x14ac:dyDescent="0.25">
      <c r="A52" s="15" t="s">
        <v>149</v>
      </c>
      <c r="B52" s="15" t="s">
        <v>150</v>
      </c>
    </row>
    <row r="53" spans="1:2" x14ac:dyDescent="0.25">
      <c r="A53" s="26" t="s">
        <v>151</v>
      </c>
      <c r="B53" s="15" t="s">
        <v>152</v>
      </c>
    </row>
    <row r="54" spans="1:2" x14ac:dyDescent="0.25">
      <c r="A54" s="26" t="s">
        <v>153</v>
      </c>
      <c r="B54" s="15" t="s">
        <v>154</v>
      </c>
    </row>
    <row r="55" spans="1:2" x14ac:dyDescent="0.25">
      <c r="A55" s="26" t="s">
        <v>155</v>
      </c>
      <c r="B55" s="15" t="s">
        <v>156</v>
      </c>
    </row>
    <row r="56" spans="1:2" x14ac:dyDescent="0.25">
      <c r="A56" s="26" t="s">
        <v>157</v>
      </c>
      <c r="B56" s="15" t="s">
        <v>158</v>
      </c>
    </row>
    <row r="57" spans="1:2" x14ac:dyDescent="0.25">
      <c r="A57" s="26" t="s">
        <v>159</v>
      </c>
      <c r="B57" s="15" t="s">
        <v>160</v>
      </c>
    </row>
    <row r="58" spans="1:2" x14ac:dyDescent="0.25">
      <c r="A58" s="26" t="s">
        <v>161</v>
      </c>
      <c r="B58" s="15" t="s">
        <v>162</v>
      </c>
    </row>
    <row r="59" spans="1:2" x14ac:dyDescent="0.25">
      <c r="A59" s="26" t="s">
        <v>163</v>
      </c>
      <c r="B59" s="15" t="s">
        <v>164</v>
      </c>
    </row>
    <row r="60" spans="1:2" x14ac:dyDescent="0.25">
      <c r="A60" s="26" t="s">
        <v>165</v>
      </c>
      <c r="B60" s="15" t="s">
        <v>166</v>
      </c>
    </row>
    <row r="61" spans="1:2" x14ac:dyDescent="0.25">
      <c r="A61" s="26" t="s">
        <v>167</v>
      </c>
      <c r="B61" s="15" t="s">
        <v>168</v>
      </c>
    </row>
    <row r="62" spans="1:2" x14ac:dyDescent="0.25">
      <c r="A62" s="26" t="s">
        <v>169</v>
      </c>
      <c r="B62" s="15" t="s">
        <v>170</v>
      </c>
    </row>
    <row r="63" spans="1:2" x14ac:dyDescent="0.25">
      <c r="A63" s="26" t="s">
        <v>171</v>
      </c>
      <c r="B63" s="15" t="s">
        <v>172</v>
      </c>
    </row>
    <row r="64" spans="1:2" x14ac:dyDescent="0.25">
      <c r="A64" s="26" t="s">
        <v>173</v>
      </c>
      <c r="B64" s="15" t="s">
        <v>174</v>
      </c>
    </row>
    <row r="65" spans="1:2" x14ac:dyDescent="0.25">
      <c r="A65" s="26" t="s">
        <v>175</v>
      </c>
      <c r="B65" s="15" t="s">
        <v>176</v>
      </c>
    </row>
    <row r="66" spans="1:2" x14ac:dyDescent="0.25">
      <c r="A66" s="26" t="s">
        <v>177</v>
      </c>
      <c r="B66" s="15" t="s">
        <v>178</v>
      </c>
    </row>
    <row r="67" spans="1:2" x14ac:dyDescent="0.25">
      <c r="A67" s="26" t="s">
        <v>179</v>
      </c>
      <c r="B67" s="15" t="s">
        <v>180</v>
      </c>
    </row>
    <row r="68" spans="1:2" x14ac:dyDescent="0.25">
      <c r="A68" s="26" t="s">
        <v>181</v>
      </c>
      <c r="B68" s="15" t="s">
        <v>182</v>
      </c>
    </row>
    <row r="69" spans="1:2" x14ac:dyDescent="0.25">
      <c r="A69" s="26" t="s">
        <v>183</v>
      </c>
      <c r="B69" s="15" t="s">
        <v>184</v>
      </c>
    </row>
    <row r="70" spans="1:2" x14ac:dyDescent="0.25">
      <c r="A70" s="26" t="s">
        <v>185</v>
      </c>
      <c r="B70" s="15" t="s">
        <v>186</v>
      </c>
    </row>
    <row r="71" spans="1:2" x14ac:dyDescent="0.25">
      <c r="A71" s="26" t="s">
        <v>187</v>
      </c>
      <c r="B71" s="15" t="s">
        <v>188</v>
      </c>
    </row>
    <row r="72" spans="1:2" x14ac:dyDescent="0.25">
      <c r="A72" s="15" t="s">
        <v>189</v>
      </c>
      <c r="B72" s="15" t="s">
        <v>190</v>
      </c>
    </row>
    <row r="73" spans="1:2" x14ac:dyDescent="0.25">
      <c r="A73" s="26" t="s">
        <v>191</v>
      </c>
      <c r="B73" s="15" t="s">
        <v>192</v>
      </c>
    </row>
    <row r="74" spans="1:2" x14ac:dyDescent="0.25">
      <c r="A74" s="15" t="s">
        <v>193</v>
      </c>
      <c r="B74" s="15" t="s">
        <v>194</v>
      </c>
    </row>
    <row r="75" spans="1:2" x14ac:dyDescent="0.25">
      <c r="A75" s="26" t="s">
        <v>195</v>
      </c>
      <c r="B75" s="15" t="s">
        <v>196</v>
      </c>
    </row>
    <row r="76" spans="1:2" x14ac:dyDescent="0.25">
      <c r="A76" s="26" t="s">
        <v>197</v>
      </c>
      <c r="B76" s="15" t="s">
        <v>198</v>
      </c>
    </row>
    <row r="77" spans="1:2" x14ac:dyDescent="0.25">
      <c r="A77" s="26" t="s">
        <v>199</v>
      </c>
      <c r="B77" s="15" t="s">
        <v>200</v>
      </c>
    </row>
    <row r="78" spans="1:2" x14ac:dyDescent="0.25">
      <c r="A78" s="26" t="s">
        <v>201</v>
      </c>
      <c r="B78" s="15" t="s">
        <v>202</v>
      </c>
    </row>
    <row r="79" spans="1:2" x14ac:dyDescent="0.25">
      <c r="A79" s="26" t="s">
        <v>203</v>
      </c>
      <c r="B79" s="15" t="s">
        <v>204</v>
      </c>
    </row>
    <row r="80" spans="1:2" x14ac:dyDescent="0.25">
      <c r="A80" s="26" t="s">
        <v>205</v>
      </c>
      <c r="B80" s="15" t="s">
        <v>206</v>
      </c>
    </row>
    <row r="81" spans="1:2" x14ac:dyDescent="0.25">
      <c r="A81" s="26" t="s">
        <v>207</v>
      </c>
      <c r="B81" s="15" t="s">
        <v>208</v>
      </c>
    </row>
    <row r="82" spans="1:2" x14ac:dyDescent="0.25">
      <c r="A82" s="26" t="s">
        <v>209</v>
      </c>
      <c r="B82" s="15" t="s">
        <v>210</v>
      </c>
    </row>
    <row r="83" spans="1:2" x14ac:dyDescent="0.25">
      <c r="A83" s="26" t="s">
        <v>211</v>
      </c>
      <c r="B83" s="30" t="s">
        <v>212</v>
      </c>
    </row>
    <row r="84" spans="1:2" x14ac:dyDescent="0.25">
      <c r="A84" s="26" t="s">
        <v>213</v>
      </c>
      <c r="B84" s="31" t="s">
        <v>214</v>
      </c>
    </row>
    <row r="85" spans="1:2" x14ac:dyDescent="0.25">
      <c r="A85" s="32" t="s">
        <v>215</v>
      </c>
      <c r="B85" s="31" t="s">
        <v>216</v>
      </c>
    </row>
    <row r="86" spans="1:2" x14ac:dyDescent="0.25">
      <c r="A86" s="32" t="s">
        <v>217</v>
      </c>
      <c r="B86" s="31" t="s">
        <v>218</v>
      </c>
    </row>
    <row r="87" spans="1:2" x14ac:dyDescent="0.25">
      <c r="A87" s="32" t="s">
        <v>219</v>
      </c>
      <c r="B87" s="31" t="s">
        <v>220</v>
      </c>
    </row>
    <row r="89" spans="1:2" ht="45" x14ac:dyDescent="0.25">
      <c r="A89" s="33" t="s">
        <v>47</v>
      </c>
      <c r="B89" s="34" t="s">
        <v>221</v>
      </c>
    </row>
  </sheetData>
  <autoFilter ref="A1:B87" xr:uid="{00000000-0009-0000-0000-000004000000}"/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7"/>
  <sheetViews>
    <sheetView workbookViewId="0">
      <selection activeCell="G37" sqref="G37"/>
    </sheetView>
  </sheetViews>
  <sheetFormatPr defaultRowHeight="15" x14ac:dyDescent="0.25"/>
  <cols>
    <col min="1" max="1" width="31" customWidth="1"/>
  </cols>
  <sheetData>
    <row r="1" spans="1:1" x14ac:dyDescent="0.25">
      <c r="A1" s="35" t="s">
        <v>413</v>
      </c>
    </row>
    <row r="2" spans="1:1" x14ac:dyDescent="0.25">
      <c r="A2" s="35" t="s">
        <v>35</v>
      </c>
    </row>
    <row r="3" spans="1:1" x14ac:dyDescent="0.25">
      <c r="A3" s="35" t="s">
        <v>22</v>
      </c>
    </row>
    <row r="4" spans="1:1" x14ac:dyDescent="0.25">
      <c r="A4" s="35" t="s">
        <v>23</v>
      </c>
    </row>
    <row r="5" spans="1:1" x14ac:dyDescent="0.25">
      <c r="A5" s="35" t="s">
        <v>26</v>
      </c>
    </row>
    <row r="6" spans="1:1" ht="30" x14ac:dyDescent="0.25">
      <c r="A6" s="35" t="s">
        <v>222</v>
      </c>
    </row>
    <row r="7" spans="1:1" x14ac:dyDescent="0.25">
      <c r="A7" s="35" t="s">
        <v>223</v>
      </c>
    </row>
    <row r="10" spans="1:1" ht="15.75" x14ac:dyDescent="0.25">
      <c r="A10" s="78"/>
    </row>
    <row r="11" spans="1:1" ht="15.75" x14ac:dyDescent="0.25">
      <c r="A11" s="78" t="s">
        <v>20</v>
      </c>
    </row>
    <row r="12" spans="1:1" x14ac:dyDescent="0.25">
      <c r="A12" s="94" t="s">
        <v>230</v>
      </c>
    </row>
    <row r="13" spans="1:1" x14ac:dyDescent="0.25">
      <c r="A13" s="94" t="s">
        <v>260</v>
      </c>
    </row>
    <row r="14" spans="1:1" x14ac:dyDescent="0.25">
      <c r="A14" t="s">
        <v>25</v>
      </c>
    </row>
    <row r="15" spans="1:1" x14ac:dyDescent="0.25">
      <c r="A15" t="s">
        <v>28</v>
      </c>
    </row>
    <row r="18" spans="1:1" x14ac:dyDescent="0.25">
      <c r="A18" s="120" t="s">
        <v>269</v>
      </c>
    </row>
    <row r="19" spans="1:1" x14ac:dyDescent="0.25">
      <c r="A19" s="120" t="s">
        <v>270</v>
      </c>
    </row>
    <row r="20" spans="1:1" x14ac:dyDescent="0.25">
      <c r="A20" s="80" t="s">
        <v>244</v>
      </c>
    </row>
    <row r="21" spans="1:1" x14ac:dyDescent="0.25">
      <c r="A21" s="80" t="s">
        <v>247</v>
      </c>
    </row>
    <row r="22" spans="1:1" x14ac:dyDescent="0.25">
      <c r="A22" s="80" t="s">
        <v>248</v>
      </c>
    </row>
    <row r="23" spans="1:1" x14ac:dyDescent="0.25">
      <c r="A23" s="80" t="s">
        <v>249</v>
      </c>
    </row>
    <row r="24" spans="1:1" x14ac:dyDescent="0.25">
      <c r="A24" s="80" t="s">
        <v>245</v>
      </c>
    </row>
    <row r="25" spans="1:1" x14ac:dyDescent="0.25">
      <c r="A25" s="80" t="s">
        <v>246</v>
      </c>
    </row>
    <row r="26" spans="1:1" x14ac:dyDescent="0.25">
      <c r="A26" s="80" t="s">
        <v>250</v>
      </c>
    </row>
    <row r="27" spans="1:1" x14ac:dyDescent="0.25">
      <c r="A27" s="80" t="s">
        <v>251</v>
      </c>
    </row>
  </sheetData>
  <phoneticPr fontId="33" type="noConversion"/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093D-F45A-4C70-B3BA-D49E7BD35DDF}">
  <dimension ref="B2:E12"/>
  <sheetViews>
    <sheetView workbookViewId="0">
      <selection activeCell="B3" sqref="B3:B4"/>
    </sheetView>
  </sheetViews>
  <sheetFormatPr defaultRowHeight="15" x14ac:dyDescent="0.25"/>
  <cols>
    <col min="2" max="2" width="11.5703125" style="169" customWidth="1"/>
    <col min="3" max="3" width="34" customWidth="1"/>
    <col min="4" max="4" width="46.42578125" customWidth="1"/>
    <col min="5" max="5" width="25.28515625" customWidth="1"/>
  </cols>
  <sheetData>
    <row r="2" spans="2:5" ht="21" x14ac:dyDescent="0.25">
      <c r="B2" s="17" t="s">
        <v>6</v>
      </c>
      <c r="C2" s="76" t="s">
        <v>10</v>
      </c>
      <c r="D2" s="76" t="s">
        <v>419</v>
      </c>
      <c r="E2" s="76" t="s">
        <v>421</v>
      </c>
    </row>
    <row r="3" spans="2:5" x14ac:dyDescent="0.25">
      <c r="B3" s="271" t="s">
        <v>423</v>
      </c>
      <c r="C3" t="s">
        <v>420</v>
      </c>
      <c r="D3" t="s">
        <v>422</v>
      </c>
      <c r="E3" s="56">
        <v>245467.92</v>
      </c>
    </row>
    <row r="4" spans="2:5" x14ac:dyDescent="0.25">
      <c r="B4" s="271" t="s">
        <v>424</v>
      </c>
      <c r="E4" s="56"/>
    </row>
    <row r="5" spans="2:5" x14ac:dyDescent="0.25">
      <c r="E5" s="56"/>
    </row>
    <row r="6" spans="2:5" x14ac:dyDescent="0.25">
      <c r="E6" s="56"/>
    </row>
    <row r="7" spans="2:5" x14ac:dyDescent="0.25">
      <c r="E7" s="56"/>
    </row>
    <row r="8" spans="2:5" x14ac:dyDescent="0.25">
      <c r="E8" s="56"/>
    </row>
    <row r="9" spans="2:5" x14ac:dyDescent="0.25">
      <c r="E9" s="56"/>
    </row>
    <row r="10" spans="2:5" x14ac:dyDescent="0.25">
      <c r="E10" s="56"/>
    </row>
    <row r="11" spans="2:5" x14ac:dyDescent="0.25">
      <c r="E11" s="56"/>
    </row>
    <row r="12" spans="2:5" x14ac:dyDescent="0.25">
      <c r="E12" s="56"/>
    </row>
  </sheetData>
  <phoneticPr fontId="33" type="noConversion"/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1771794685574E87234A41619DEE98" ma:contentTypeVersion="4" ma:contentTypeDescription="Creare un nuovo documento." ma:contentTypeScope="" ma:versionID="6d21b4f6338d8fd7409827760f69a54e">
  <xsd:schema xmlns:xsd="http://www.w3.org/2001/XMLSchema" xmlns:xs="http://www.w3.org/2001/XMLSchema" xmlns:p="http://schemas.microsoft.com/office/2006/metadata/properties" xmlns:ns3="90620ce8-2463-454c-9e7c-47f2f673b7c2" targetNamespace="http://schemas.microsoft.com/office/2006/metadata/properties" ma:root="true" ma:fieldsID="c732fb9e0b9aac7fc6e0b1f9e6f0e90a" ns3:_="">
    <xsd:import namespace="90620ce8-2463-454c-9e7c-47f2f673b7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20ce8-2463-454c-9e7c-47f2f673b7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80024-4477-4589-9AD8-EA2D9C095F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6F1D70-707F-40A8-95B4-3F4B22DC0910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90620ce8-2463-454c-9e7c-47f2f673b7c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748635D-EC3E-4D0F-8D2F-6703AB458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620ce8-2463-454c-9e7c-47f2f673b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Riepilogo Contratto</vt:lpstr>
      <vt:lpstr>Sintesi Rendiconti</vt:lpstr>
      <vt:lpstr>Gantt</vt:lpstr>
      <vt:lpstr>Valori per liste a discesa</vt:lpstr>
      <vt:lpstr>Settore</vt:lpstr>
      <vt:lpstr>Legende</vt:lpstr>
      <vt:lpstr>Richieste da Allocare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Francesco Del Castello;Alessio Guerrieri</dc:creator>
  <cp:keywords/>
  <dc:description/>
  <cp:lastModifiedBy>Carlo Falcinelli</cp:lastModifiedBy>
  <cp:revision>8</cp:revision>
  <dcterms:created xsi:type="dcterms:W3CDTF">2023-02-18T15:56:20Z</dcterms:created>
  <dcterms:modified xsi:type="dcterms:W3CDTF">2025-02-12T10:15:20Z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0x010100051771794685574E87234A41619DEE98</vt:lpwstr>
  </property>
  <property fmtid="{D5CDD505-2E9C-101B-9397-08002B2CF9AE}" pid="3" name="MediaServiceImageTags">
    <vt:lpwstr/>
  </property>
  <property fmtid="{D5CDD505-2E9C-101B-9397-08002B2CF9AE}" pid="4" name="MSIP_Label_3bb4f5e6-4689-4e32-8ee0-7c59def9675b_Enabled">
    <vt:lpwstr>true</vt:lpwstr>
  </property>
  <property fmtid="{D5CDD505-2E9C-101B-9397-08002B2CF9AE}" pid="5" name="MSIP_Label_3bb4f5e6-4689-4e32-8ee0-7c59def9675b_SetDate">
    <vt:lpwstr>2025-02-04T15:50:46Z</vt:lpwstr>
  </property>
  <property fmtid="{D5CDD505-2E9C-101B-9397-08002B2CF9AE}" pid="6" name="MSIP_Label_3bb4f5e6-4689-4e32-8ee0-7c59def9675b_Method">
    <vt:lpwstr>Privileged</vt:lpwstr>
  </property>
  <property fmtid="{D5CDD505-2E9C-101B-9397-08002B2CF9AE}" pid="7" name="MSIP_Label_3bb4f5e6-4689-4e32-8ee0-7c59def9675b_Name">
    <vt:lpwstr>3bb4f5e6-4689-4e32-8ee0-7c59def9675b</vt:lpwstr>
  </property>
  <property fmtid="{D5CDD505-2E9C-101B-9397-08002B2CF9AE}" pid="8" name="MSIP_Label_3bb4f5e6-4689-4e32-8ee0-7c59def9675b_SiteId">
    <vt:lpwstr>31ae1cef-2393-4eb1-8962-4e4bbfccd663</vt:lpwstr>
  </property>
  <property fmtid="{D5CDD505-2E9C-101B-9397-08002B2CF9AE}" pid="9" name="MSIP_Label_3bb4f5e6-4689-4e32-8ee0-7c59def9675b_ActionId">
    <vt:lpwstr>6d841728-79ce-4a8a-968b-4fdd46f158f3</vt:lpwstr>
  </property>
  <property fmtid="{D5CDD505-2E9C-101B-9397-08002B2CF9AE}" pid="10" name="MSIP_Label_3bb4f5e6-4689-4e32-8ee0-7c59def9675b_ContentBits">
    <vt:lpwstr>2</vt:lpwstr>
  </property>
</Properties>
</file>