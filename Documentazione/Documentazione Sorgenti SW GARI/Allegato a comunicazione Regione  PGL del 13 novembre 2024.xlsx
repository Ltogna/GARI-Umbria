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Archivi\Regione\2023-2024\Agricoltura\Allegati operativi di gestione Progetto e Contratto SIAR Lotto 3\PEC Trasmesse per comunicazioni contestazioni approvazioni\"/>
    </mc:Choice>
  </mc:AlternateContent>
  <xr:revisionPtr revIDLastSave="0" documentId="13_ncr:1_{73D1CE55-5710-4586-96CC-B4F2605FC2DF}" xr6:coauthVersionLast="47" xr6:coauthVersionMax="47" xr10:uidLastSave="{00000000-0000-0000-0000-000000000000}"/>
  <bookViews>
    <workbookView xWindow="1830" yWindow="1200" windowWidth="25845" windowHeight="14745" tabRatio="743" activeTab="3" xr2:uid="{00000000-000D-0000-FFFF-FFFF00000000}"/>
  </bookViews>
  <sheets>
    <sheet name="Riepilogo Contratto" sheetId="1" r:id="rId1"/>
    <sheet name="Project Plan" sheetId="10" r:id="rId2"/>
    <sheet name="Sintesi Rendiconti" sheetId="7" r:id="rId3"/>
    <sheet name="Gantt" sheetId="3" r:id="rId4"/>
    <sheet name="Valori per liste a discesa" sheetId="4" state="hidden" r:id="rId5"/>
    <sheet name="Settore" sheetId="5" state="hidden" r:id="rId6"/>
    <sheet name="Legende" sheetId="6" r:id="rId7"/>
  </sheets>
  <definedNames>
    <definedName name="_xlnm._FilterDatabase" localSheetId="3" hidden="1">Gantt!$A$2:$BR$54</definedName>
    <definedName name="_xlnm._FilterDatabase" localSheetId="5" hidden="1">Settore!$A$1:$B$87</definedName>
    <definedName name="CEUmbria">#REF!</definedName>
    <definedName name="Inizio_progetto">#REF!</definedName>
    <definedName name="prevWBS" localSheetId="1">'Project Plan'!$A1048576</definedName>
    <definedName name="Visualizza_settimana">#REF!</definedName>
  </definedNames>
  <calcPr calcId="191029"/>
</workbook>
</file>

<file path=xl/calcChain.xml><?xml version="1.0" encoding="utf-8"?>
<calcChain xmlns="http://schemas.openxmlformats.org/spreadsheetml/2006/main">
  <c r="H53" i="10" l="1"/>
  <c r="B53" i="10"/>
  <c r="A53" i="10"/>
  <c r="E48" i="10"/>
  <c r="F41" i="10"/>
  <c r="F48" i="10"/>
  <c r="H12" i="10"/>
  <c r="H13" i="10"/>
  <c r="H14" i="10"/>
  <c r="H15" i="10"/>
  <c r="H17" i="10"/>
  <c r="H18" i="10"/>
  <c r="H19" i="10"/>
  <c r="H20" i="10"/>
  <c r="H21" i="10"/>
  <c r="H22" i="10"/>
  <c r="H25" i="10"/>
  <c r="H26" i="10"/>
  <c r="H29" i="10"/>
  <c r="H30" i="10"/>
  <c r="H31" i="10"/>
  <c r="H32" i="10"/>
  <c r="H33" i="10"/>
  <c r="H34" i="10"/>
  <c r="H35" i="10"/>
  <c r="H36" i="10"/>
  <c r="H40" i="10"/>
  <c r="H43" i="10"/>
  <c r="H46" i="10"/>
  <c r="H48" i="10"/>
  <c r="H49" i="10"/>
  <c r="H50" i="10"/>
  <c r="H51" i="10"/>
  <c r="H52" i="10"/>
  <c r="E12" i="10"/>
  <c r="F12" i="10"/>
  <c r="E13" i="10"/>
  <c r="F13" i="10"/>
  <c r="E14" i="10"/>
  <c r="F14" i="10"/>
  <c r="E15" i="10"/>
  <c r="F15" i="10"/>
  <c r="E17" i="10"/>
  <c r="F17" i="10"/>
  <c r="E18" i="10"/>
  <c r="F18" i="10"/>
  <c r="E19" i="10"/>
  <c r="F19" i="10"/>
  <c r="E20" i="10"/>
  <c r="F20" i="10"/>
  <c r="E21" i="10"/>
  <c r="F21" i="10"/>
  <c r="E22" i="10"/>
  <c r="F22" i="10"/>
  <c r="E24" i="10"/>
  <c r="F24" i="10"/>
  <c r="E25" i="10"/>
  <c r="F25" i="10"/>
  <c r="E26" i="10"/>
  <c r="F26" i="10"/>
  <c r="E28" i="10"/>
  <c r="F28" i="10"/>
  <c r="E29" i="10"/>
  <c r="F29" i="10"/>
  <c r="E30" i="10"/>
  <c r="F30" i="10"/>
  <c r="E31" i="10"/>
  <c r="F31" i="10"/>
  <c r="E32" i="10"/>
  <c r="F32" i="10"/>
  <c r="E33" i="10"/>
  <c r="F33" i="10"/>
  <c r="E34" i="10"/>
  <c r="F34" i="10"/>
  <c r="E35" i="10"/>
  <c r="F35" i="10"/>
  <c r="E36" i="10"/>
  <c r="F36" i="10"/>
  <c r="E40" i="10"/>
  <c r="E45" i="10"/>
  <c r="F45" i="10"/>
  <c r="E46" i="10"/>
  <c r="F46" i="10"/>
  <c r="B52" i="10"/>
  <c r="A52" i="10"/>
  <c r="B51" i="10"/>
  <c r="A51" i="10"/>
  <c r="B50" i="10"/>
  <c r="A50" i="10"/>
  <c r="B49" i="10"/>
  <c r="A49" i="10"/>
  <c r="B48" i="10"/>
  <c r="A48" i="10"/>
  <c r="B47" i="10"/>
  <c r="A47" i="10"/>
  <c r="B46" i="10"/>
  <c r="A46" i="10"/>
  <c r="B45" i="10"/>
  <c r="A45" i="10"/>
  <c r="B44" i="10"/>
  <c r="A44" i="10"/>
  <c r="B43" i="10"/>
  <c r="A43" i="10"/>
  <c r="B42" i="10"/>
  <c r="A42" i="10"/>
  <c r="B41" i="10"/>
  <c r="A41" i="10"/>
  <c r="B40" i="10"/>
  <c r="A40" i="10"/>
  <c r="B39" i="10"/>
  <c r="A39" i="10"/>
  <c r="B38" i="10"/>
  <c r="A38" i="10"/>
  <c r="B37" i="10"/>
  <c r="B36" i="10"/>
  <c r="A36" i="10"/>
  <c r="B35" i="10"/>
  <c r="A35" i="10"/>
  <c r="B34" i="10"/>
  <c r="A34" i="10"/>
  <c r="B33" i="10"/>
  <c r="A33" i="10"/>
  <c r="B32" i="10"/>
  <c r="A32" i="10"/>
  <c r="B31" i="10"/>
  <c r="A31" i="10"/>
  <c r="B30" i="10"/>
  <c r="A30" i="10"/>
  <c r="B29" i="10"/>
  <c r="A29" i="10"/>
  <c r="B28" i="10"/>
  <c r="A28" i="10"/>
  <c r="B27" i="10"/>
  <c r="A27" i="10"/>
  <c r="B26" i="10"/>
  <c r="A26" i="10"/>
  <c r="B25" i="10"/>
  <c r="A25" i="10"/>
  <c r="B24" i="10"/>
  <c r="A24" i="10"/>
  <c r="B23" i="10"/>
  <c r="A23" i="10"/>
  <c r="B22" i="10"/>
  <c r="A22" i="10"/>
  <c r="B21" i="10"/>
  <c r="A21" i="10"/>
  <c r="B20" i="10"/>
  <c r="A20" i="10"/>
  <c r="B19" i="10"/>
  <c r="A19" i="10"/>
  <c r="B18" i="10"/>
  <c r="A18" i="10"/>
  <c r="F11" i="10"/>
  <c r="E11" i="10"/>
  <c r="F9" i="10"/>
  <c r="E9" i="10"/>
  <c r="B10" i="10"/>
  <c r="B11" i="10"/>
  <c r="B12" i="10"/>
  <c r="B13" i="10"/>
  <c r="B14" i="10"/>
  <c r="B15" i="10"/>
  <c r="B16" i="10"/>
  <c r="B17" i="10"/>
  <c r="B9" i="10"/>
  <c r="A10" i="10"/>
  <c r="A11" i="10"/>
  <c r="A12" i="10"/>
  <c r="A13" i="10"/>
  <c r="A14" i="10"/>
  <c r="A15" i="10"/>
  <c r="A16" i="10"/>
  <c r="A17" i="10"/>
  <c r="A9" i="10"/>
  <c r="B8" i="10"/>
  <c r="F8" i="10"/>
  <c r="I8" i="10" s="1"/>
  <c r="A8" i="10"/>
  <c r="K6" i="10"/>
  <c r="K7" i="10" s="1"/>
  <c r="G9" i="10" l="1"/>
  <c r="G11" i="10"/>
  <c r="G45" i="10"/>
  <c r="G33" i="10"/>
  <c r="G24" i="10"/>
  <c r="G19" i="10"/>
  <c r="G15" i="10"/>
  <c r="G46" i="10"/>
  <c r="G30" i="10"/>
  <c r="E49" i="10"/>
  <c r="G36" i="10"/>
  <c r="G32" i="10"/>
  <c r="G28" i="10"/>
  <c r="G22" i="10"/>
  <c r="G18" i="10"/>
  <c r="G13" i="10"/>
  <c r="G35" i="10"/>
  <c r="G31" i="10"/>
  <c r="G26" i="10"/>
  <c r="G17" i="10"/>
  <c r="G12" i="10"/>
  <c r="G29" i="10"/>
  <c r="G14" i="10"/>
  <c r="F40" i="10"/>
  <c r="G40" i="10" s="1"/>
  <c r="I36" i="10"/>
  <c r="G34" i="10"/>
  <c r="G25" i="10"/>
  <c r="E41" i="10"/>
  <c r="G41" i="10" s="1"/>
  <c r="G21" i="10"/>
  <c r="G20" i="10"/>
  <c r="E42" i="10"/>
  <c r="G48" i="10"/>
  <c r="I48" i="10"/>
  <c r="I46" i="10"/>
  <c r="I37" i="10"/>
  <c r="I29" i="10"/>
  <c r="I31" i="10"/>
  <c r="I33" i="10"/>
  <c r="I35" i="10"/>
  <c r="I45" i="10"/>
  <c r="I47" i="10"/>
  <c r="I28" i="10"/>
  <c r="I14" i="10"/>
  <c r="I30" i="10"/>
  <c r="I32" i="10"/>
  <c r="I34" i="10"/>
  <c r="I38" i="10"/>
  <c r="I25" i="10"/>
  <c r="I17" i="10"/>
  <c r="I24" i="10"/>
  <c r="I26" i="10"/>
  <c r="I22" i="10"/>
  <c r="I15" i="10"/>
  <c r="I20" i="10"/>
  <c r="I11" i="10"/>
  <c r="I21" i="10"/>
  <c r="I12" i="10"/>
  <c r="I19" i="10"/>
  <c r="I18" i="10"/>
  <c r="I13" i="10"/>
  <c r="I9" i="10"/>
  <c r="K4" i="10"/>
  <c r="K5" i="10"/>
  <c r="L6" i="10"/>
  <c r="M6" i="10" s="1"/>
  <c r="N6" i="10" s="1"/>
  <c r="I40" i="10" l="1"/>
  <c r="I41" i="10"/>
  <c r="F49" i="10"/>
  <c r="E50" i="10"/>
  <c r="E43" i="10"/>
  <c r="F43" i="10"/>
  <c r="F42" i="10"/>
  <c r="I42" i="10" s="1"/>
  <c r="M7" i="10"/>
  <c r="L7" i="10"/>
  <c r="N7" i="10"/>
  <c r="O6" i="10"/>
  <c r="I43" i="10" l="1"/>
  <c r="F50" i="10"/>
  <c r="G50" i="10" s="1"/>
  <c r="E51" i="10"/>
  <c r="G49" i="10"/>
  <c r="I49" i="10"/>
  <c r="E52" i="10"/>
  <c r="F51" i="10"/>
  <c r="G42" i="10"/>
  <c r="G43" i="10"/>
  <c r="P6" i="10"/>
  <c r="O7" i="10"/>
  <c r="I50" i="10" l="1"/>
  <c r="E53" i="10"/>
  <c r="F52" i="10"/>
  <c r="F53" i="10"/>
  <c r="I51" i="10"/>
  <c r="G51" i="10"/>
  <c r="Q6" i="10"/>
  <c r="P7" i="10"/>
  <c r="G53" i="10" l="1"/>
  <c r="I53" i="10"/>
  <c r="G52" i="10"/>
  <c r="I52" i="10"/>
  <c r="R6" i="10"/>
  <c r="Q7" i="10"/>
  <c r="R4" i="10" l="1"/>
  <c r="R5" i="10"/>
  <c r="S6" i="10"/>
  <c r="R7" i="10"/>
  <c r="T6" i="10" l="1"/>
  <c r="S7" i="10"/>
  <c r="U6" i="10" l="1"/>
  <c r="T7" i="10"/>
  <c r="V6" i="10" l="1"/>
  <c r="U7" i="10"/>
  <c r="V7" i="10" l="1"/>
  <c r="W6" i="10"/>
  <c r="X6" i="10" l="1"/>
  <c r="W7" i="10"/>
  <c r="Y6" i="10" l="1"/>
  <c r="X7" i="10"/>
  <c r="Y5" i="10" l="1"/>
  <c r="Y4" i="10"/>
  <c r="Z6" i="10"/>
  <c r="Y7" i="10"/>
  <c r="AA6" i="10" l="1"/>
  <c r="Z7" i="10"/>
  <c r="AB6" i="10" l="1"/>
  <c r="AA7" i="10"/>
  <c r="AC6" i="10" l="1"/>
  <c r="AB7" i="10"/>
  <c r="AD6" i="10" l="1"/>
  <c r="AC7" i="10"/>
  <c r="AD7" i="10" l="1"/>
  <c r="AE6" i="10"/>
  <c r="AF6" i="10" l="1"/>
  <c r="AE7" i="10"/>
  <c r="AF5" i="10" l="1"/>
  <c r="AF4" i="10"/>
  <c r="AG6" i="10"/>
  <c r="AF7" i="10"/>
  <c r="AH6" i="10" l="1"/>
  <c r="AG7" i="10"/>
  <c r="AI6" i="10" l="1"/>
  <c r="AH7" i="10"/>
  <c r="AJ6" i="10" l="1"/>
  <c r="AI7" i="10"/>
  <c r="AK6" i="10" l="1"/>
  <c r="AJ7" i="10"/>
  <c r="AL6" i="10" l="1"/>
  <c r="AK7" i="10"/>
  <c r="AL7" i="10" l="1"/>
  <c r="AM6" i="10"/>
  <c r="AN6" i="10" l="1"/>
  <c r="AM7" i="10"/>
  <c r="AM5" i="10"/>
  <c r="AM4" i="10"/>
  <c r="AO6" i="10" l="1"/>
  <c r="AN7" i="10"/>
  <c r="AP6" i="10" l="1"/>
  <c r="AO7" i="10"/>
  <c r="AQ6" i="10" l="1"/>
  <c r="AP7" i="10"/>
  <c r="AR6" i="10" l="1"/>
  <c r="AQ7" i="10"/>
  <c r="AS6" i="10" l="1"/>
  <c r="AR7" i="10"/>
  <c r="AT6" i="10" l="1"/>
  <c r="AS7" i="10"/>
  <c r="AT7" i="10" l="1"/>
  <c r="AT5" i="10"/>
  <c r="AT4" i="10"/>
  <c r="AU6" i="10"/>
  <c r="AV6" i="10" l="1"/>
  <c r="AU7" i="10"/>
  <c r="AW6" i="10" l="1"/>
  <c r="AV7" i="10"/>
  <c r="AX6" i="10" l="1"/>
  <c r="AW7" i="10"/>
  <c r="AY6" i="10" l="1"/>
  <c r="AX7" i="10"/>
  <c r="AZ6" i="10" l="1"/>
  <c r="AY7" i="10"/>
  <c r="BA6" i="10" l="1"/>
  <c r="AZ7" i="10"/>
  <c r="BB6" i="10" l="1"/>
  <c r="BA7" i="10"/>
  <c r="BA4" i="10"/>
  <c r="BA5" i="10"/>
  <c r="BB7" i="10" l="1"/>
  <c r="BC6" i="10"/>
  <c r="BD6" i="10" l="1"/>
  <c r="BC7" i="10"/>
  <c r="BE6" i="10" l="1"/>
  <c r="BD7" i="10"/>
  <c r="BF6" i="10" l="1"/>
  <c r="BE7" i="10"/>
  <c r="BG6" i="10" l="1"/>
  <c r="BF7" i="10"/>
  <c r="BH6" i="10" l="1"/>
  <c r="BG7" i="10"/>
  <c r="BI6" i="10" l="1"/>
  <c r="BH7" i="10"/>
  <c r="BH5" i="10"/>
  <c r="BH4" i="10"/>
  <c r="BJ6" i="10" l="1"/>
  <c r="BI7" i="10"/>
  <c r="BJ7" i="10" l="1"/>
  <c r="BK6" i="10"/>
  <c r="BL6" i="10" l="1"/>
  <c r="BK7" i="10"/>
  <c r="BM6" i="10" l="1"/>
  <c r="BL7" i="10"/>
  <c r="BN6" i="10" l="1"/>
  <c r="BM7" i="10"/>
  <c r="BN7" i="10" l="1"/>
  <c r="BO6" i="10"/>
  <c r="BP6" i="10" l="1"/>
  <c r="BO7" i="10"/>
  <c r="BO5" i="10"/>
  <c r="BO4" i="10"/>
  <c r="BQ6" i="10" l="1"/>
  <c r="BP7" i="10"/>
  <c r="BQ7" i="10" l="1"/>
  <c r="BR6" i="10"/>
  <c r="BS6" i="10" l="1"/>
  <c r="BR7" i="10"/>
  <c r="BT6" i="10" l="1"/>
  <c r="BS7" i="10"/>
  <c r="BT7" i="10" l="1"/>
  <c r="BU6" i="10"/>
  <c r="BU7" i="10" s="1"/>
  <c r="F39" i="7" l="1"/>
  <c r="E39" i="7"/>
  <c r="D39" i="7"/>
  <c r="C39" i="7"/>
  <c r="F31" i="7"/>
  <c r="E31" i="7"/>
  <c r="D31" i="7"/>
  <c r="C31" i="7"/>
  <c r="J33" i="1"/>
  <c r="J32" i="1"/>
  <c r="J31" i="1"/>
  <c r="J30" i="1"/>
  <c r="I33" i="1"/>
  <c r="H34" i="1"/>
  <c r="G34" i="1"/>
  <c r="B37" i="7" s="1"/>
  <c r="F34" i="1"/>
  <c r="B29" i="7" s="1"/>
  <c r="E34" i="1"/>
  <c r="F33" i="1"/>
  <c r="B28" i="7" s="1"/>
  <c r="E33" i="1"/>
  <c r="D34" i="1"/>
  <c r="I32" i="1"/>
  <c r="I31" i="1"/>
  <c r="I30" i="1"/>
  <c r="H32" i="1"/>
  <c r="G32" i="1"/>
  <c r="F32" i="1"/>
  <c r="E32" i="1"/>
  <c r="H31" i="1"/>
  <c r="G31" i="1"/>
  <c r="F31" i="1"/>
  <c r="E31" i="1"/>
  <c r="H30" i="1"/>
  <c r="G30" i="1"/>
  <c r="F30" i="1"/>
  <c r="D32" i="1"/>
  <c r="D31" i="1"/>
  <c r="D30" i="1"/>
  <c r="E30" i="1"/>
  <c r="B21" i="7"/>
  <c r="B20" i="7"/>
  <c r="E13" i="7"/>
  <c r="C13" i="7"/>
  <c r="F47" i="7"/>
  <c r="F49" i="7" s="1"/>
  <c r="E47" i="7"/>
  <c r="E49" i="7" s="1"/>
  <c r="H44" i="7"/>
  <c r="H43" i="7"/>
  <c r="H42" i="7"/>
  <c r="D23" i="7"/>
  <c r="C23" i="7"/>
  <c r="C49" i="7" s="1"/>
  <c r="E11" i="7"/>
  <c r="D11" i="7"/>
  <c r="D13" i="7" s="1"/>
  <c r="H7" i="7"/>
  <c r="D49" i="7" l="1"/>
  <c r="H47" i="7"/>
  <c r="J34" i="1" l="1"/>
  <c r="I34" i="1"/>
  <c r="H28" i="10"/>
  <c r="H33" i="1" l="1"/>
  <c r="G33" i="1" l="1"/>
  <c r="B36" i="7" s="1"/>
  <c r="F9" i="1"/>
  <c r="E9" i="1"/>
  <c r="D9" i="1"/>
  <c r="B9" i="7" s="1"/>
  <c r="F8" i="1"/>
  <c r="D8" i="1"/>
  <c r="B8" i="7" s="1"/>
  <c r="F7" i="1"/>
  <c r="D7" i="1"/>
  <c r="I29" i="1"/>
  <c r="I36" i="1" s="1"/>
  <c r="G29" i="1"/>
  <c r="B34" i="7" s="1"/>
  <c r="F29" i="1"/>
  <c r="J7" i="1"/>
  <c r="J11" i="1" s="1"/>
  <c r="F5" i="1"/>
  <c r="D5" i="1"/>
  <c r="E5" i="1"/>
  <c r="F6" i="1"/>
  <c r="E6" i="1"/>
  <c r="D6" i="1"/>
  <c r="H24" i="10"/>
  <c r="H11" i="10"/>
  <c r="F24" i="1"/>
  <c r="E24" i="1"/>
  <c r="D24" i="1"/>
  <c r="H24" i="1" s="1"/>
  <c r="H22" i="1"/>
  <c r="H21" i="1"/>
  <c r="H20" i="1"/>
  <c r="H19" i="1"/>
  <c r="H18" i="1"/>
  <c r="H13" i="1"/>
  <c r="H45" i="10"/>
  <c r="B39" i="7" l="1"/>
  <c r="H39" i="7" s="1"/>
  <c r="D33" i="1"/>
  <c r="F36" i="1"/>
  <c r="B26" i="7"/>
  <c r="B31" i="7" s="1"/>
  <c r="G36" i="1"/>
  <c r="H29" i="1"/>
  <c r="H36" i="1" s="1"/>
  <c r="D4" i="1"/>
  <c r="J29" i="1"/>
  <c r="J36" i="1" s="1"/>
  <c r="F4" i="1"/>
  <c r="F11" i="1" s="1"/>
  <c r="H8" i="7"/>
  <c r="B11" i="7"/>
  <c r="B13" i="7" s="1"/>
  <c r="H9" i="10"/>
  <c r="E8" i="1"/>
  <c r="H8" i="1" s="1"/>
  <c r="D29" i="1"/>
  <c r="E7" i="1"/>
  <c r="E4" i="1" s="1"/>
  <c r="E29" i="1"/>
  <c r="H9" i="1"/>
  <c r="E36" i="1" l="1"/>
  <c r="B18" i="7"/>
  <c r="B23" i="7" s="1"/>
  <c r="H23" i="7" s="1"/>
  <c r="D36" i="1"/>
  <c r="H31" i="7"/>
  <c r="B49" i="7"/>
  <c r="E11" i="1"/>
  <c r="F6" i="7"/>
  <c r="F11" i="7" s="1"/>
  <c r="F13" i="7" s="1"/>
  <c r="D11" i="1"/>
  <c r="J22" i="1"/>
  <c r="J21" i="1"/>
  <c r="L36" i="1" l="1"/>
  <c r="H49" i="7"/>
  <c r="H11" i="1"/>
  <c r="H6" i="7"/>
  <c r="H11" i="7" s="1"/>
  <c r="H13" i="7" s="1"/>
  <c r="H6" i="1"/>
  <c r="J19" i="1" l="1"/>
  <c r="H5" i="1" l="1"/>
  <c r="H7" i="1"/>
  <c r="H4" i="1" l="1"/>
  <c r="J20" i="1"/>
  <c r="J18" i="1"/>
  <c r="J12" i="1"/>
  <c r="H42" i="10" l="1"/>
  <c r="H4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A5B0FCE1-A349-4D86-A529-7FBF3645B51B}">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DAB754D7-4B35-4B6F-A913-2688D166B892}">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792F8A4B-4F6D-4F1D-9FED-46A6D809B4E2}">
      <text>
        <r>
          <rPr>
            <b/>
            <sz val="9"/>
            <color indexed="81"/>
            <rFont val="Tahoma"/>
            <family val="2"/>
          </rPr>
          <t>Task Lead</t>
        </r>
        <r>
          <rPr>
            <sz val="9"/>
            <color indexed="81"/>
            <rFont val="Tahoma"/>
            <family val="2"/>
          </rPr>
          <t xml:space="preserve">
Enter the name of the Task Lead in this column.</t>
        </r>
      </text>
    </comment>
    <comment ref="D7" authorId="0" shapeId="0" xr:uid="{6F7B6C56-C87A-4201-8FA7-CCE13E29BB28}">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3647FED9-7256-4888-8152-26D745320971}">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366B88F5-6C69-4436-95EF-25C46C172D5C}">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2E5C96D3-1BE1-42C0-9FAF-28E10157FC4A}">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36FD9D0B-5C67-42EF-B854-06169F34375A}">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F943AC7F-9B29-4184-842D-0D49A8B5EC36}">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<sst xmlns="http://schemas.openxmlformats.org/spreadsheetml/2006/main" count="432" uniqueCount="384">
  <si>
    <t>TOTALE</t>
  </si>
  <si>
    <t>Servizi Applicativi</t>
  </si>
  <si>
    <t>MEV/MAD</t>
  </si>
  <si>
    <t xml:space="preserve">Supporto specialistico Applicativo </t>
  </si>
  <si>
    <t>Servizi di Call Center</t>
  </si>
  <si>
    <t>TOTALI DA PDF</t>
  </si>
  <si>
    <t>ID</t>
  </si>
  <si>
    <t>STATO</t>
  </si>
  <si>
    <t>Titolo attività</t>
  </si>
  <si>
    <t>Servizio</t>
  </si>
  <si>
    <t>DA AVVIARE</t>
  </si>
  <si>
    <t>1.1</t>
  </si>
  <si>
    <t>Sviluppo software</t>
  </si>
  <si>
    <t>RILASCIATO IN ESERCIZIO</t>
  </si>
  <si>
    <t>IN CORSO</t>
  </si>
  <si>
    <t>COMPLETATO</t>
  </si>
  <si>
    <t>Supp. Spec. App. (Consumo)</t>
  </si>
  <si>
    <t>CANCELLATO</t>
  </si>
  <si>
    <t>SERVIZI DI CALL CENTER</t>
  </si>
  <si>
    <t>Servizi Desk(Canone)</t>
  </si>
  <si>
    <t>SERVIZI DI SUPPORTO SPECIALISTICO APPLICATIVO</t>
  </si>
  <si>
    <t>Stati</t>
  </si>
  <si>
    <t>Priorità</t>
  </si>
  <si>
    <t>Attori</t>
  </si>
  <si>
    <t>Referenti</t>
  </si>
  <si>
    <t>Tipologia attività</t>
  </si>
  <si>
    <t>PIANIFICATO</t>
  </si>
  <si>
    <t>1-Alta</t>
  </si>
  <si>
    <t>Progettuale</t>
  </si>
  <si>
    <t>Supporto Specialistico (a consumo)</t>
  </si>
  <si>
    <t>2-Media</t>
  </si>
  <si>
    <t>Continuativa</t>
  </si>
  <si>
    <t>3-Bassa</t>
  </si>
  <si>
    <t>DA RIPIANIFICARE</t>
  </si>
  <si>
    <t>NECESSARI APPROFONDIMENTI PER AVVIO</t>
  </si>
  <si>
    <t>DA PIANIFICARE</t>
  </si>
  <si>
    <t>RILASCIATO IN COLLAUDO</t>
  </si>
  <si>
    <t>ESITO POSITIVO AL COLLAUDO</t>
  </si>
  <si>
    <t>CODICE PIANO LDCSIN / CODICE COMPUTO</t>
  </si>
  <si>
    <t>denominazione Piano / descrizione computo</t>
  </si>
  <si>
    <t>001</t>
  </si>
  <si>
    <t>Fascicolo Aziendale OC</t>
  </si>
  <si>
    <t>002</t>
  </si>
  <si>
    <t>Fascicolo Aziendale OP</t>
  </si>
  <si>
    <t>003</t>
  </si>
  <si>
    <t>Condizionalità (SICC - Sistema integrato di controllo e condizionalità)</t>
  </si>
  <si>
    <t>006</t>
  </si>
  <si>
    <t>Miele</t>
  </si>
  <si>
    <t>007</t>
  </si>
  <si>
    <t>Domanda Unica</t>
  </si>
  <si>
    <t>008</t>
  </si>
  <si>
    <t xml:space="preserve">Tabacco </t>
  </si>
  <si>
    <t>009</t>
  </si>
  <si>
    <t>Latte</t>
  </si>
  <si>
    <t>010</t>
  </si>
  <si>
    <t>Aiuti nazionali filiere zootecniche</t>
  </si>
  <si>
    <t>011</t>
  </si>
  <si>
    <t>Ortofrutta fresca (programmi operativi)</t>
  </si>
  <si>
    <t>012</t>
  </si>
  <si>
    <t>PIANO PER LA RIGENERAZIONE OLIVICOLA DELLA PUGLIA DM 2484/2020 -INTERVENTI COMPENSATIVI A FAVORE DEI FRANTOI OLEARI</t>
  </si>
  <si>
    <t>014</t>
  </si>
  <si>
    <t>Registro titoli</t>
  </si>
  <si>
    <t>015</t>
  </si>
  <si>
    <t>Servizi fitosanitari</t>
  </si>
  <si>
    <t>016</t>
  </si>
  <si>
    <t>VCM</t>
  </si>
  <si>
    <t>017</t>
  </si>
  <si>
    <t>Agricoltura Biologica /SIB - sistema informatico del biologico</t>
  </si>
  <si>
    <t>018</t>
  </si>
  <si>
    <t>Sviluppo rurale -aiuti a superfici</t>
  </si>
  <si>
    <t>019</t>
  </si>
  <si>
    <t>Set aside strutturale</t>
  </si>
  <si>
    <t>020</t>
  </si>
  <si>
    <t>Sviluppo Rurale - Aiuti a strutture</t>
  </si>
  <si>
    <t>021</t>
  </si>
  <si>
    <t>CAI/Condizionalità</t>
  </si>
  <si>
    <t>022</t>
  </si>
  <si>
    <t>Programmi di sostegno all'olio d'oliva</t>
  </si>
  <si>
    <t>023</t>
  </si>
  <si>
    <t>Produzione integrata</t>
  </si>
  <si>
    <t>024</t>
  </si>
  <si>
    <t>Vino - distillazione,  arricchimento e magazzinaggio</t>
  </si>
  <si>
    <t>025</t>
  </si>
  <si>
    <t>Controlli oggettivi software</t>
  </si>
  <si>
    <t>026</t>
  </si>
  <si>
    <t>Potenziale produttivo viticolo - settore</t>
  </si>
  <si>
    <t>027</t>
  </si>
  <si>
    <t>Estirpazione e ristrutturazione vigneti; Ristrutturazione e riconversione vigneti</t>
  </si>
  <si>
    <t>028</t>
  </si>
  <si>
    <t>PIANO PER LA RIGENERAZIONE OLIVICOLA DELLA PUGLIA DM 2484/2020 - REIMPIANTI OLIVI ZONA INFETTA e SALVAGUARDIA OLIVI SECOLARI E MONUMENTALI</t>
  </si>
  <si>
    <t>029</t>
  </si>
  <si>
    <t>Vino - raccolta/produzione e giacenza</t>
  </si>
  <si>
    <t>030</t>
  </si>
  <si>
    <t>Domande di aiuto nazionale al settore vitivinicolo (Contenimento delle rese e stoccaggio vini)</t>
  </si>
  <si>
    <t>031</t>
  </si>
  <si>
    <t>Ulteriori servizi a supporto per il coordinamento - Controlli CAA II Livello</t>
  </si>
  <si>
    <t>032</t>
  </si>
  <si>
    <t>Vendemmia verde</t>
  </si>
  <si>
    <t>033</t>
  </si>
  <si>
    <t>Registri di carico e scarico (DL 91/2014 - LEGGE 116 11/8/2014)</t>
  </si>
  <si>
    <t>034</t>
  </si>
  <si>
    <t>Portale</t>
  </si>
  <si>
    <t>035</t>
  </si>
  <si>
    <t>Gestione posizioni amministrative (esecuzione pagamenti)</t>
  </si>
  <si>
    <t>036</t>
  </si>
  <si>
    <t>Monitoraggio Spese e Tabella delle X (OP ed OC)</t>
  </si>
  <si>
    <t>037</t>
  </si>
  <si>
    <t>Ulteriori servizi a supporto per il coordinamento - Controlli ex-post Reg. 1306/2013</t>
  </si>
  <si>
    <t>038</t>
  </si>
  <si>
    <t>Interscambio</t>
  </si>
  <si>
    <t>039</t>
  </si>
  <si>
    <t>GEOTAG</t>
  </si>
  <si>
    <t>040</t>
  </si>
  <si>
    <t>Protocollo</t>
  </si>
  <si>
    <t>041</t>
  </si>
  <si>
    <t>Aiuti agli indigenti</t>
  </si>
  <si>
    <t>042</t>
  </si>
  <si>
    <t>Sistemi di supporto alle decisioni</t>
  </si>
  <si>
    <t>043</t>
  </si>
  <si>
    <t>Aiuti di stato (registro)</t>
  </si>
  <si>
    <t>044</t>
  </si>
  <si>
    <t>Registro nazionale operatori ortofrutticoli (rno)</t>
  </si>
  <si>
    <t>045</t>
  </si>
  <si>
    <t>Monitoraggio e supporto alle decisioni</t>
  </si>
  <si>
    <t>046</t>
  </si>
  <si>
    <t>GIS</t>
  </si>
  <si>
    <t>047</t>
  </si>
  <si>
    <t>Sgu - sistema gestione utenti</t>
  </si>
  <si>
    <t>048</t>
  </si>
  <si>
    <t>Crediti da Irregolarita', crediti settoriali, garanzie e pignoramenti</t>
  </si>
  <si>
    <t>049</t>
  </si>
  <si>
    <t>Contabilita'</t>
  </si>
  <si>
    <t>050</t>
  </si>
  <si>
    <t>Registro Nazionale Debiti</t>
  </si>
  <si>
    <t>051</t>
  </si>
  <si>
    <t>Vino - programmi di promozione</t>
  </si>
  <si>
    <t>052</t>
  </si>
  <si>
    <t>DM GELATE - Aiuto ai frantoi colpiti da gelate</t>
  </si>
  <si>
    <t>053</t>
  </si>
  <si>
    <t>DM 9361598 del 4/12/2020 - Aiuti IV Gamma e I Gamma evoluta</t>
  </si>
  <si>
    <t>054</t>
  </si>
  <si>
    <t>Olio - Interventi per la filiera olivicola – art. 1 Legge 30 dicembre 2020, n. 178</t>
  </si>
  <si>
    <t>060</t>
  </si>
  <si>
    <t>Oli vegetali puri</t>
  </si>
  <si>
    <t>061</t>
  </si>
  <si>
    <t>Vino - misura a investimenti</t>
  </si>
  <si>
    <t>062</t>
  </si>
  <si>
    <t>Pesca</t>
  </si>
  <si>
    <t>063</t>
  </si>
  <si>
    <t>Sistema di Monitoraggio PSR 2023-2027</t>
  </si>
  <si>
    <t>065</t>
  </si>
  <si>
    <t>Filiera olio:icqrf-tracciabilita' prodotto olio di oliva</t>
  </si>
  <si>
    <t>066</t>
  </si>
  <si>
    <t>Aiuti generalizzati e ulteriori servizi a supporto</t>
  </si>
  <si>
    <t>068</t>
  </si>
  <si>
    <t>MAIN-Pagamenti Pregressi</t>
  </si>
  <si>
    <t>069</t>
  </si>
  <si>
    <t xml:space="preserve">Aiuti nazionali alle superfici </t>
  </si>
  <si>
    <t>070</t>
  </si>
  <si>
    <t>APPLICAZIONI PER DISPOSITIVI MOBILI</t>
  </si>
  <si>
    <t>071</t>
  </si>
  <si>
    <t>Assicurazioni agricole agevolate M17.1 OI</t>
  </si>
  <si>
    <t>072</t>
  </si>
  <si>
    <t>Sistema di prevenzione delle frodi</t>
  </si>
  <si>
    <t>073</t>
  </si>
  <si>
    <t>Repository Unico dei Certificati</t>
  </si>
  <si>
    <t>074</t>
  </si>
  <si>
    <t xml:space="preserve">Monitoring sentinel (AMS Area Monitoring Sentinel) </t>
  </si>
  <si>
    <t>075</t>
  </si>
  <si>
    <t>Contabilità economica e controllo di gestione</t>
  </si>
  <si>
    <t>076</t>
  </si>
  <si>
    <t>Assicurazioni agricole agevolate M17.1 OP</t>
  </si>
  <si>
    <t>077</t>
  </si>
  <si>
    <t>Assicurazioni agricole agevolate nazionali</t>
  </si>
  <si>
    <t>078</t>
  </si>
  <si>
    <t>Assicurazioni agricole agevolate M17.2 OI</t>
  </si>
  <si>
    <t>079</t>
  </si>
  <si>
    <t>Assicurazioni agricole agevolate M17.2 OP</t>
  </si>
  <si>
    <t>080</t>
  </si>
  <si>
    <t>Infrastruttura tecnologica</t>
  </si>
  <si>
    <t>081</t>
  </si>
  <si>
    <t>Supporto Uffici Agea L4</t>
  </si>
  <si>
    <t>082</t>
  </si>
  <si>
    <t xml:space="preserve">Controlli amministrativi, in loco ed ex post per le domande di pagamento delle misure 10,2,1 4,3,1 20,1,1 20,2,1 e 16,2,1 del PSRN e RRN </t>
  </si>
  <si>
    <t>083</t>
  </si>
  <si>
    <t>Nuova PAC</t>
  </si>
  <si>
    <t>084</t>
  </si>
  <si>
    <t>Aiuti nazionali alle imprese di trasformazione zootecniche</t>
  </si>
  <si>
    <t>085</t>
  </si>
  <si>
    <t>Registro delle operazioni colturali (Adozione del quaderno di campagna elettronico)</t>
  </si>
  <si>
    <t>086</t>
  </si>
  <si>
    <t>Monitoraggio osservatorio agrometeorologico</t>
  </si>
  <si>
    <t>087</t>
  </si>
  <si>
    <t>Servizi on demand</t>
  </si>
  <si>
    <t>088</t>
  </si>
  <si>
    <t xml:space="preserve"> Zone agricole svantaggiate per l’agricoltura</t>
  </si>
  <si>
    <t>090</t>
  </si>
  <si>
    <t>Assicurazioni agricole agevolate M17.3 OI</t>
  </si>
  <si>
    <t>091</t>
  </si>
  <si>
    <t>Assicurazioni agricole agevolate M17.3 OP</t>
  </si>
  <si>
    <t>092</t>
  </si>
  <si>
    <t>Data Platform and Business Intelligence</t>
  </si>
  <si>
    <t>093</t>
  </si>
  <si>
    <t>Data Governance</t>
  </si>
  <si>
    <t>094</t>
  </si>
  <si>
    <t>PNRR – Innovazione e meccanizzazione</t>
  </si>
  <si>
    <t>095</t>
  </si>
  <si>
    <t>Interoperabilità</t>
  </si>
  <si>
    <t>096</t>
  </si>
  <si>
    <t>SCHEDARI</t>
  </si>
  <si>
    <t>097</t>
  </si>
  <si>
    <t>sistema di supporto all’Ufficio Tecnico</t>
  </si>
  <si>
    <t>SETTORI AGGIUNTI</t>
  </si>
  <si>
    <t>NECESSARI APPROFONDIMENTI PER L'AVVIO</t>
  </si>
  <si>
    <t>RIPIANIFICATA</t>
  </si>
  <si>
    <t>Definizione precondizioni operative</t>
  </si>
  <si>
    <t>PRESA IN CARICO</t>
  </si>
  <si>
    <t>Incontri con Amministrazione</t>
  </si>
  <si>
    <t>Consegna  e Convalida</t>
  </si>
  <si>
    <t>I SEM 2025</t>
  </si>
  <si>
    <t>IV TRIM 2023</t>
  </si>
  <si>
    <t>MEV</t>
  </si>
  <si>
    <t>Sviluppo</t>
  </si>
  <si>
    <t>Assistenza spec</t>
  </si>
  <si>
    <t>Call center</t>
  </si>
  <si>
    <t>Conduzione Applicativa</t>
  </si>
  <si>
    <t>3.2</t>
  </si>
  <si>
    <t>Sviluppo Software gg/persona</t>
  </si>
  <si>
    <t>PdF</t>
  </si>
  <si>
    <t>TOTALE 
PIANIFICATO</t>
  </si>
  <si>
    <t>3.1</t>
  </si>
  <si>
    <t>1.3</t>
  </si>
  <si>
    <t>Knowledge Transfer</t>
  </si>
  <si>
    <t>I TRIMESTRE 2024</t>
  </si>
  <si>
    <t>I TRIMESTRE 2025</t>
  </si>
  <si>
    <t>II TRIMESTRE 2025</t>
  </si>
  <si>
    <t>II TRIMESTRE 2024</t>
  </si>
  <si>
    <t>III TRIMESTRE 2024</t>
  </si>
  <si>
    <t>IV TRIMESTRE 2024</t>
  </si>
  <si>
    <t>III TRIMESTRE 2025</t>
  </si>
  <si>
    <t>IV TRIMESTRE 2025</t>
  </si>
  <si>
    <t>1.4</t>
  </si>
  <si>
    <t>1.2</t>
  </si>
  <si>
    <t>3.3</t>
  </si>
  <si>
    <t xml:space="preserve">RILASCIO 1 - Rif. Doc. fase unica PT000849TECH001 </t>
  </si>
  <si>
    <t xml:space="preserve">RILASCIO 2 - Rif. Doc. fase unica PT000849TECH001 </t>
  </si>
  <si>
    <t xml:space="preserve">RILASCIO 4 - Rif. Doc. fase unica PT000849TECH001 </t>
  </si>
  <si>
    <t xml:space="preserve">RILASCIO 5 - Rif. Doc. fase unica PT000849TECH001 </t>
  </si>
  <si>
    <t>Conduzione applicativa(Consumo)</t>
  </si>
  <si>
    <t>Totale Collaudato</t>
  </si>
  <si>
    <t>Pianificato</t>
  </si>
  <si>
    <t>Totale  Pianificato</t>
  </si>
  <si>
    <t>Disponibilità Piattaforma GARI BASE</t>
  </si>
  <si>
    <t>RILASCIO 3 - Rif. Doc. fase unica PT000849TECH001</t>
  </si>
  <si>
    <t>1.5</t>
  </si>
  <si>
    <t>Residuo da Pianificare</t>
  </si>
  <si>
    <t>III TRIMESTRE 2023</t>
  </si>
  <si>
    <t>IV TRIMESTRE 2023</t>
  </si>
  <si>
    <t>Supporto Specialistico  2024</t>
  </si>
  <si>
    <t>Supporto Specialistico - I TRIM 2024</t>
  </si>
  <si>
    <t>Supporto Specialistico - II TRIM 2024</t>
  </si>
  <si>
    <t>Supporto Specialistico - I TRIM 2025</t>
  </si>
  <si>
    <t>Supporto Specialistio  2025</t>
  </si>
  <si>
    <t>Supporto Specialistico - II TRIM 2025</t>
  </si>
  <si>
    <t>I TRIM 2024</t>
  </si>
  <si>
    <t>II TRIM 2024</t>
  </si>
  <si>
    <t>III TRIM 2024</t>
  </si>
  <si>
    <t>IV TRIM 2024</t>
  </si>
  <si>
    <t>I TRIM 2025</t>
  </si>
  <si>
    <t>II TRIM 2025</t>
  </si>
  <si>
    <t>MEV GARI-PA per porting (IV TRIM 23) su nuovo ambiente di tutti i moduli (BASE, PUA, QDCA, UMA)</t>
  </si>
  <si>
    <t>MEV - GARI QDCA - DSS - solo front-end (no algoritmi /API) + adeguamento salvataggio su GARI degli output relativi ai consigli dei Modelli Previsionali difesa e Irrigazione + Meteo (DSS)</t>
  </si>
  <si>
    <t>2.1</t>
  </si>
  <si>
    <t>2.2</t>
  </si>
  <si>
    <t>4.1</t>
  </si>
  <si>
    <t>4.2</t>
  </si>
  <si>
    <t>GARI - QDCA</t>
  </si>
  <si>
    <t>GARI BASE</t>
  </si>
  <si>
    <t>GARI PUA</t>
  </si>
  <si>
    <t>Report ARPA: dati di impiego dei prodotti fitosanitari</t>
  </si>
  <si>
    <t>2.3</t>
  </si>
  <si>
    <t>2.4</t>
  </si>
  <si>
    <t>2.5</t>
  </si>
  <si>
    <t>2.6</t>
  </si>
  <si>
    <t>GARI PA - UMA</t>
  </si>
  <si>
    <t>4.3</t>
  </si>
  <si>
    <t>4.4</t>
  </si>
  <si>
    <t>4.5</t>
  </si>
  <si>
    <t>4.6</t>
  </si>
  <si>
    <t>4.7</t>
  </si>
  <si>
    <t>4.8</t>
  </si>
  <si>
    <t>6.1</t>
  </si>
  <si>
    <t>6.2</t>
  </si>
  <si>
    <t>TOTALE 
PdF</t>
  </si>
  <si>
    <t>Supporto Specialistico -  III TRIM 2024</t>
  </si>
  <si>
    <t xml:space="preserve">Supporto Specialistico -  IV TRIM 2024 </t>
  </si>
  <si>
    <t xml:space="preserve">Sviluppo SW GARI - DSS per misure ACA </t>
  </si>
  <si>
    <t>Attivazione registri bio nel contesto del  QDCA GARI, setting, configurazioni, profilazioni utenti, ecc.</t>
  </si>
  <si>
    <t>4.9</t>
  </si>
  <si>
    <t>GARI-BASE Re-ingegnerizzazione della piattaforma GIAS per implementare la nuova piattaforma GARI su nuove tecnologie ( i.e  tecnologia Angular)</t>
  </si>
  <si>
    <t>Implementazione del Modulo di Gestione dei documenti funzionale ai moduli GARI (Evolutive, installazione, configurazione/setting e profilazione utenza)</t>
  </si>
  <si>
    <t>Sviluppo SW GARI - Misure ACA</t>
  </si>
  <si>
    <t xml:space="preserve">Sviluppo funzionalità di Interlavoro con il sistema SIAN per importare il Piano colturale Grafico AGEA, compendiato dagli attributi catastali alfanumerici e altre informazioni legate alle consistenze aziendali funzionali alla gestione GARI
Con acquisizione dei dati di fascicolo necessari ai procedimenti del GARI se e come esposti da AGEA. </t>
  </si>
  <si>
    <t>Acquisizione ,raccordo e verifica dei dati  Meteo/DSS da sorgenti esterne</t>
  </si>
  <si>
    <t>Acquisizione, raccordo e verifica dei dati  Meteo/DSS da sorgenti esterne</t>
  </si>
  <si>
    <t>Revisione dei moduli QUADERNO SQNPI e BIO  per essere utilizzabili e integrabili  sulle nuove tecnologie introdotte con il paradigma PCG</t>
  </si>
  <si>
    <t>UMA  Re-ingegnerizzazione della piattaforma GIAS per implementare la nuova piattaforma GARI su nuove tecnologie introdotte con il paradigma PCG</t>
  </si>
  <si>
    <t>GARI-PUA Re-ingegnerizzazione della piattaforma GIAS per implementare la nuova piattaforma GARI su nuove tecnologie ( i.e  tecnologia Angular)</t>
  </si>
  <si>
    <t>QCDA-Re-ingegnerizzazione della piattaforma GIAS per implementare la nuova piattaforma GARI su nuove tecnologie ( i.e  tecnologia Angular)</t>
  </si>
  <si>
    <t>Implementazione del modulo GARI-GIS  per la gestione( nel contesto GIS) i dati importati dal SIAN relativi al PCG (nuovo sistema di riferimento wgs84)</t>
  </si>
  <si>
    <t>Gestione delle Anagrafiche (risorse , macchine, analisi terreno etc)</t>
  </si>
  <si>
    <t xml:space="preserve">Nuovo Modulo PUA incluso la interoperabilità con ACA per le 04 13 e 24 - Fase1 </t>
  </si>
  <si>
    <t>Nuovo Modulo PUA collegamento e funzionamento su base PCG - Fase2</t>
  </si>
  <si>
    <t>Servizi call center - I TRIM 2024</t>
  </si>
  <si>
    <t>Servizi call center - II TRIM 2024</t>
  </si>
  <si>
    <t>Servizi call center - III TRIM 2024</t>
  </si>
  <si>
    <t>Servizi call center - IV TRIM 2024</t>
  </si>
  <si>
    <t>Servizi call center - I TRIM 2025</t>
  </si>
  <si>
    <t>Servizi call center - II TRIM 2025</t>
  </si>
  <si>
    <t>5.1</t>
  </si>
  <si>
    <t>5.1.1</t>
  </si>
  <si>
    <t>5.1.2</t>
  </si>
  <si>
    <t>5.1.3</t>
  </si>
  <si>
    <t>5.1.4</t>
  </si>
  <si>
    <t>5.2</t>
  </si>
  <si>
    <t>5.2.1</t>
  </si>
  <si>
    <t>5.2.2</t>
  </si>
  <si>
    <t>6.3</t>
  </si>
  <si>
    <t>6.4</t>
  </si>
  <si>
    <t>6.5</t>
  </si>
  <si>
    <t>6.6</t>
  </si>
  <si>
    <t>LEONARDO</t>
  </si>
  <si>
    <t>DXC</t>
  </si>
  <si>
    <t>ABACO</t>
  </si>
  <si>
    <t>E-GEOS</t>
  </si>
  <si>
    <t>GREEN-AUS</t>
  </si>
  <si>
    <t>ANNO 2023</t>
  </si>
  <si>
    <t>Servzi Infrastrutturali</t>
  </si>
  <si>
    <t>Servizi di supporto specialistico</t>
  </si>
  <si>
    <t>Call Center</t>
  </si>
  <si>
    <t>TOTALI</t>
  </si>
  <si>
    <t>IV Trimestre 2023</t>
  </si>
  <si>
    <t>TOTALE ANNO 2023</t>
  </si>
  <si>
    <t>ANNO 2024</t>
  </si>
  <si>
    <t>I Trimestre 2024</t>
  </si>
  <si>
    <t>Compilati</t>
  </si>
  <si>
    <t>II Trimestre 2024</t>
  </si>
  <si>
    <t>III Trimestre 2024</t>
  </si>
  <si>
    <t>IV Trimestre 2024</t>
  </si>
  <si>
    <t>TOTALE ANNO 2024</t>
  </si>
  <si>
    <t>SERVIZI APPLICATIVI - ATTIVITA' DI CARATTERE PROGETTUALE
(Sviluppo SW + MEV+Supporto Specialistico Operativo)</t>
  </si>
  <si>
    <t xml:space="preserve">ATTIVITA' DI CARATTERE CONTINUATIVO (NON PROGETTUALE)
</t>
  </si>
  <si>
    <t xml:space="preserve">Supporto Specialistico Applicativo </t>
  </si>
  <si>
    <t>Predecessore
/vincoli</t>
  </si>
  <si>
    <t xml:space="preserve">Display Week </t>
  </si>
  <si>
    <t xml:space="preserve">Project Lead </t>
  </si>
  <si>
    <r>
      <rPr>
        <i/>
        <u/>
        <sz val="8"/>
        <color theme="1" tint="0.34998626667073579"/>
        <rFont val="Arial"/>
        <family val="2"/>
      </rPr>
      <t>Gantt Chart Template</t>
    </r>
    <r>
      <rPr>
        <i/>
        <sz val="8"/>
        <color theme="1" tint="0.34998626667073579"/>
        <rFont val="Arial"/>
        <family val="2"/>
      </rPr>
      <t xml:space="preserve"> © 2006-2018 by Vertex42.com.</t>
    </r>
  </si>
  <si>
    <t>WBS</t>
  </si>
  <si>
    <t>TASK</t>
  </si>
  <si>
    <t>LEAD</t>
  </si>
  <si>
    <t>Regione Umbria - GARI</t>
  </si>
  <si>
    <t>Data Inizio Progetto</t>
  </si>
  <si>
    <t>PREDECESSORI</t>
  </si>
  <si>
    <t>INIZIO</t>
  </si>
  <si>
    <t>FINE</t>
  </si>
  <si>
    <t>Durata gg</t>
  </si>
  <si>
    <t>% COMPLETAMENTO</t>
  </si>
  <si>
    <t>GIORNI Lavorativi</t>
  </si>
  <si>
    <t>Come da documento presentato e  approvato tecnicamente e per cui occorre procedere con:
• Piano degli interventi di sviluppo software e dei rilasci previsti per rispondere alle esigenze          
• Piano di installazione del modulo/servizi SQNPI nel cloud di esercizio del GARI, secondo il processo di attivazione dell’uso della funzionalità concordato nelle riunioni del 4 e del 5 novembre
• Quadro del dettaglio dei costi gli interventi complessivi previsti per gli sviluppi e per l’attivazione del modulo/servizi
• Piano di formazione degli utenti e di rilascio della documentazione d’uso del prodotto
• Elenco degli output complessivi previsti dall’attività della proposta (sorgente, compilato, documenti)</t>
  </si>
  <si>
    <t>Mancano le relazioni sul lavoro svolto come previsto anche al capitolo 9 del Piano generale di lavoro WORD</t>
  </si>
  <si>
    <t>Indicazioni operative ed amministrative su cui operare per dare seguito al Piano di lavoro secondo lo stato dell'arte delle atttività disucsso e rivisto nella riunione del 13 novembre 2024</t>
  </si>
  <si>
    <t>Indicazioni e impegni attesi da parte del RTI</t>
  </si>
  <si>
    <r>
      <t xml:space="preserve">DA PREVEDERE NEL PIANO LAVORO OBIETTIVO 
1. documento tecniconell'ultima versione del RTI come valutazione tecnico funzionale del modello di servizio rilasciato nel GARI.  A riguardo è essenziale che il GARI / DSS </t>
    </r>
    <r>
      <rPr>
        <b/>
        <sz val="16"/>
        <rFont val="Calibri"/>
        <family val="2"/>
      </rPr>
      <t xml:space="preserve"> abbia strumenti e canali digitali di richiesta partendo dai dati delle Aziende, in grado di assumere, registrare e conservare elaborati/ documentali;
</t>
    </r>
    <r>
      <rPr>
        <sz val="16"/>
        <rFont val="Calibri"/>
        <family val="2"/>
      </rPr>
      <t>2. A compendio  dovrà essere previsto un contesto professionale del RTI a supporto e in grado di assicurare il change management ad una struttura composta da personale di uffici regionale del fitosanitario e/o dei colleghi referenti ACA (fertilizzazione e irrigazione) sull'utilizzo dell'ambiente e dei relativi servizi in assistenza dell'utenza territoriale</t>
    </r>
  </si>
  <si>
    <t>nessuno</t>
  </si>
  <si>
    <t>Per chiudere questa operazione e, consenguentemente poter vagliare l'attività di cui al punto 1.1 occorre:
• rivedere la documentazione della ver.02.02  GARI che deve prevedere le sole non conformità sollevate con il collaudo ufficiale del 22 gennaio 2024;
• Risistemazione di tutti i documenti già trasmessi secondo le indicazioni ricevute dopo la lettura degli stessi da parte della Regione e delle indicazioni inviate con le mail e le PEC in cui sono stati trasmessi i documenti di osservazione;
• rilascio nell’ambiente cloud test/collaudo e nel Repository del codice Sorgente, del codice compilato e della documentazione già prodotta e sistemata versionata come 01.01, come consegna del prodotto Open source commissionato da Regione ad RTI per la continuità di servizio dell’ex GIAS e collaudato il 22 gennaio 2024 con verbale registrato. Per i documenti vedi la nota già trasmessa nei giorni passati con i tipi di documenti previsti per i rilascio del software GARI. secondo le linee guid agid e L'appendice 6 della Convenzione CONSIP Agea; 
• predisposizione del Verbale della presa d’atto finale del rilascio della versione 01.01 con le non conformità risolte attraverso la versione 02.02</t>
  </si>
  <si>
    <t>Produzione del documento architetturale comprensivo di tutte le caratteristiche del GARI discusse, presentate e condivise tra le parti a seguito dell' analisi dei documenti Agea e delle schede richiesta intervento presentate dalla Regione, nonchè delle decisioni di carattere tecnologico prese dal RTI nel passaggio di trasformazione dell'open Socurce consegnato in quello che sarà a fine contratto il GARI della Regione dell'Umbria.</t>
  </si>
  <si>
    <t>Produzione del documento con appositi capitoli delle specifiche tecniche e funzionali del GARI per la parte relativa allo scambio dati (flussi) tra Regione ed Agea, compreso OP (attività 1.2 e 1.3). Ad oggi, infatti, non è stato rilasciato dal RTI alcun documento tecnico a corredo che consente una approvazione a procedere da parte della Regione o comunque che ne testimonia la conoscenza. Analogamente, per l'attività 1.4 è necessario produrre un documento un capitolo di specifiche delle anagrafiche di Sistema (collegate ai fascicoli Aziendali) di aggiornamento e revisione della anagrafiche già presenti e delle eventuali nuove, evinte dalle richieste delle schede intervento e dal progetto del nuovo SIAN di Agea.
Anche per l'attività 1.5 è necessario produrre nel documento un capitolo a riguardo con la descrizione del sistema di gestione e collegamento dei documenti alle informazioni a corredo degli impegni e delle anagrafiche inserite degli utenti.
In relazione a questo aspetto è necessario introdurre nel Progetto evolutivo del GARI BASE la presenza esplicita nel documento richiesto dal Fascicolo Aziendale GARI come contesto popolato a partire dal SIAN, superando come concordato nelle riunioni tra le parti l'interazione ad oggi con il contesto del Fascicolo di Agea Coordinamento, presente nell'Open Source 01.01 del 22 gennaio.
Quanto qui espresso è ESSENZIALE per poter approvare le attività qui descritte ed è importante che il tutto sia disponibile quanto prima per poter arrivare a poter disporre di una prima release del GARI grafico entro i tempi previsti dal Piano di lavoro generale</t>
  </si>
  <si>
    <t>Per chiudere e chiudere questa attività di progetto e trasferire l'output in esercizio è necessario produrre:
•	Comunicazione e certificazione della installazione del modulo UMA 2024 finale nel Cloud di Esercizio;
•	Disponibilità del manuale uso utente rilasciato per gli  utilizzatori;
•	inserimento nel Repository regionale della documentazione finale di rilascio prevista per i software posti in esercizio, con verbale congiunto di constatazione e presa in carico del gruppo di lavoro dell’Help Desk di primo livello;
•	Definizione e verifica dei documenti amministrativi di chiusura, presa in carico del prodotto per la liquidazione dell’importo complessivo UMA previsto dal progetto 2023/2024;
•	Predisposizione e rilascio del Piano di Assistenza per l’UMA in esercizio da rendicontare nell’assistenza applicativa prevista dal contratto.</t>
  </si>
  <si>
    <t>Questa attività va descritta come capitolo del documento delle evoluzioni UMA 2025</t>
  </si>
  <si>
    <t>Quanto illustrato in tutte queste attività va descritto in un documento di proposta tecnico economica unico dell'attività prevista per il PUA. Come concordato si tratta di predisporre un documento descrittivo completando e integrando quello già presentato, ponendo in allegato il Piano di lavoro obiettivo nella forma discussa in questo periodo tra le parti.
L'attività 3.1 può essere descritta e presentata con un documento esterno allegato alla proposta già trasmessa dal RTI, a completamento delle richieste presenti nella Scheda intervento regionale sulla parte grafica</t>
  </si>
  <si>
    <t xml:space="preserve">Questa attività  va descritta come integrazione (anche allegato separato) al documento di proposta già trasmesso da RTI per l'ACA (4.2. e 4.3) , a completamento delle richieste presenti nella Scheda intervento regionale sulla parte grafica
</t>
  </si>
  <si>
    <t>Al momento sospeso in corso di verfica da parte di Regione la possibilità di un uso del prodotto/servizio più esteso e pertanto è necessario verificare la completezza e rispondenza rispetto alla richiesta fatta dalla Regione specifica per l'ARPA. Visto il prodotto software proposto dal RTI si è ritenuto di verificare la possibilità di poter estendere l'uso a altri uffici.</t>
  </si>
  <si>
    <t>la descrizione di questa attività va inserita  nel documento complessivo SQNPI / ACA  di cui ai punti 31. 3.2 3.3</t>
  </si>
  <si>
    <t>Per questa sezione di progetto deve essere previsto un vero e proprio PIANO di LAVORO OBIETTIVO  in cui siano descritti e aggiornati, a seguito di rilasci del software incrementale, i servizi resi e le modalità di erogazione. Il termine corretto per questa fattispecie di attività sarebbe "Piano di esercizio del Sistema GaRI"
Questo piano trimestralmente come indicato nelle righe sotto va rendicontato con un documento apposito che possiamo condividere ci sono modelli usati a riguardo in altri progetti, semplici ed efficaci.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</si>
</sst>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8" formatCode="#,##0.00\ &quot;€&quot;;[Red]\-#,##0.00\ &quot;€&quot;"/>
    <numFmt numFmtId="44" formatCode="_-* #,##0.00\ &quot;€&quot;_-;\-* #,##0.00\ &quot;€&quot;_-;_-* &quot;-&quot;??\ &quot;€&quot;_-;_-@_-"/>
    <numFmt numFmtId="165" formatCode="[$-409]d\-mmm\-yy;@"/>
    <numFmt numFmtId="166" formatCode="ddd\,\ d/m/yyyy"/>
    <numFmt numFmtId="167" formatCode="#,##0.00\ &quot;€&quot;"/>
    <numFmt numFmtId="169" formatCode="_([$€-2]\ * #,##0.00_);_([$€-2]\ * \(#,##0.00\);_([$€-2]\ * &quot;-&quot;??_);_(@_)"/>
    <numFmt numFmtId="170" formatCode="[$€-2]\ #,##0.00"/>
    <numFmt numFmtId="171" formatCode="_-[$€-2]\ * #,##0.00_-;\-[$€-2]\ * #,##0.00_-;_-[$€-2]\ * &quot;-&quot;??_-;_-@_-"/>
    <numFmt numFmtId="172" formatCode="d"/>
    <numFmt numFmtId="173" formatCode="m/d/yyyy\ \(dddd\)"/>
    <numFmt numFmtId="174" formatCode="d\ mmm\ yyyy"/>
    <numFmt numFmtId="175" formatCode="ddd\ m/dd/yy"/>
    <numFmt numFmtId="176" formatCode="ddd\ dd/m/yy"/>
    <numFmt numFmtId="177" formatCode="ddd\ dd/mm/yy"/>
  </numFmts>
  <fonts count="7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0"/>
      <name val="Calibri"/>
      <family val="2"/>
      <scheme val="minor"/>
    </font>
    <font>
      <sz val="16"/>
      <color theme="1"/>
      <name val="Calibri"/>
      <family val="2"/>
      <scheme val="minor"/>
    </font>
    <font>
      <b/>
      <sz val="16"/>
      <color theme="1"/>
      <name val="Calibri"/>
      <family val="2"/>
      <scheme val="minor"/>
    </font>
    <font>
      <sz val="18"/>
      <color theme="1"/>
      <name val="Calibri"/>
      <family val="2"/>
      <scheme val="minor"/>
    </font>
    <font>
      <sz val="14"/>
      <color theme="1"/>
      <name val="Calibri"/>
      <family val="2"/>
      <scheme val="minor"/>
    </font>
    <font>
      <sz val="20"/>
      <color theme="1"/>
      <name val="Calibri"/>
      <family val="2"/>
      <scheme val="minor"/>
    </font>
    <font>
      <sz val="12"/>
      <color theme="1"/>
      <name val="Calibri"/>
      <family val="2"/>
      <scheme val="minor"/>
    </font>
    <font>
      <b/>
      <sz val="14"/>
      <color theme="1"/>
      <name val="Calibri"/>
      <family val="2"/>
      <scheme val="minor"/>
    </font>
    <font>
      <sz val="16"/>
      <color theme="0"/>
      <name val="Calibri"/>
      <family val="2"/>
      <scheme val="minor"/>
    </font>
    <font>
      <sz val="16"/>
      <name val="Calibri"/>
      <family val="2"/>
      <scheme val="minor"/>
    </font>
    <font>
      <b/>
      <sz val="16"/>
      <name val="Calibri"/>
      <family val="2"/>
      <scheme val="minor"/>
    </font>
    <font>
      <sz val="11"/>
      <name val="Calibri"/>
      <family val="2"/>
      <scheme val="minor"/>
    </font>
    <font>
      <b/>
      <sz val="12"/>
      <color theme="0"/>
      <name val="Calibri"/>
      <family val="2"/>
      <scheme val="minor"/>
    </font>
    <font>
      <b/>
      <sz val="12"/>
      <color theme="1"/>
      <name val="Calibri"/>
      <family val="2"/>
      <scheme val="minor"/>
    </font>
    <font>
      <sz val="12"/>
      <color theme="1"/>
      <name val="Calibri"/>
      <family val="2"/>
    </font>
    <font>
      <b/>
      <sz val="8"/>
      <color theme="1"/>
      <name val="Calibri"/>
      <family val="2"/>
      <scheme val="minor"/>
    </font>
    <font>
      <sz val="11"/>
      <color theme="1"/>
      <name val="Calibri"/>
      <family val="2"/>
    </font>
    <font>
      <sz val="11"/>
      <name val="Arial"/>
      <family val="2"/>
    </font>
    <font>
      <sz val="10"/>
      <name val="Arial"/>
      <family val="2"/>
    </font>
    <font>
      <sz val="11"/>
      <color theme="1"/>
      <name val="Calibri"/>
      <family val="2"/>
      <scheme val="minor"/>
    </font>
    <font>
      <sz val="8"/>
      <name val="Calibri"/>
      <family val="2"/>
      <scheme val="minor"/>
    </font>
    <font>
      <b/>
      <i/>
      <sz val="12"/>
      <color theme="0"/>
      <name val="Calibri"/>
      <family val="2"/>
      <scheme val="minor"/>
    </font>
    <font>
      <b/>
      <i/>
      <sz val="12"/>
      <color theme="1"/>
      <name val="Calibri"/>
      <family val="2"/>
      <scheme val="minor"/>
    </font>
    <font>
      <b/>
      <sz val="12"/>
      <color theme="4" tint="-0.249977111117893"/>
      <name val="Calibri"/>
      <family val="2"/>
      <scheme val="minor"/>
    </font>
    <font>
      <b/>
      <i/>
      <sz val="12"/>
      <color theme="4" tint="-0.249977111117893"/>
      <name val="Calibri"/>
      <family val="2"/>
      <scheme val="minor"/>
    </font>
    <font>
      <i/>
      <sz val="12"/>
      <color theme="1"/>
      <name val="Calibri"/>
      <family val="2"/>
      <scheme val="minor"/>
    </font>
    <font>
      <b/>
      <sz val="10"/>
      <color theme="1"/>
      <name val="Calibri"/>
      <family val="2"/>
      <scheme val="minor"/>
    </font>
    <font>
      <i/>
      <sz val="12"/>
      <name val="Calibri"/>
      <family val="2"/>
      <scheme val="minor"/>
    </font>
    <font>
      <sz val="12"/>
      <name val="Calibri"/>
      <family val="2"/>
      <scheme val="minor"/>
    </font>
    <font>
      <sz val="10"/>
      <color indexed="64"/>
      <name val="Arial"/>
      <family val="2"/>
    </font>
    <font>
      <b/>
      <sz val="11"/>
      <color theme="1"/>
      <name val="Calibri"/>
      <family val="2"/>
      <scheme val="minor"/>
    </font>
    <font>
      <sz val="16"/>
      <name val="Calibri"/>
      <family val="2"/>
    </font>
    <font>
      <b/>
      <sz val="11"/>
      <color theme="3"/>
      <name val="Calibri"/>
      <family val="2"/>
      <scheme val="minor"/>
    </font>
    <font>
      <b/>
      <sz val="11"/>
      <color theme="0"/>
      <name val="Calibri"/>
      <family val="2"/>
      <scheme val="minor"/>
    </font>
    <font>
      <b/>
      <sz val="18"/>
      <color theme="1"/>
      <name val="Calibri"/>
      <family val="2"/>
      <scheme val="minor"/>
    </font>
    <font>
      <b/>
      <sz val="24"/>
      <color theme="1"/>
      <name val="Calibri"/>
      <family val="2"/>
      <scheme val="minor"/>
    </font>
    <font>
      <b/>
      <sz val="11"/>
      <color theme="6" tint="-0.499984740745262"/>
      <name val="Calibri"/>
      <family val="2"/>
      <scheme val="minor"/>
    </font>
    <font>
      <b/>
      <sz val="11"/>
      <color theme="9" tint="-0.249977111117893"/>
      <name val="Calibri"/>
      <family val="2"/>
      <scheme val="minor"/>
    </font>
    <font>
      <u/>
      <sz val="11"/>
      <color theme="10"/>
      <name val="Calibri"/>
      <family val="2"/>
      <scheme val="minor"/>
    </font>
    <font>
      <sz val="10"/>
      <name val="Calibri"/>
      <family val="2"/>
      <scheme val="minor"/>
    </font>
    <font>
      <b/>
      <sz val="11"/>
      <name val="Calibri"/>
      <family val="2"/>
      <scheme val="minor"/>
    </font>
    <font>
      <sz val="9"/>
      <name val="Calibri"/>
      <family val="2"/>
      <scheme val="minor"/>
    </font>
    <font>
      <sz val="10"/>
      <name val="Calibri Light"/>
      <family val="2"/>
      <scheme val="major"/>
    </font>
    <font>
      <sz val="10"/>
      <name val="Calibri Light"/>
      <family val="1"/>
      <scheme val="major"/>
    </font>
    <font>
      <sz val="8"/>
      <name val="Arial"/>
      <family val="2"/>
    </font>
    <font>
      <sz val="16"/>
      <color theme="4" tint="-0.249977111117893"/>
      <name val="Calibri Light"/>
      <family val="1"/>
      <scheme val="major"/>
    </font>
    <font>
      <sz val="14"/>
      <color indexed="56"/>
      <name val="Arial"/>
      <family val="2"/>
    </font>
    <font>
      <i/>
      <sz val="8"/>
      <color theme="1" tint="0.34998626667073579"/>
      <name val="Arial"/>
      <family val="2"/>
    </font>
    <font>
      <i/>
      <u/>
      <sz val="8"/>
      <color theme="1" tint="0.34998626667073579"/>
      <name val="Arial"/>
      <family val="2"/>
    </font>
    <font>
      <sz val="11"/>
      <name val="Calibri Light"/>
      <family val="1"/>
      <scheme val="major"/>
    </font>
    <font>
      <sz val="9"/>
      <name val="Arial"/>
      <family val="2"/>
    </font>
    <font>
      <u/>
      <sz val="8"/>
      <color indexed="12"/>
      <name val="Arial"/>
      <family val="2"/>
    </font>
    <font>
      <sz val="7"/>
      <color indexed="55"/>
      <name val="Arial"/>
      <family val="2"/>
    </font>
    <font>
      <b/>
      <sz val="9"/>
      <name val="Calibri Light"/>
      <family val="2"/>
      <scheme val="major"/>
    </font>
    <font>
      <b/>
      <sz val="8"/>
      <name val="Calibri Light"/>
      <family val="2"/>
      <scheme val="major"/>
    </font>
    <font>
      <sz val="14"/>
      <name val="Calibri"/>
      <family val="2"/>
      <scheme val="minor"/>
    </font>
    <font>
      <sz val="9"/>
      <color rgb="FF000000"/>
      <name val="Calibri"/>
      <family val="2"/>
      <scheme val="minor"/>
    </font>
    <font>
      <sz val="14"/>
      <color rgb="FF000000"/>
      <name val="Calibri"/>
      <family val="2"/>
      <scheme val="minor"/>
    </font>
    <font>
      <b/>
      <sz val="9"/>
      <color indexed="81"/>
      <name val="Tahoma"/>
      <family val="2"/>
    </font>
    <font>
      <sz val="9"/>
      <color indexed="81"/>
      <name val="Tahoma"/>
      <family val="2"/>
    </font>
    <font>
      <b/>
      <i/>
      <sz val="9"/>
      <color indexed="81"/>
      <name val="Tahoma"/>
      <family val="2"/>
    </font>
    <font>
      <i/>
      <sz val="9"/>
      <color indexed="81"/>
      <name val="Tahoma"/>
      <family val="2"/>
    </font>
    <font>
      <sz val="9"/>
      <color theme="0"/>
      <name val="Calibri"/>
      <family val="2"/>
      <scheme val="minor"/>
    </font>
    <font>
      <b/>
      <sz val="18"/>
      <name val="Calibri"/>
      <family val="2"/>
      <scheme val="minor"/>
    </font>
    <font>
      <b/>
      <sz val="16"/>
      <name val="Calibri"/>
      <family val="2"/>
    </font>
    <font>
      <b/>
      <i/>
      <sz val="16"/>
      <name val="Calibri"/>
      <family val="2"/>
      <scheme val="minor"/>
    </font>
    <font>
      <sz val="20"/>
      <name val="Calibri"/>
      <family val="2"/>
      <scheme val="minor"/>
    </font>
  </fonts>
  <fills count="32">
    <fill>
      <patternFill patternType="none"/>
    </fill>
    <fill>
      <patternFill patternType="gray125"/>
    </fill>
    <fill>
      <patternFill patternType="solid">
        <fgColor theme="0" tint="-4.9989318521683403E-2"/>
        <bgColor theme="0" tint="-0.499984740745262"/>
      </patternFill>
    </fill>
    <fill>
      <patternFill patternType="solid">
        <fgColor rgb="FF0070C0"/>
        <bgColor rgb="FF0070C0"/>
      </patternFill>
    </fill>
    <fill>
      <patternFill patternType="solid">
        <fgColor rgb="FF0070C0"/>
        <bgColor theme="0" tint="-4.9989318521683403E-2"/>
      </patternFill>
    </fill>
    <fill>
      <patternFill patternType="solid">
        <fgColor theme="0"/>
        <bgColor theme="0" tint="-4.9989318521683403E-2"/>
      </patternFill>
    </fill>
    <fill>
      <patternFill patternType="solid">
        <fgColor theme="0" tint="-0.499984740745262"/>
        <bgColor theme="0" tint="-4.9989318521683403E-2"/>
      </patternFill>
    </fill>
    <fill>
      <patternFill patternType="solid">
        <fgColor theme="7" tint="0.79998168889431442"/>
        <bgColor theme="7" tint="0.79998168889431442"/>
      </patternFill>
    </fill>
    <fill>
      <patternFill patternType="solid">
        <fgColor theme="0"/>
        <bgColor theme="6" tint="0.59999389629810485"/>
      </patternFill>
    </fill>
    <fill>
      <patternFill patternType="solid">
        <fgColor theme="4" tint="-0.249977111117893"/>
        <bgColor theme="4" tint="-0.249977111117893"/>
      </patternFill>
    </fill>
    <fill>
      <patternFill patternType="solid">
        <fgColor indexed="5"/>
        <bgColor indexed="5"/>
      </patternFill>
    </fill>
    <fill>
      <patternFill patternType="solid">
        <fgColor theme="4" tint="0.79998168889431442"/>
        <bgColor theme="4" tint="0.79998168889431442"/>
      </patternFill>
    </fill>
    <fill>
      <patternFill patternType="solid">
        <fgColor theme="4" tint="0.79998168889431442"/>
        <bgColor theme="6" tint="0.79998168889431442"/>
      </patternFill>
    </fill>
    <fill>
      <patternFill patternType="solid">
        <fgColor theme="7" tint="0.39997558519241921"/>
        <bgColor indexed="64"/>
      </patternFill>
    </fill>
    <fill>
      <patternFill patternType="solid">
        <fgColor theme="7" tint="0.39997558519241921"/>
        <bgColor theme="0" tint="-4.9989318521683403E-2"/>
      </patternFill>
    </fill>
    <fill>
      <patternFill patternType="solid">
        <fgColor theme="9" tint="0.39997558519241921"/>
        <bgColor theme="0" tint="-4.9989318521683403E-2"/>
      </patternFill>
    </fill>
    <fill>
      <patternFill patternType="solid">
        <fgColor theme="3" tint="0.3999755851924192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9" tint="0.59999389629810485"/>
        <bgColor theme="0" tint="-0.499984740745262"/>
      </patternFill>
    </fill>
    <fill>
      <patternFill patternType="solid">
        <fgColor theme="0"/>
        <bgColor indexed="64"/>
      </patternFill>
    </fill>
    <fill>
      <patternFill patternType="solid">
        <fgColor theme="6" tint="-0.499984740745262"/>
        <bgColor indexed="64"/>
      </patternFill>
    </fill>
    <fill>
      <patternFill patternType="solid">
        <fgColor theme="9" tint="-0.249977111117893"/>
        <bgColor indexed="64"/>
      </patternFill>
    </fill>
    <fill>
      <patternFill patternType="solid">
        <fgColor theme="0" tint="-0.499984740745262"/>
        <bgColor indexed="64"/>
      </patternFill>
    </fill>
    <fill>
      <patternFill patternType="solid">
        <fgColor indexed="9"/>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8" tint="0.79998168889431442"/>
        <bgColor indexed="64"/>
      </patternFill>
    </fill>
    <fill>
      <patternFill patternType="solid">
        <fgColor theme="8" tint="0.79998168889431442"/>
        <bgColor rgb="FFD6F4D9"/>
      </patternFill>
    </fill>
    <fill>
      <patternFill patternType="solid">
        <fgColor theme="2" tint="-0.499984740745262"/>
        <bgColor indexed="64"/>
      </patternFill>
    </fill>
    <fill>
      <patternFill patternType="solid">
        <fgColor theme="2" tint="-0.499984740745262"/>
        <bgColor rgb="FFD6F4D9"/>
      </patternFill>
    </fill>
  </fills>
  <borders count="36">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auto="1"/>
      </top>
      <bottom style="thin">
        <color auto="1"/>
      </bottom>
      <diagonal/>
    </border>
    <border>
      <left style="thin">
        <color indexed="64"/>
      </left>
      <right style="medium">
        <color indexed="64"/>
      </right>
      <top/>
      <bottom/>
      <diagonal/>
    </border>
    <border>
      <left/>
      <right/>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indexed="22"/>
      </bottom>
      <diagonal/>
    </border>
    <border>
      <left/>
      <right/>
      <top style="thin">
        <color indexed="22"/>
      </top>
      <bottom style="thin">
        <color indexed="22"/>
      </bottom>
      <diagonal/>
    </border>
    <border>
      <left/>
      <right/>
      <top style="thin">
        <color rgb="FFEFEFEF"/>
      </top>
      <bottom style="thin">
        <color rgb="FFEFEFEF"/>
      </bottom>
      <diagonal/>
    </border>
  </borders>
  <cellStyleXfs count="16">
    <xf numFmtId="0" fontId="0" fillId="0" borderId="0"/>
    <xf numFmtId="0" fontId="26" fillId="0" borderId="1" applyFill="0">
      <alignment horizontal="left" vertical="center" indent="2"/>
    </xf>
    <xf numFmtId="165" fontId="26" fillId="0" borderId="0" applyFont="0" applyFill="0" applyBorder="0"/>
    <xf numFmtId="165" fontId="26" fillId="0" borderId="0" applyFont="0" applyFill="0" applyBorder="0"/>
    <xf numFmtId="166" fontId="26" fillId="0" borderId="2">
      <alignment horizontal="center" vertical="center"/>
    </xf>
    <xf numFmtId="0" fontId="26" fillId="0" borderId="1" applyFill="0">
      <alignment horizontal="center" vertical="center"/>
    </xf>
    <xf numFmtId="0" fontId="26" fillId="0" borderId="0"/>
    <xf numFmtId="0" fontId="26" fillId="0" borderId="0"/>
    <xf numFmtId="9" fontId="26" fillId="0" borderId="0" applyFont="0" applyFill="0" applyBorder="0" applyProtection="0"/>
    <xf numFmtId="9" fontId="26" fillId="0" borderId="0" applyFont="0" applyFill="0" applyBorder="0" applyProtection="0"/>
    <xf numFmtId="0" fontId="7" fillId="0" borderId="0"/>
    <xf numFmtId="0" fontId="6" fillId="0" borderId="0"/>
    <xf numFmtId="0" fontId="36" fillId="0" borderId="0" applyNumberFormat="0" applyFill="0" applyBorder="0"/>
    <xf numFmtId="0" fontId="1" fillId="0" borderId="0"/>
    <xf numFmtId="9" fontId="1" fillId="0" borderId="0" applyFont="0" applyFill="0" applyBorder="0" applyAlignment="0" applyProtection="0"/>
    <xf numFmtId="0" fontId="45" fillId="0" borderId="0" applyNumberFormat="0" applyFill="0" applyBorder="0" applyAlignment="0" applyProtection="0"/>
  </cellStyleXfs>
  <cellXfs count="260">
    <xf numFmtId="0" fontId="0" fillId="0" borderId="0" xfId="0"/>
    <xf numFmtId="0" fontId="8" fillId="0" borderId="0" xfId="0" applyFont="1"/>
    <xf numFmtId="0" fontId="10" fillId="0" borderId="0" xfId="0" applyFont="1" applyAlignment="1">
      <alignment horizontal="right" vertical="top" wrapText="1"/>
    </xf>
    <xf numFmtId="0" fontId="8" fillId="0" borderId="0" xfId="0" applyFont="1" applyAlignment="1">
      <alignment vertical="top"/>
    </xf>
    <xf numFmtId="0" fontId="8" fillId="0" borderId="0" xfId="0" applyFont="1" applyAlignment="1">
      <alignment vertical="top" wrapText="1"/>
    </xf>
    <xf numFmtId="0" fontId="11" fillId="0" borderId="0" xfId="0" applyFont="1" applyAlignment="1">
      <alignment vertical="top"/>
    </xf>
    <xf numFmtId="0" fontId="12" fillId="0" borderId="0" xfId="0" applyFont="1" applyAlignment="1">
      <alignment vertical="top" wrapText="1"/>
    </xf>
    <xf numFmtId="0" fontId="10" fillId="0" borderId="0" xfId="0" applyFont="1" applyAlignment="1">
      <alignment vertical="top" wrapText="1"/>
    </xf>
    <xf numFmtId="0" fontId="10" fillId="0" borderId="0" xfId="0" applyFont="1" applyAlignment="1">
      <alignment horizontal="center"/>
    </xf>
    <xf numFmtId="0" fontId="10" fillId="0" borderId="0" xfId="0" applyFont="1"/>
    <xf numFmtId="0" fontId="10" fillId="0" borderId="0" xfId="0" applyFont="1" applyAlignment="1">
      <alignment horizontal="left" vertical="top" wrapText="1"/>
    </xf>
    <xf numFmtId="0" fontId="13" fillId="0" borderId="0" xfId="0" applyFont="1"/>
    <xf numFmtId="0" fontId="13" fillId="0" borderId="3" xfId="0" applyFont="1" applyBorder="1"/>
    <xf numFmtId="167" fontId="10" fillId="0" borderId="0" xfId="0" applyNumberFormat="1" applyFont="1" applyAlignment="1">
      <alignment horizontal="right" vertical="top" wrapText="1"/>
    </xf>
    <xf numFmtId="167" fontId="12" fillId="0" borderId="0" xfId="0" applyNumberFormat="1" applyFont="1" applyAlignment="1">
      <alignment horizontal="right" vertical="top" wrapText="1"/>
    </xf>
    <xf numFmtId="0" fontId="0" fillId="0" borderId="3" xfId="0" applyBorder="1"/>
    <xf numFmtId="0" fontId="13" fillId="0" borderId="6" xfId="0" applyFont="1" applyBorder="1"/>
    <xf numFmtId="0" fontId="9" fillId="7" borderId="3" xfId="0" applyFont="1" applyFill="1" applyBorder="1" applyAlignment="1">
      <alignment horizontal="center" vertical="center"/>
    </xf>
    <xf numFmtId="0" fontId="20" fillId="10" borderId="3" xfId="0" applyFont="1" applyFill="1" applyBorder="1" applyAlignment="1">
      <alignment horizontal="center"/>
    </xf>
    <xf numFmtId="0" fontId="20" fillId="10" borderId="7" xfId="0" applyFont="1" applyFill="1" applyBorder="1" applyAlignment="1">
      <alignment horizontal="center"/>
    </xf>
    <xf numFmtId="0" fontId="20" fillId="10" borderId="0" xfId="0" applyFont="1" applyFill="1" applyAlignment="1">
      <alignment horizontal="center"/>
    </xf>
    <xf numFmtId="0" fontId="21" fillId="0" borderId="3" xfId="0" applyFont="1" applyBorder="1" applyAlignment="1">
      <alignment horizontal="center" vertical="center" wrapText="1"/>
    </xf>
    <xf numFmtId="0" fontId="13" fillId="0" borderId="3" xfId="0" applyFont="1" applyBorder="1" applyAlignment="1">
      <alignment horizontal="center"/>
    </xf>
    <xf numFmtId="0" fontId="13" fillId="0" borderId="6" xfId="0" applyFont="1" applyBorder="1" applyAlignment="1">
      <alignment horizontal="center"/>
    </xf>
    <xf numFmtId="0" fontId="22" fillId="11" borderId="3" xfId="0" applyFont="1" applyFill="1" applyBorder="1" applyAlignment="1">
      <alignment horizontal="center" vertical="center" wrapText="1"/>
    </xf>
    <xf numFmtId="0" fontId="22" fillId="11" borderId="3" xfId="0" applyFont="1" applyFill="1" applyBorder="1" applyAlignment="1">
      <alignment horizontal="center" vertical="center"/>
    </xf>
    <xf numFmtId="0" fontId="0" fillId="0" borderId="3" xfId="0" quotePrefix="1" applyBorder="1"/>
    <xf numFmtId="0" fontId="18" fillId="0" borderId="3" xfId="0" quotePrefix="1" applyFont="1" applyBorder="1"/>
    <xf numFmtId="0" fontId="18" fillId="0" borderId="3" xfId="0" applyFont="1" applyBorder="1"/>
    <xf numFmtId="0" fontId="23" fillId="0" borderId="3" xfId="0" applyFont="1" applyBorder="1"/>
    <xf numFmtId="0" fontId="24" fillId="0" borderId="3" xfId="0" applyFont="1" applyBorder="1"/>
    <xf numFmtId="0" fontId="25" fillId="0" borderId="3" xfId="0" applyFont="1" applyBorder="1"/>
    <xf numFmtId="0" fontId="25" fillId="0" borderId="3" xfId="0" quotePrefix="1" applyFont="1" applyBorder="1"/>
    <xf numFmtId="0" fontId="22" fillId="10" borderId="3" xfId="0" applyFont="1" applyFill="1" applyBorder="1" applyAlignment="1">
      <alignment horizontal="center" vertical="center" wrapText="1"/>
    </xf>
    <xf numFmtId="0" fontId="22" fillId="10" borderId="3" xfId="0" applyFont="1" applyFill="1" applyBorder="1" applyAlignment="1">
      <alignment horizontal="center" vertical="center"/>
    </xf>
    <xf numFmtId="0" fontId="23" fillId="0" borderId="0" xfId="0" applyFont="1" applyAlignment="1">
      <alignment vertical="center" wrapText="1"/>
    </xf>
    <xf numFmtId="0" fontId="14" fillId="0" borderId="4" xfId="0" applyFont="1" applyBorder="1" applyAlignment="1">
      <alignment vertical="top" wrapText="1"/>
    </xf>
    <xf numFmtId="0" fontId="13" fillId="0" borderId="0" xfId="0" applyFont="1" applyAlignment="1">
      <alignment vertical="top"/>
    </xf>
    <xf numFmtId="0" fontId="13" fillId="0" borderId="0" xfId="0" applyFont="1" applyAlignment="1">
      <alignment vertical="top" wrapText="1"/>
    </xf>
    <xf numFmtId="0" fontId="20" fillId="0" borderId="0" xfId="0" applyFont="1" applyAlignment="1">
      <alignment horizontal="center" vertical="center"/>
    </xf>
    <xf numFmtId="0" fontId="13" fillId="0" borderId="0" xfId="0" applyFont="1" applyAlignment="1">
      <alignment horizontal="center"/>
    </xf>
    <xf numFmtId="0" fontId="20" fillId="0" borderId="5" xfId="0" applyFont="1" applyBorder="1" applyAlignment="1">
      <alignment horizontal="center" vertical="center"/>
    </xf>
    <xf numFmtId="0" fontId="19" fillId="3" borderId="3" xfId="0" applyFont="1" applyFill="1" applyBorder="1" applyAlignment="1">
      <alignment horizontal="left" vertical="top" wrapText="1"/>
    </xf>
    <xf numFmtId="0" fontId="13" fillId="0" borderId="0" xfId="0" applyFont="1" applyAlignment="1">
      <alignment horizontal="right" vertical="top" wrapText="1"/>
    </xf>
    <xf numFmtId="167" fontId="19" fillId="4" borderId="3" xfId="0" applyNumberFormat="1" applyFont="1" applyFill="1" applyBorder="1" applyAlignment="1">
      <alignment horizontal="right" vertical="top" wrapText="1"/>
    </xf>
    <xf numFmtId="167" fontId="19" fillId="0" borderId="0" xfId="0" applyNumberFormat="1" applyFont="1" applyAlignment="1">
      <alignment horizontal="right" vertical="top" wrapText="1"/>
    </xf>
    <xf numFmtId="0" fontId="20" fillId="0" borderId="0" xfId="0" applyFont="1" applyAlignment="1">
      <alignment horizontal="center"/>
    </xf>
    <xf numFmtId="167" fontId="31" fillId="0" borderId="0" xfId="0" applyNumberFormat="1" applyFont="1" applyAlignment="1">
      <alignment horizontal="right" vertical="top" wrapText="1"/>
    </xf>
    <xf numFmtId="167" fontId="28" fillId="6" borderId="3" xfId="0" applyNumberFormat="1" applyFont="1" applyFill="1" applyBorder="1" applyAlignment="1">
      <alignment horizontal="right" vertical="top" wrapText="1"/>
    </xf>
    <xf numFmtId="167" fontId="30" fillId="0" borderId="0" xfId="0" applyNumberFormat="1" applyFont="1" applyAlignment="1">
      <alignment horizontal="right" vertical="top" wrapText="1"/>
    </xf>
    <xf numFmtId="0" fontId="20" fillId="0" borderId="0" xfId="0" applyFont="1" applyAlignment="1">
      <alignment horizontal="left" vertical="top" wrapText="1"/>
    </xf>
    <xf numFmtId="167" fontId="32" fillId="5" borderId="0" xfId="0" applyNumberFormat="1" applyFont="1" applyFill="1" applyAlignment="1">
      <alignment horizontal="right" vertical="top" wrapText="1"/>
    </xf>
    <xf numFmtId="167" fontId="29" fillId="5" borderId="0" xfId="0" applyNumberFormat="1" applyFont="1" applyFill="1" applyAlignment="1">
      <alignment horizontal="right" vertical="top" wrapText="1"/>
    </xf>
    <xf numFmtId="167" fontId="29" fillId="0" borderId="0" xfId="0" applyNumberFormat="1" applyFont="1" applyAlignment="1">
      <alignment horizontal="right" vertical="top" wrapText="1"/>
    </xf>
    <xf numFmtId="0" fontId="20" fillId="0" borderId="0" xfId="0" applyFont="1" applyAlignment="1">
      <alignment horizontal="right" vertical="top"/>
    </xf>
    <xf numFmtId="167" fontId="28" fillId="0" borderId="0" xfId="0" applyNumberFormat="1" applyFont="1" applyAlignment="1">
      <alignment horizontal="right" vertical="top" wrapText="1"/>
    </xf>
    <xf numFmtId="167" fontId="0" fillId="0" borderId="0" xfId="0" applyNumberFormat="1"/>
    <xf numFmtId="0" fontId="30" fillId="0" borderId="3" xfId="0" applyFont="1" applyBorder="1" applyAlignment="1">
      <alignment horizontal="right" vertical="top" wrapText="1"/>
    </xf>
    <xf numFmtId="0" fontId="33" fillId="2" borderId="3" xfId="0" applyFont="1" applyFill="1" applyBorder="1" applyAlignment="1">
      <alignment horizontal="center" vertical="center"/>
    </xf>
    <xf numFmtId="0" fontId="33" fillId="2" borderId="3" xfId="0" applyFont="1" applyFill="1" applyBorder="1" applyAlignment="1">
      <alignment horizontal="center" vertical="center" wrapText="1"/>
    </xf>
    <xf numFmtId="0" fontId="19" fillId="3" borderId="3" xfId="0" applyFont="1" applyFill="1" applyBorder="1" applyAlignment="1">
      <alignment horizontal="right" vertical="top" wrapText="1"/>
    </xf>
    <xf numFmtId="167" fontId="34" fillId="0" borderId="3" xfId="0" applyNumberFormat="1" applyFont="1" applyBorder="1" applyAlignment="1">
      <alignment horizontal="right" vertical="top" wrapText="1"/>
    </xf>
    <xf numFmtId="167" fontId="35" fillId="0" borderId="3" xfId="0" applyNumberFormat="1" applyFont="1" applyBorder="1" applyAlignment="1">
      <alignment horizontal="right" vertical="top" wrapText="1"/>
    </xf>
    <xf numFmtId="0" fontId="16" fillId="0" borderId="3" xfId="12" applyFont="1" applyFill="1" applyBorder="1" applyAlignment="1">
      <alignment horizontal="left" vertical="center" wrapText="1"/>
    </xf>
    <xf numFmtId="0" fontId="14" fillId="0" borderId="0" xfId="0" applyFont="1" applyAlignment="1">
      <alignment vertical="top" wrapText="1"/>
    </xf>
    <xf numFmtId="0" fontId="33" fillId="0" borderId="9" xfId="0" applyFont="1" applyBorder="1" applyAlignment="1">
      <alignment horizontal="center" vertical="center"/>
    </xf>
    <xf numFmtId="0" fontId="5" fillId="0" borderId="0" xfId="0" applyFont="1"/>
    <xf numFmtId="0" fontId="37" fillId="0" borderId="0" xfId="0" applyFont="1" applyAlignment="1">
      <alignment horizontal="right"/>
    </xf>
    <xf numFmtId="0" fontId="5" fillId="0" borderId="0" xfId="0" applyFont="1" applyAlignment="1">
      <alignment horizontal="right"/>
    </xf>
    <xf numFmtId="0" fontId="8" fillId="5" borderId="0" xfId="0" applyFont="1" applyFill="1"/>
    <xf numFmtId="0" fontId="8" fillId="9" borderId="0" xfId="0" applyFont="1" applyFill="1"/>
    <xf numFmtId="0" fontId="16" fillId="0" borderId="3" xfId="0" applyFont="1" applyBorder="1" applyAlignment="1">
      <alignment horizontal="left" vertical="top"/>
    </xf>
    <xf numFmtId="0" fontId="8" fillId="0" borderId="3" xfId="0" applyFont="1" applyBorder="1" applyAlignment="1">
      <alignment horizontal="center" vertical="top"/>
    </xf>
    <xf numFmtId="0" fontId="9" fillId="7" borderId="3"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0" borderId="0" xfId="0" applyFont="1" applyAlignment="1">
      <alignment vertical="center"/>
    </xf>
    <xf numFmtId="167" fontId="13" fillId="0" borderId="0" xfId="0" applyNumberFormat="1" applyFont="1"/>
    <xf numFmtId="0" fontId="21" fillId="0" borderId="3" xfId="0" applyFont="1" applyBorder="1" applyAlignment="1">
      <alignment horizontal="left" vertical="top" wrapText="1"/>
    </xf>
    <xf numFmtId="0" fontId="4" fillId="0" borderId="0" xfId="0" applyFont="1"/>
    <xf numFmtId="0" fontId="8" fillId="13" borderId="0" xfId="0" applyFont="1" applyFill="1"/>
    <xf numFmtId="0" fontId="8" fillId="15" borderId="0" xfId="0" applyFont="1" applyFill="1"/>
    <xf numFmtId="0" fontId="8" fillId="16" borderId="0" xfId="0" applyFont="1" applyFill="1"/>
    <xf numFmtId="0" fontId="20" fillId="0" borderId="8" xfId="0" applyFont="1" applyBorder="1" applyAlignment="1">
      <alignment horizontal="center" vertical="center"/>
    </xf>
    <xf numFmtId="0" fontId="8" fillId="0" borderId="0" xfId="0" applyFont="1" applyAlignment="1">
      <alignment horizontal="center" vertical="center"/>
    </xf>
    <xf numFmtId="0" fontId="3" fillId="0" borderId="0" xfId="0" applyFont="1"/>
    <xf numFmtId="0" fontId="13" fillId="0" borderId="0" xfId="0" applyFont="1" applyAlignment="1">
      <alignment horizontal="right" vertical="top"/>
    </xf>
    <xf numFmtId="0" fontId="16" fillId="0" borderId="3" xfId="0" applyFont="1" applyBorder="1" applyAlignment="1">
      <alignment vertical="center" wrapText="1"/>
    </xf>
    <xf numFmtId="0" fontId="8" fillId="0" borderId="0" xfId="0" applyFont="1" applyAlignment="1">
      <alignment horizontal="center"/>
    </xf>
    <xf numFmtId="0" fontId="2" fillId="0" borderId="0" xfId="0" applyFont="1"/>
    <xf numFmtId="0" fontId="16" fillId="17" borderId="3" xfId="0" applyFont="1" applyFill="1" applyBorder="1" applyAlignment="1">
      <alignment vertical="center" wrapText="1"/>
    </xf>
    <xf numFmtId="8" fontId="20" fillId="0" borderId="0" xfId="0" applyNumberFormat="1" applyFont="1"/>
    <xf numFmtId="0" fontId="13" fillId="0" borderId="0" xfId="0" applyFont="1" applyAlignment="1">
      <alignment horizontal="center" vertical="center"/>
    </xf>
    <xf numFmtId="8" fontId="13" fillId="0" borderId="0" xfId="0" applyNumberFormat="1" applyFont="1" applyAlignment="1">
      <alignment horizontal="center"/>
    </xf>
    <xf numFmtId="0" fontId="16" fillId="0" borderId="3" xfId="0" applyFont="1" applyBorder="1" applyAlignment="1">
      <alignment horizontal="left" vertical="top" wrapText="1"/>
    </xf>
    <xf numFmtId="8" fontId="13" fillId="0" borderId="0" xfId="0" applyNumberFormat="1" applyFont="1"/>
    <xf numFmtId="0" fontId="0" fillId="0" borderId="0" xfId="0" applyAlignment="1">
      <alignment horizontal="center" vertical="center"/>
    </xf>
    <xf numFmtId="167" fontId="20" fillId="18" borderId="0" xfId="0" applyNumberFormat="1" applyFont="1" applyFill="1"/>
    <xf numFmtId="0" fontId="16" fillId="0" borderId="3" xfId="0" applyFont="1" applyBorder="1" applyAlignment="1">
      <alignment horizontal="center" vertical="center" wrapText="1"/>
    </xf>
    <xf numFmtId="0" fontId="13" fillId="0" borderId="0" xfId="0" applyFont="1" applyAlignment="1">
      <alignment horizontal="center" vertical="center" wrapText="1"/>
    </xf>
    <xf numFmtId="0" fontId="16" fillId="0" borderId="3" xfId="0" applyFont="1" applyBorder="1" applyAlignment="1">
      <alignment horizontal="center" vertical="top"/>
    </xf>
    <xf numFmtId="0" fontId="33" fillId="20" borderId="3" xfId="0" applyFont="1" applyFill="1" applyBorder="1" applyAlignment="1">
      <alignment horizontal="center" vertical="center"/>
    </xf>
    <xf numFmtId="167" fontId="20" fillId="18" borderId="0" xfId="0" applyNumberFormat="1" applyFont="1" applyFill="1" applyAlignment="1">
      <alignment horizontal="center" vertical="top" wrapText="1"/>
    </xf>
    <xf numFmtId="0" fontId="20" fillId="17" borderId="3" xfId="0" applyFont="1" applyFill="1" applyBorder="1" applyAlignment="1">
      <alignment horizontal="center" vertical="center"/>
    </xf>
    <xf numFmtId="0" fontId="20" fillId="21" borderId="0" xfId="0" applyFont="1" applyFill="1" applyAlignment="1">
      <alignment horizontal="center" vertical="center"/>
    </xf>
    <xf numFmtId="0" fontId="20" fillId="21" borderId="11" xfId="0" applyFont="1" applyFill="1" applyBorder="1" applyAlignment="1">
      <alignment horizontal="center" vertical="center"/>
    </xf>
    <xf numFmtId="0" fontId="41" fillId="17" borderId="12" xfId="0" applyFont="1" applyFill="1" applyBorder="1" applyAlignment="1">
      <alignment horizontal="right"/>
    </xf>
    <xf numFmtId="169" fontId="37" fillId="17" borderId="13" xfId="0" applyNumberFormat="1" applyFont="1" applyFill="1" applyBorder="1"/>
    <xf numFmtId="169" fontId="37" fillId="17" borderId="14" xfId="0" applyNumberFormat="1" applyFont="1" applyFill="1" applyBorder="1"/>
    <xf numFmtId="169" fontId="37" fillId="17" borderId="10" xfId="0" applyNumberFormat="1" applyFont="1" applyFill="1" applyBorder="1"/>
    <xf numFmtId="0" fontId="42" fillId="0" borderId="10" xfId="0" applyFont="1" applyBorder="1" applyAlignment="1">
      <alignment horizontal="center"/>
    </xf>
    <xf numFmtId="0" fontId="0" fillId="0" borderId="16" xfId="0" applyBorder="1"/>
    <xf numFmtId="0" fontId="0" fillId="0" borderId="17" xfId="0" applyBorder="1"/>
    <xf numFmtId="0" fontId="0" fillId="0" borderId="15" xfId="0" applyBorder="1"/>
    <xf numFmtId="0" fontId="40" fillId="22" borderId="0" xfId="0" applyFont="1" applyFill="1" applyAlignment="1">
      <alignment horizontal="center" vertical="center"/>
    </xf>
    <xf numFmtId="0" fontId="40" fillId="22" borderId="11" xfId="0" applyFont="1" applyFill="1" applyBorder="1" applyAlignment="1">
      <alignment horizontal="center" vertical="center"/>
    </xf>
    <xf numFmtId="0" fontId="40" fillId="22" borderId="19" xfId="0" applyFont="1" applyFill="1" applyBorder="1" applyAlignment="1">
      <alignment horizontal="center" vertical="center"/>
    </xf>
    <xf numFmtId="0" fontId="40" fillId="22" borderId="20" xfId="0" applyFont="1" applyFill="1" applyBorder="1" applyAlignment="1">
      <alignment horizontal="left" vertical="center"/>
    </xf>
    <xf numFmtId="169" fontId="0" fillId="0" borderId="3" xfId="0" applyNumberFormat="1" applyBorder="1"/>
    <xf numFmtId="169" fontId="0" fillId="0" borderId="21" xfId="0" applyNumberFormat="1" applyBorder="1"/>
    <xf numFmtId="169" fontId="0" fillId="0" borderId="22" xfId="0" applyNumberFormat="1" applyBorder="1"/>
    <xf numFmtId="169" fontId="0" fillId="21" borderId="3" xfId="0" applyNumberFormat="1" applyFill="1" applyBorder="1"/>
    <xf numFmtId="0" fontId="0" fillId="0" borderId="20" xfId="0" applyBorder="1"/>
    <xf numFmtId="0" fontId="0" fillId="0" borderId="11" xfId="0" applyBorder="1"/>
    <xf numFmtId="0" fontId="40" fillId="22" borderId="20" xfId="0" applyFont="1" applyFill="1" applyBorder="1" applyAlignment="1">
      <alignment horizontal="right" vertical="center"/>
    </xf>
    <xf numFmtId="169" fontId="40" fillId="22" borderId="3" xfId="0" applyNumberFormat="1" applyFont="1" applyFill="1" applyBorder="1"/>
    <xf numFmtId="169" fontId="40" fillId="22" borderId="21" xfId="0" applyNumberFormat="1" applyFont="1" applyFill="1" applyBorder="1"/>
    <xf numFmtId="169" fontId="40" fillId="22" borderId="22" xfId="0" applyNumberFormat="1" applyFont="1" applyFill="1" applyBorder="1"/>
    <xf numFmtId="0" fontId="8" fillId="0" borderId="10" xfId="0" applyFont="1" applyBorder="1" applyAlignment="1">
      <alignment horizontal="center"/>
    </xf>
    <xf numFmtId="0" fontId="0" fillId="0" borderId="19" xfId="0" applyBorder="1"/>
    <xf numFmtId="0" fontId="40" fillId="23" borderId="0" xfId="0" applyFont="1" applyFill="1" applyAlignment="1">
      <alignment horizontal="center" vertical="center"/>
    </xf>
    <xf numFmtId="0" fontId="40" fillId="23" borderId="11" xfId="0" applyFont="1" applyFill="1" applyBorder="1" applyAlignment="1">
      <alignment horizontal="center" vertical="center"/>
    </xf>
    <xf numFmtId="0" fontId="40" fillId="23" borderId="19" xfId="0" applyFont="1" applyFill="1" applyBorder="1" applyAlignment="1">
      <alignment horizontal="center" vertical="center"/>
    </xf>
    <xf numFmtId="0" fontId="40" fillId="23" borderId="20" xfId="0" applyFont="1" applyFill="1" applyBorder="1" applyAlignment="1">
      <alignment horizontal="left" vertical="center"/>
    </xf>
    <xf numFmtId="0" fontId="40" fillId="23" borderId="20" xfId="0" applyFont="1" applyFill="1" applyBorder="1" applyAlignment="1">
      <alignment horizontal="right" vertical="center"/>
    </xf>
    <xf numFmtId="170" fontId="7" fillId="23" borderId="22" xfId="0" applyNumberFormat="1" applyFont="1" applyFill="1" applyBorder="1"/>
    <xf numFmtId="0" fontId="40" fillId="16" borderId="0" xfId="0" applyFont="1" applyFill="1" applyAlignment="1">
      <alignment horizontal="center" vertical="center"/>
    </xf>
    <xf numFmtId="0" fontId="40" fillId="16" borderId="11" xfId="0" applyFont="1" applyFill="1" applyBorder="1" applyAlignment="1">
      <alignment horizontal="center" vertical="center"/>
    </xf>
    <xf numFmtId="0" fontId="40" fillId="16" borderId="19" xfId="0" applyFont="1" applyFill="1" applyBorder="1" applyAlignment="1">
      <alignment horizontal="center" vertical="center"/>
    </xf>
    <xf numFmtId="0" fontId="40" fillId="16" borderId="20" xfId="0" applyFont="1" applyFill="1" applyBorder="1" applyAlignment="1">
      <alignment horizontal="left" vertical="center"/>
    </xf>
    <xf numFmtId="0" fontId="40" fillId="16" borderId="20" xfId="0" applyFont="1" applyFill="1" applyBorder="1" applyAlignment="1">
      <alignment horizontal="right" vertical="center"/>
    </xf>
    <xf numFmtId="167" fontId="40" fillId="16" borderId="19" xfId="0" applyNumberFormat="1" applyFont="1" applyFill="1" applyBorder="1" applyAlignment="1">
      <alignment horizontal="right" vertical="center"/>
    </xf>
    <xf numFmtId="0" fontId="40" fillId="24" borderId="0" xfId="0" applyFont="1" applyFill="1" applyAlignment="1">
      <alignment horizontal="center" vertical="center"/>
    </xf>
    <xf numFmtId="0" fontId="40" fillId="24" borderId="11" xfId="0" applyFont="1" applyFill="1" applyBorder="1" applyAlignment="1">
      <alignment horizontal="center" vertical="center"/>
    </xf>
    <xf numFmtId="0" fontId="40" fillId="24" borderId="19" xfId="0" applyFont="1" applyFill="1" applyBorder="1" applyAlignment="1">
      <alignment horizontal="center" vertical="center"/>
    </xf>
    <xf numFmtId="0" fontId="40" fillId="24" borderId="20" xfId="0" applyFont="1" applyFill="1" applyBorder="1" applyAlignment="1">
      <alignment horizontal="left" vertical="center"/>
    </xf>
    <xf numFmtId="0" fontId="40" fillId="24" borderId="20" xfId="0" applyFont="1" applyFill="1" applyBorder="1" applyAlignment="1">
      <alignment horizontal="right" vertical="center"/>
    </xf>
    <xf numFmtId="167" fontId="40" fillId="24" borderId="8" xfId="0" applyNumberFormat="1" applyFont="1" applyFill="1" applyBorder="1" applyAlignment="1">
      <alignment horizontal="right" vertical="center"/>
    </xf>
    <xf numFmtId="167" fontId="40" fillId="24" borderId="23" xfId="0" applyNumberFormat="1" applyFont="1" applyFill="1" applyBorder="1" applyAlignment="1">
      <alignment horizontal="right" vertical="center"/>
    </xf>
    <xf numFmtId="167" fontId="40" fillId="24" borderId="19" xfId="0" applyNumberFormat="1" applyFont="1" applyFill="1" applyBorder="1" applyAlignment="1">
      <alignment horizontal="right" vertical="center"/>
    </xf>
    <xf numFmtId="0" fontId="40" fillId="21" borderId="20" xfId="0" applyFont="1" applyFill="1" applyBorder="1" applyAlignment="1">
      <alignment horizontal="right" vertical="center"/>
    </xf>
    <xf numFmtId="167" fontId="40" fillId="21" borderId="8" xfId="0" applyNumberFormat="1" applyFont="1" applyFill="1" applyBorder="1" applyAlignment="1">
      <alignment horizontal="right" vertical="center"/>
    </xf>
    <xf numFmtId="167" fontId="40" fillId="21" borderId="23" xfId="0" applyNumberFormat="1" applyFont="1" applyFill="1" applyBorder="1" applyAlignment="1">
      <alignment horizontal="right" vertical="center"/>
    </xf>
    <xf numFmtId="167" fontId="40" fillId="21" borderId="19" xfId="0" applyNumberFormat="1" applyFont="1" applyFill="1" applyBorder="1" applyAlignment="1">
      <alignment horizontal="right" vertical="center"/>
    </xf>
    <xf numFmtId="0" fontId="20" fillId="17" borderId="12" xfId="0" applyFont="1" applyFill="1" applyBorder="1" applyAlignment="1">
      <alignment horizontal="right"/>
    </xf>
    <xf numFmtId="169" fontId="20" fillId="17" borderId="13" xfId="0" applyNumberFormat="1" applyFont="1" applyFill="1" applyBorder="1"/>
    <xf numFmtId="169" fontId="20" fillId="17" borderId="14" xfId="0" applyNumberFormat="1" applyFont="1" applyFill="1" applyBorder="1"/>
    <xf numFmtId="169" fontId="20" fillId="17" borderId="10" xfId="0" applyNumberFormat="1" applyFont="1" applyFill="1" applyBorder="1"/>
    <xf numFmtId="171" fontId="0" fillId="0" borderId="0" xfId="0" applyNumberFormat="1"/>
    <xf numFmtId="171" fontId="7" fillId="23" borderId="3" xfId="0" applyNumberFormat="1" applyFont="1" applyFill="1" applyBorder="1"/>
    <xf numFmtId="44" fontId="40" fillId="16" borderId="8" xfId="0" applyNumberFormat="1" applyFont="1" applyFill="1" applyBorder="1" applyAlignment="1">
      <alignment horizontal="right" vertical="center"/>
    </xf>
    <xf numFmtId="44" fontId="40" fillId="24" borderId="8" xfId="0" applyNumberFormat="1" applyFont="1" applyFill="1" applyBorder="1" applyAlignment="1">
      <alignment horizontal="right" vertical="center"/>
    </xf>
    <xf numFmtId="44" fontId="40" fillId="24" borderId="23" xfId="0" applyNumberFormat="1" applyFont="1" applyFill="1" applyBorder="1" applyAlignment="1">
      <alignment horizontal="right" vertical="center"/>
    </xf>
    <xf numFmtId="0" fontId="9" fillId="0" borderId="3" xfId="0" applyFont="1" applyBorder="1" applyAlignment="1">
      <alignment horizontal="center" vertical="top"/>
    </xf>
    <xf numFmtId="0" fontId="8" fillId="0" borderId="3" xfId="0" applyFont="1" applyBorder="1" applyAlignment="1">
      <alignment horizontal="center" vertical="top" wrapText="1"/>
    </xf>
    <xf numFmtId="0" fontId="8" fillId="0" borderId="3" xfId="0" applyFont="1" applyBorder="1" applyAlignment="1">
      <alignment horizontal="right" vertical="center"/>
    </xf>
    <xf numFmtId="0" fontId="38" fillId="0" borderId="3" xfId="0" applyFont="1" applyBorder="1" applyAlignment="1">
      <alignment horizontal="left" vertical="top" wrapText="1"/>
    </xf>
    <xf numFmtId="0" fontId="49" fillId="0" borderId="0" xfId="0" applyFont="1"/>
    <xf numFmtId="0" fontId="49" fillId="0" borderId="0" xfId="0" applyFont="1" applyAlignment="1">
      <alignment horizontal="right" vertical="center"/>
    </xf>
    <xf numFmtId="0" fontId="46" fillId="0" borderId="24" xfId="0" applyFont="1" applyBorder="1" applyAlignment="1" applyProtection="1">
      <alignment horizontal="center" vertical="center"/>
      <protection locked="0"/>
    </xf>
    <xf numFmtId="0" fontId="25" fillId="0" borderId="0" xfId="0" applyFont="1"/>
    <xf numFmtId="0" fontId="50" fillId="0" borderId="0" xfId="0" applyFont="1"/>
    <xf numFmtId="172" fontId="51" fillId="0" borderId="25" xfId="0" applyNumberFormat="1" applyFont="1" applyBorder="1" applyAlignment="1">
      <alignment horizontal="center" vertical="center" shrinkToFit="1"/>
    </xf>
    <xf numFmtId="172" fontId="51" fillId="0" borderId="26" xfId="0" applyNumberFormat="1" applyFont="1" applyBorder="1" applyAlignment="1">
      <alignment horizontal="center" vertical="center" shrinkToFit="1"/>
    </xf>
    <xf numFmtId="172" fontId="51" fillId="0" borderId="27" xfId="0" applyNumberFormat="1" applyFont="1" applyBorder="1" applyAlignment="1">
      <alignment horizontal="center" vertical="center" shrinkToFit="1"/>
    </xf>
    <xf numFmtId="0" fontId="52" fillId="0" borderId="0" xfId="0" applyFont="1" applyAlignment="1" applyProtection="1">
      <alignment vertical="center"/>
      <protection locked="0"/>
    </xf>
    <xf numFmtId="0" fontId="53" fillId="0" borderId="0" xfId="0" applyFont="1" applyAlignment="1" applyProtection="1">
      <alignment vertical="center"/>
      <protection locked="0"/>
    </xf>
    <xf numFmtId="0" fontId="25" fillId="0" borderId="0" xfId="0" applyFont="1" applyAlignment="1">
      <alignment horizontal="right" vertical="center"/>
    </xf>
    <xf numFmtId="0" fontId="56" fillId="0" borderId="0" xfId="0" applyFont="1" applyAlignment="1" applyProtection="1">
      <alignment vertical="center"/>
      <protection locked="0"/>
    </xf>
    <xf numFmtId="0" fontId="57" fillId="0" borderId="0" xfId="0" applyFont="1" applyProtection="1">
      <protection locked="0"/>
    </xf>
    <xf numFmtId="0" fontId="58" fillId="25" borderId="0" xfId="15" applyNumberFormat="1" applyFont="1" applyFill="1" applyAlignment="1" applyProtection="1">
      <alignment horizontal="right"/>
      <protection locked="0"/>
    </xf>
    <xf numFmtId="0" fontId="59" fillId="0" borderId="0" xfId="0" applyFont="1" applyProtection="1">
      <protection locked="0"/>
    </xf>
    <xf numFmtId="0" fontId="0" fillId="25" borderId="0" xfId="0" applyFill="1"/>
    <xf numFmtId="0" fontId="45" fillId="0" borderId="0" xfId="15" applyAlignment="1" applyProtection="1">
      <alignment horizontal="left"/>
    </xf>
    <xf numFmtId="0" fontId="60" fillId="0" borderId="29" xfId="0" applyFont="1" applyBorder="1" applyAlignment="1">
      <alignment horizontal="left" vertical="center"/>
    </xf>
    <xf numFmtId="0" fontId="60" fillId="0" borderId="29" xfId="0" applyFont="1" applyBorder="1" applyAlignment="1">
      <alignment horizontal="center" vertical="center" wrapText="1"/>
    </xf>
    <xf numFmtId="0" fontId="61" fillId="0" borderId="29" xfId="0" applyFont="1" applyBorder="1" applyAlignment="1">
      <alignment horizontal="center" vertical="center" wrapText="1"/>
    </xf>
    <xf numFmtId="0" fontId="60" fillId="0" borderId="29" xfId="0" applyFont="1" applyBorder="1" applyAlignment="1">
      <alignment horizontal="center" vertical="center"/>
    </xf>
    <xf numFmtId="0" fontId="48" fillId="0" borderId="30" xfId="0" applyFont="1" applyBorder="1" applyAlignment="1">
      <alignment horizontal="center" vertical="center" shrinkToFit="1"/>
    </xf>
    <xf numFmtId="0" fontId="48" fillId="0" borderId="31" xfId="0" applyFont="1" applyBorder="1" applyAlignment="1">
      <alignment horizontal="center" vertical="center" shrinkToFit="1"/>
    </xf>
    <xf numFmtId="0" fontId="48" fillId="0" borderId="32" xfId="0" applyFont="1" applyBorder="1" applyAlignment="1">
      <alignment horizontal="center" vertical="center" shrinkToFit="1"/>
    </xf>
    <xf numFmtId="0" fontId="47" fillId="19" borderId="33" xfId="0" applyFont="1" applyFill="1" applyBorder="1" applyAlignment="1">
      <alignment horizontal="left" vertical="center"/>
    </xf>
    <xf numFmtId="0" fontId="47" fillId="19" borderId="33" xfId="0" applyFont="1" applyFill="1" applyBorder="1" applyAlignment="1">
      <alignment vertical="center"/>
    </xf>
    <xf numFmtId="0" fontId="48" fillId="19" borderId="33" xfId="0" applyFont="1" applyFill="1" applyBorder="1" applyAlignment="1">
      <alignment vertical="center"/>
    </xf>
    <xf numFmtId="0" fontId="48" fillId="19" borderId="33" xfId="0" applyFont="1" applyFill="1" applyBorder="1" applyAlignment="1">
      <alignment horizontal="center" vertical="center"/>
    </xf>
    <xf numFmtId="175" fontId="48" fillId="19" borderId="33" xfId="0" applyNumberFormat="1" applyFont="1" applyFill="1" applyBorder="1" applyAlignment="1">
      <alignment horizontal="right" vertical="center"/>
    </xf>
    <xf numFmtId="175" fontId="48" fillId="19" borderId="33" xfId="0" applyNumberFormat="1" applyFont="1" applyFill="1" applyBorder="1" applyAlignment="1">
      <alignment horizontal="center" vertical="center"/>
    </xf>
    <xf numFmtId="1" fontId="48" fillId="19" borderId="33" xfId="8" applyNumberFormat="1" applyFont="1" applyFill="1" applyBorder="1" applyAlignment="1" applyProtection="1">
      <alignment horizontal="center" vertical="center"/>
    </xf>
    <xf numFmtId="9" fontId="48" fillId="19" borderId="33" xfId="8" applyFont="1" applyFill="1" applyBorder="1" applyAlignment="1" applyProtection="1">
      <alignment horizontal="center" vertical="center"/>
    </xf>
    <xf numFmtId="1" fontId="48" fillId="19" borderId="33" xfId="0" applyNumberFormat="1" applyFont="1" applyFill="1" applyBorder="1" applyAlignment="1">
      <alignment horizontal="center" vertical="center"/>
    </xf>
    <xf numFmtId="1" fontId="62" fillId="19" borderId="33" xfId="0" applyNumberFormat="1" applyFont="1" applyFill="1" applyBorder="1" applyAlignment="1">
      <alignment horizontal="center" vertical="center"/>
    </xf>
    <xf numFmtId="0" fontId="48" fillId="19" borderId="33" xfId="0" applyFont="1" applyFill="1" applyBorder="1" applyAlignment="1">
      <alignment horizontal="left" vertical="center"/>
    </xf>
    <xf numFmtId="0" fontId="48" fillId="19" borderId="34" xfId="0" applyFont="1" applyFill="1" applyBorder="1" applyAlignment="1">
      <alignment vertical="center"/>
    </xf>
    <xf numFmtId="0" fontId="48" fillId="0" borderId="34" xfId="0" applyFont="1" applyBorder="1" applyAlignment="1">
      <alignment horizontal="left" vertical="center"/>
    </xf>
    <xf numFmtId="0" fontId="48" fillId="0" borderId="34" xfId="0" applyFont="1" applyBorder="1" applyAlignment="1">
      <alignment vertical="center" wrapText="1"/>
    </xf>
    <xf numFmtId="0" fontId="48" fillId="0" borderId="34" xfId="0" applyFont="1" applyBorder="1" applyAlignment="1">
      <alignment vertical="center"/>
    </xf>
    <xf numFmtId="0" fontId="63" fillId="0" borderId="35" xfId="0" applyFont="1" applyBorder="1" applyAlignment="1">
      <alignment horizontal="center" vertical="center"/>
    </xf>
    <xf numFmtId="1" fontId="63" fillId="27" borderId="35" xfId="0" applyNumberFormat="1" applyFont="1" applyFill="1" applyBorder="1" applyAlignment="1">
      <alignment horizontal="center" vertical="center"/>
    </xf>
    <xf numFmtId="9" fontId="63" fillId="27" borderId="35" xfId="8" applyFont="1" applyFill="1" applyBorder="1" applyAlignment="1" applyProtection="1">
      <alignment horizontal="center" vertical="center"/>
    </xf>
    <xf numFmtId="1" fontId="63" fillId="0" borderId="35" xfId="0" applyNumberFormat="1" applyFont="1" applyBorder="1" applyAlignment="1">
      <alignment horizontal="center" vertical="center"/>
    </xf>
    <xf numFmtId="1" fontId="64" fillId="0" borderId="35" xfId="0" applyNumberFormat="1" applyFont="1" applyBorder="1" applyAlignment="1">
      <alignment horizontal="center" vertical="center"/>
    </xf>
    <xf numFmtId="9" fontId="48" fillId="0" borderId="34" xfId="0" applyNumberFormat="1" applyFont="1" applyBorder="1" applyAlignment="1">
      <alignment horizontal="left" vertical="center"/>
    </xf>
    <xf numFmtId="176" fontId="63" fillId="26" borderId="35" xfId="0" applyNumberFormat="1" applyFont="1" applyFill="1" applyBorder="1" applyAlignment="1">
      <alignment horizontal="center" vertical="center"/>
    </xf>
    <xf numFmtId="177" fontId="63" fillId="0" borderId="35" xfId="0" applyNumberFormat="1" applyFont="1" applyBorder="1" applyAlignment="1">
      <alignment horizontal="center" vertical="center"/>
    </xf>
    <xf numFmtId="0" fontId="48" fillId="28" borderId="34" xfId="0" applyFont="1" applyFill="1" applyBorder="1" applyAlignment="1">
      <alignment vertical="center" wrapText="1"/>
    </xf>
    <xf numFmtId="0" fontId="63" fillId="28" borderId="35" xfId="0" applyFont="1" applyFill="1" applyBorder="1" applyAlignment="1">
      <alignment horizontal="center" vertical="center"/>
    </xf>
    <xf numFmtId="176" fontId="63" fillId="29" borderId="35" xfId="0" applyNumberFormat="1" applyFont="1" applyFill="1" applyBorder="1" applyAlignment="1">
      <alignment horizontal="center" vertical="center"/>
    </xf>
    <xf numFmtId="177" fontId="63" fillId="28" borderId="35" xfId="0" applyNumberFormat="1" applyFont="1" applyFill="1" applyBorder="1" applyAlignment="1">
      <alignment horizontal="center" vertical="center"/>
    </xf>
    <xf numFmtId="1" fontId="63" fillId="28" borderId="35" xfId="0" applyNumberFormat="1" applyFont="1" applyFill="1" applyBorder="1" applyAlignment="1">
      <alignment horizontal="center" vertical="center"/>
    </xf>
    <xf numFmtId="9" fontId="63" fillId="28" borderId="35" xfId="8" applyFont="1" applyFill="1" applyBorder="1" applyAlignment="1" applyProtection="1">
      <alignment horizontal="center" vertical="center"/>
    </xf>
    <xf numFmtId="0" fontId="69" fillId="30" borderId="34" xfId="0" applyFont="1" applyFill="1" applyBorder="1" applyAlignment="1">
      <alignment horizontal="center" vertical="center" wrapText="1"/>
    </xf>
    <xf numFmtId="0" fontId="48" fillId="30" borderId="34" xfId="0" applyFont="1" applyFill="1" applyBorder="1" applyAlignment="1">
      <alignment vertical="center"/>
    </xf>
    <xf numFmtId="0" fontId="63" fillId="30" borderId="35" xfId="0" applyFont="1" applyFill="1" applyBorder="1" applyAlignment="1">
      <alignment horizontal="center" vertical="center"/>
    </xf>
    <xf numFmtId="176" fontId="63" fillId="31" borderId="35" xfId="0" applyNumberFormat="1" applyFont="1" applyFill="1" applyBorder="1" applyAlignment="1">
      <alignment horizontal="center" vertical="center"/>
    </xf>
    <xf numFmtId="177" fontId="63" fillId="30" borderId="35" xfId="0" applyNumberFormat="1" applyFont="1" applyFill="1" applyBorder="1" applyAlignment="1">
      <alignment horizontal="center" vertical="center"/>
    </xf>
    <xf numFmtId="1" fontId="63" fillId="30" borderId="35" xfId="0" applyNumberFormat="1" applyFont="1" applyFill="1" applyBorder="1" applyAlignment="1">
      <alignment horizontal="center" vertical="center"/>
    </xf>
    <xf numFmtId="9" fontId="63" fillId="30" borderId="35" xfId="8" applyFont="1" applyFill="1" applyBorder="1" applyAlignment="1" applyProtection="1">
      <alignment horizontal="center" vertical="center"/>
    </xf>
    <xf numFmtId="0" fontId="18" fillId="0" borderId="25" xfId="0" applyFont="1" applyBorder="1" applyAlignment="1">
      <alignment horizontal="center" vertical="center"/>
    </xf>
    <xf numFmtId="0" fontId="18" fillId="0" borderId="26" xfId="0" applyFont="1" applyBorder="1" applyAlignment="1">
      <alignment horizontal="center" vertical="center"/>
    </xf>
    <xf numFmtId="0" fontId="18" fillId="0" borderId="27" xfId="0" applyFont="1" applyBorder="1" applyAlignment="1">
      <alignment horizontal="center" vertical="center"/>
    </xf>
    <xf numFmtId="174" fontId="46" fillId="0" borderId="25" xfId="0" applyNumberFormat="1" applyFont="1" applyBorder="1" applyAlignment="1">
      <alignment horizontal="center" vertical="center"/>
    </xf>
    <xf numFmtId="174" fontId="46" fillId="0" borderId="26" xfId="0" applyNumberFormat="1" applyFont="1" applyBorder="1" applyAlignment="1">
      <alignment horizontal="center" vertical="center"/>
    </xf>
    <xf numFmtId="174" fontId="46" fillId="0" borderId="27" xfId="0" applyNumberFormat="1" applyFont="1" applyBorder="1" applyAlignment="1">
      <alignment horizontal="center" vertical="center"/>
    </xf>
    <xf numFmtId="0" fontId="54" fillId="0" borderId="0" xfId="15" applyFont="1" applyBorder="1" applyAlignment="1" applyProtection="1">
      <alignment horizontal="left" vertical="center"/>
    </xf>
    <xf numFmtId="173" fontId="46" fillId="0" borderId="28" xfId="0" applyNumberFormat="1" applyFont="1" applyBorder="1" applyAlignment="1" applyProtection="1">
      <alignment horizontal="center" vertical="center" shrinkToFit="1"/>
      <protection locked="0"/>
    </xf>
    <xf numFmtId="173" fontId="46" fillId="0" borderId="24" xfId="0" applyNumberFormat="1" applyFont="1" applyBorder="1" applyAlignment="1" applyProtection="1">
      <alignment horizontal="center" vertical="center" shrinkToFit="1"/>
      <protection locked="0"/>
    </xf>
    <xf numFmtId="0" fontId="39" fillId="0" borderId="15" xfId="0" applyFont="1" applyBorder="1" applyAlignment="1">
      <alignment horizontal="center" vertical="center"/>
    </xf>
    <xf numFmtId="0" fontId="39" fillId="0" borderId="18" xfId="0" applyFont="1" applyBorder="1" applyAlignment="1">
      <alignment horizontal="center" vertical="center"/>
    </xf>
    <xf numFmtId="0" fontId="43" fillId="0" borderId="15" xfId="0" applyFont="1" applyBorder="1" applyAlignment="1">
      <alignment horizontal="center" vertical="center"/>
    </xf>
    <xf numFmtId="0" fontId="43" fillId="0" borderId="18" xfId="0" applyFont="1" applyBorder="1" applyAlignment="1">
      <alignment horizontal="center" vertical="center"/>
    </xf>
    <xf numFmtId="0" fontId="44" fillId="0" borderId="15" xfId="0" applyFont="1" applyBorder="1" applyAlignment="1">
      <alignment horizontal="center" vertical="center"/>
    </xf>
    <xf numFmtId="0" fontId="44" fillId="0" borderId="18" xfId="0" applyFont="1" applyBorder="1" applyAlignment="1">
      <alignment horizontal="center" vertical="center"/>
    </xf>
    <xf numFmtId="0" fontId="41" fillId="0" borderId="0" xfId="0" applyFont="1" applyAlignment="1">
      <alignment horizontal="left"/>
    </xf>
    <xf numFmtId="0" fontId="38" fillId="0" borderId="3" xfId="0" applyFont="1" applyBorder="1" applyAlignment="1">
      <alignment vertical="center" wrapText="1"/>
    </xf>
    <xf numFmtId="0" fontId="38" fillId="0" borderId="3" xfId="0" applyFont="1" applyBorder="1" applyAlignment="1">
      <alignment horizontal="left" vertical="center" wrapText="1"/>
    </xf>
    <xf numFmtId="0" fontId="72" fillId="14" borderId="3" xfId="0" applyFont="1" applyFill="1" applyBorder="1" applyAlignment="1">
      <alignment vertical="top" wrapText="1"/>
    </xf>
    <xf numFmtId="0" fontId="17" fillId="0" borderId="3" xfId="0" applyFont="1" applyBorder="1" applyAlignment="1">
      <alignment vertical="center" wrapText="1"/>
    </xf>
    <xf numFmtId="0" fontId="72" fillId="15" borderId="3" xfId="0" applyFont="1" applyFill="1" applyBorder="1" applyAlignment="1">
      <alignment vertical="top" wrapText="1"/>
    </xf>
    <xf numFmtId="0" fontId="73" fillId="0" borderId="0" xfId="0" applyFont="1" applyAlignment="1">
      <alignment vertical="top" wrapText="1"/>
    </xf>
    <xf numFmtId="0" fontId="16" fillId="0" borderId="0" xfId="0" applyFont="1" applyAlignment="1">
      <alignment vertical="top" wrapText="1"/>
    </xf>
    <xf numFmtId="0" fontId="41" fillId="0" borderId="3" xfId="0" applyFont="1" applyBorder="1" applyAlignment="1">
      <alignment horizontal="left" vertical="top"/>
    </xf>
    <xf numFmtId="0" fontId="70" fillId="0" borderId="3" xfId="0" applyFont="1" applyBorder="1" applyAlignment="1">
      <alignment horizontal="left" vertical="top" wrapText="1"/>
    </xf>
    <xf numFmtId="0" fontId="17" fillId="7" borderId="3" xfId="0" applyFont="1" applyFill="1" applyBorder="1" applyAlignment="1">
      <alignment horizontal="center" vertical="center" wrapText="1"/>
    </xf>
    <xf numFmtId="1" fontId="71" fillId="8" borderId="3" xfId="2" applyNumberFormat="1" applyFont="1" applyFill="1" applyBorder="1" applyAlignment="1">
      <alignment horizontal="left" vertical="top" wrapText="1"/>
    </xf>
    <xf numFmtId="1" fontId="71" fillId="8" borderId="3" xfId="2" applyNumberFormat="1" applyFont="1" applyFill="1" applyBorder="1" applyAlignment="1">
      <alignment horizontal="center" vertical="center" wrapText="1"/>
    </xf>
    <xf numFmtId="0" fontId="15" fillId="0" borderId="3" xfId="0" applyFont="1" applyBorder="1" applyAlignment="1">
      <alignment horizontal="center" vertical="top"/>
    </xf>
    <xf numFmtId="0" fontId="17" fillId="9" borderId="3" xfId="0" applyFont="1" applyFill="1" applyBorder="1" applyAlignment="1">
      <alignment horizontal="left" vertical="top" wrapText="1"/>
    </xf>
    <xf numFmtId="0" fontId="71" fillId="12" borderId="3" xfId="0" applyFont="1" applyFill="1" applyBorder="1" applyAlignment="1">
      <alignment horizontal="left" vertical="top" wrapText="1"/>
    </xf>
    <xf numFmtId="0" fontId="38" fillId="0" borderId="3" xfId="0" applyFont="1" applyBorder="1" applyAlignment="1">
      <alignment horizontal="left" vertical="top" wrapText="1"/>
    </xf>
    <xf numFmtId="0" fontId="70" fillId="0" borderId="3" xfId="0" applyFont="1" applyBorder="1" applyAlignment="1">
      <alignment horizontal="left" vertical="top" wrapText="1"/>
    </xf>
    <xf numFmtId="0" fontId="16" fillId="0" borderId="3" xfId="0" applyFont="1" applyBorder="1" applyAlignment="1">
      <alignment horizontal="left" vertical="center" wrapText="1"/>
    </xf>
  </cellXfs>
  <cellStyles count="16">
    <cellStyle name="Attività" xfId="1" xr:uid="{00000000-0005-0000-0000-000001000000}"/>
    <cellStyle name="Collegamento ipertestuale" xfId="15" builtinId="8"/>
    <cellStyle name="Data" xfId="2" xr:uid="{00000000-0005-0000-0000-000003000000}"/>
    <cellStyle name="Data 2" xfId="3" xr:uid="{00000000-0005-0000-0000-000004000000}"/>
    <cellStyle name="Inizio progetto" xfId="4" xr:uid="{00000000-0005-0000-0000-000005000000}"/>
    <cellStyle name="Nome" xfId="5" xr:uid="{00000000-0005-0000-0000-000006000000}"/>
    <cellStyle name="Normale" xfId="0" builtinId="0"/>
    <cellStyle name="Normale 2" xfId="11" xr:uid="{9F7E47F3-DD12-41F7-A265-B2AC1569A753}"/>
    <cellStyle name="Normale 3" xfId="6" xr:uid="{00000000-0005-0000-0000-000008000000}"/>
    <cellStyle name="Normale 3 2" xfId="7" xr:uid="{00000000-0005-0000-0000-000009000000}"/>
    <cellStyle name="Normale 4" xfId="12" xr:uid="{8A94E697-3AB1-4420-BF53-30560544FF8F}"/>
    <cellStyle name="Normale 5" xfId="13" xr:uid="{DE686C63-246C-45CC-9461-FB5C0086EF5A}"/>
    <cellStyle name="Percentuale" xfId="8" builtinId="5"/>
    <cellStyle name="Percentuale 2" xfId="9" xr:uid="{00000000-0005-0000-0000-00000B000000}"/>
    <cellStyle name="Percentuale 3" xfId="14" xr:uid="{12AC14B9-97A2-4D76-9E93-B04555C943D0}"/>
    <cellStyle name="zTestoNascosto" xfId="10" xr:uid="{00000000-0005-0000-0000-000010000000}"/>
  </cellStyles>
  <dxfs count="4">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mruColors>
      <color rgb="FFCCECFF"/>
      <color rgb="FFA1B0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Scroll" dx="22" fmlaLink="$H$4" horiz="1" max="100" min="1" page="0" val="54"/>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24</xdr:col>
          <xdr:colOff>133350</xdr:colOff>
          <xdr:row>2</xdr:row>
          <xdr:rowOff>114300</xdr:rowOff>
        </xdr:to>
        <xdr:sp macro="" textlink="">
          <xdr:nvSpPr>
            <xdr:cNvPr id="9217" name="Scroll Bar 1" hidden="1">
              <a:extLst>
                <a:ext uri="{63B3BB69-23CF-44E3-9099-C40C66FF867C}">
                  <a14:compatExt spid="_x0000_s9217"/>
                </a:ext>
                <a:ext uri="{FF2B5EF4-FFF2-40B4-BE49-F238E27FC236}">
                  <a16:creationId xmlns:a16="http://schemas.microsoft.com/office/drawing/2014/main" id="{00000000-0008-0000-0100-0000012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vertex42.com/ExcelTemplates/excel-gantt-chart.html" TargetMode="External"/><Relationship Id="rId6" Type="http://schemas.openxmlformats.org/officeDocument/2006/relationships/comments" Target="../comments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61"/>
  <sheetViews>
    <sheetView topLeftCell="E2" zoomScale="110" zoomScaleNormal="110" workbookViewId="0">
      <selection activeCell="N9" sqref="N9"/>
    </sheetView>
  </sheetViews>
  <sheetFormatPr defaultRowHeight="15" x14ac:dyDescent="0.25"/>
  <cols>
    <col min="1" max="1" width="10" customWidth="1"/>
    <col min="2" max="2" width="35.7109375" customWidth="1"/>
    <col min="3" max="3" width="8.140625" customWidth="1"/>
    <col min="4" max="4" width="14.140625" bestFit="1" customWidth="1"/>
    <col min="5" max="5" width="15.42578125" bestFit="1" customWidth="1"/>
    <col min="6" max="6" width="14.140625" bestFit="1" customWidth="1"/>
    <col min="7" max="7" width="12.28515625" customWidth="1"/>
    <col min="8" max="8" width="16.140625" bestFit="1" customWidth="1"/>
    <col min="9" max="9" width="14.28515625" bestFit="1" customWidth="1"/>
    <col min="10" max="10" width="15.28515625" bestFit="1" customWidth="1"/>
    <col min="11" max="11" width="25.140625" customWidth="1"/>
    <col min="12" max="12" width="15.28515625" bestFit="1" customWidth="1"/>
    <col min="14" max="14" width="21.7109375" bestFit="1" customWidth="1"/>
  </cols>
  <sheetData>
    <row r="1" spans="2:12" ht="26.45" customHeight="1" x14ac:dyDescent="0.35">
      <c r="B1" s="5"/>
      <c r="C1" s="6"/>
      <c r="D1" s="36"/>
      <c r="E1" s="36"/>
      <c r="F1" s="36"/>
      <c r="G1" s="64"/>
      <c r="H1" s="36"/>
      <c r="I1" s="64"/>
      <c r="J1" s="7"/>
      <c r="K1" s="8"/>
    </row>
    <row r="2" spans="2:12" s="11" customFormat="1" ht="25.5" x14ac:dyDescent="0.25">
      <c r="B2" s="85" t="s">
        <v>250</v>
      </c>
      <c r="C2" s="38"/>
      <c r="D2" s="58" t="s">
        <v>220</v>
      </c>
      <c r="E2" s="58">
        <v>2024</v>
      </c>
      <c r="F2" s="58" t="s">
        <v>219</v>
      </c>
      <c r="G2" s="65"/>
      <c r="H2" s="59" t="s">
        <v>229</v>
      </c>
      <c r="I2" s="82"/>
      <c r="J2" s="59" t="s">
        <v>293</v>
      </c>
      <c r="K2" s="40"/>
    </row>
    <row r="3" spans="2:12" s="11" customFormat="1" ht="14.25" customHeight="1" x14ac:dyDescent="0.25">
      <c r="B3" s="37"/>
      <c r="C3" s="38"/>
      <c r="D3" s="41"/>
      <c r="E3" s="41"/>
      <c r="F3" s="41"/>
      <c r="G3" s="39"/>
      <c r="H3" s="39"/>
      <c r="I3" s="39"/>
      <c r="K3" s="40"/>
    </row>
    <row r="4" spans="2:12" s="11" customFormat="1" ht="15.75" x14ac:dyDescent="0.25">
      <c r="B4" s="42" t="s">
        <v>1</v>
      </c>
      <c r="C4" s="43"/>
      <c r="D4" s="44" t="e">
        <f>SUM(D5,D6:D7)</f>
        <v>#REF!</v>
      </c>
      <c r="E4" s="44" t="e">
        <f>SUM(E5,E6:E7)</f>
        <v>#REF!</v>
      </c>
      <c r="F4" s="44" t="e">
        <f>SUM(F5,F6:F7)</f>
        <v>#REF!</v>
      </c>
      <c r="G4" s="45"/>
      <c r="H4" s="44" t="e">
        <f>SUM(H5,H6:H7)</f>
        <v>#REF!</v>
      </c>
      <c r="I4" s="45"/>
      <c r="K4" s="46"/>
    </row>
    <row r="5" spans="2:12" s="11" customFormat="1" ht="15.75" x14ac:dyDescent="0.25">
      <c r="B5" s="57" t="s">
        <v>227</v>
      </c>
      <c r="C5" s="43"/>
      <c r="D5" s="61" t="e">
        <f>SUMIF(Gantt!#REF!,"Sviluppo software",Gantt!#REF!)</f>
        <v>#REF!</v>
      </c>
      <c r="E5" s="61" t="e">
        <f>SUMIF(Gantt!#REF!,"Sviluppo software",Gantt!#REF!)</f>
        <v>#REF!</v>
      </c>
      <c r="F5" s="61" t="e">
        <f>SUMIF(Gantt!#REF!,"Sviluppo software",Gantt!#REF!)</f>
        <v>#REF!</v>
      </c>
      <c r="G5" s="47"/>
      <c r="H5" s="62" t="e">
        <f t="shared" ref="H5:H13" si="0">SUM(D5:F5)</f>
        <v>#REF!</v>
      </c>
      <c r="I5" s="47"/>
      <c r="J5" s="62">
        <v>360008</v>
      </c>
      <c r="K5" s="92"/>
    </row>
    <row r="6" spans="2:12" s="11" customFormat="1" ht="15.75" x14ac:dyDescent="0.25">
      <c r="B6" s="57" t="s">
        <v>2</v>
      </c>
      <c r="C6" s="43"/>
      <c r="D6" s="61" t="e">
        <f>SUMIF(Gantt!#REF!,"MEV",Gantt!#REF!)</f>
        <v>#REF!</v>
      </c>
      <c r="E6" s="61" t="e">
        <f>SUMIF(Gantt!#REF!,"MEV",Gantt!#REF!)</f>
        <v>#REF!</v>
      </c>
      <c r="F6" s="61" t="e">
        <f>SUMIF(Gantt!#REF!,"MEV",Gantt!#REF!)</f>
        <v>#REF!</v>
      </c>
      <c r="G6" s="47"/>
      <c r="H6" s="62" t="e">
        <f t="shared" si="0"/>
        <v>#REF!</v>
      </c>
      <c r="I6" s="47"/>
      <c r="J6" s="62">
        <v>489486</v>
      </c>
      <c r="K6" s="92"/>
    </row>
    <row r="7" spans="2:12" s="11" customFormat="1" ht="15.75" x14ac:dyDescent="0.25">
      <c r="B7" s="57" t="s">
        <v>225</v>
      </c>
      <c r="C7" s="43"/>
      <c r="D7" s="61" t="e">
        <f>SUMIF(Gantt!#REF!,"Conduzione Applicativa(Consumo)",Gantt!#REF!)</f>
        <v>#REF!</v>
      </c>
      <c r="E7" s="61" t="e">
        <f>SUMIF(Gantt!#REF!,"Conduzione Applicativa(Consumo)",Gantt!#REF!)</f>
        <v>#REF!</v>
      </c>
      <c r="F7" s="61" t="e">
        <f>SUMIF(Gantt!#REF!,"Conduzione Applicativa(Consumo)",Gantt!#REF!)</f>
        <v>#REF!</v>
      </c>
      <c r="G7" s="45"/>
      <c r="H7" s="62" t="e">
        <f t="shared" si="0"/>
        <v>#REF!</v>
      </c>
      <c r="I7" s="45"/>
      <c r="J7" s="62">
        <f>887592-236881.5</f>
        <v>650710.5</v>
      </c>
      <c r="K7" s="92"/>
    </row>
    <row r="8" spans="2:12" s="11" customFormat="1" ht="15.75" x14ac:dyDescent="0.25">
      <c r="B8" s="42" t="s">
        <v>352</v>
      </c>
      <c r="C8" s="43"/>
      <c r="D8" s="44" t="e">
        <f>SUMIF(Gantt!#REF!,"Supp. Spec. App. (Consumo)",Gantt!#REF!)</f>
        <v>#REF!</v>
      </c>
      <c r="E8" s="44" t="e">
        <f>SUMIF(Gantt!#REF!,"Supp. Spec. App. (Consumo)",Gantt!#REF!)</f>
        <v>#REF!</v>
      </c>
      <c r="F8" s="44" t="e">
        <f>SUMIF(Gantt!#REF!,"Supp. Spec. App. (Consumo)",Gantt!#REF!)</f>
        <v>#REF!</v>
      </c>
      <c r="G8" s="49"/>
      <c r="H8" s="44" t="e">
        <f t="shared" si="0"/>
        <v>#REF!</v>
      </c>
      <c r="I8" s="49"/>
      <c r="J8" s="62">
        <v>91094</v>
      </c>
      <c r="K8" s="92"/>
      <c r="L8" s="94"/>
    </row>
    <row r="9" spans="2:12" s="11" customFormat="1" ht="15.75" x14ac:dyDescent="0.25">
      <c r="B9" s="42" t="s">
        <v>4</v>
      </c>
      <c r="C9" s="43"/>
      <c r="D9" s="44" t="e">
        <f>SUMIF(Gantt!#REF!,"Servizi Desk(Canone)",Gantt!#REF!)</f>
        <v>#REF!</v>
      </c>
      <c r="E9" s="44" t="e">
        <f>SUMIF(Gantt!#REF!,"Servizi Desk(Canone)",Gantt!#REF!)</f>
        <v>#REF!</v>
      </c>
      <c r="F9" s="44" t="e">
        <f>SUMIF(Gantt!#REF!,"Servizi Desk(Canone)",Gantt!#REF!)</f>
        <v>#REF!</v>
      </c>
      <c r="G9" s="45"/>
      <c r="H9" s="44" t="e">
        <f t="shared" si="0"/>
        <v>#REF!</v>
      </c>
      <c r="I9" s="45"/>
      <c r="J9" s="62">
        <v>84997.5</v>
      </c>
      <c r="K9" s="92"/>
    </row>
    <row r="10" spans="2:12" s="11" customFormat="1" ht="15.75" x14ac:dyDescent="0.25">
      <c r="B10" s="50"/>
      <c r="C10" s="43"/>
      <c r="D10" s="51"/>
      <c r="E10" s="52"/>
      <c r="F10" s="52"/>
      <c r="G10" s="53"/>
      <c r="H10" s="53"/>
      <c r="I10" s="53"/>
      <c r="K10" s="40"/>
    </row>
    <row r="11" spans="2:12" s="11" customFormat="1" ht="15.75" x14ac:dyDescent="0.25">
      <c r="B11" s="60" t="s">
        <v>251</v>
      </c>
      <c r="C11" s="38"/>
      <c r="D11" s="44" t="e">
        <f>D4+D8+D9</f>
        <v>#REF!</v>
      </c>
      <c r="E11" s="44" t="e">
        <f t="shared" ref="E11:F11" si="1">E4+E8+E9</f>
        <v>#REF!</v>
      </c>
      <c r="F11" s="44" t="e">
        <f t="shared" si="1"/>
        <v>#REF!</v>
      </c>
      <c r="G11" s="53"/>
      <c r="H11" s="44" t="e">
        <f>SUM(D11:F11)</f>
        <v>#REF!</v>
      </c>
      <c r="I11" s="53"/>
      <c r="J11" s="76">
        <f>SUM(J5:J9)</f>
        <v>1676296</v>
      </c>
      <c r="K11" s="38"/>
    </row>
    <row r="12" spans="2:12" s="11" customFormat="1" ht="15.75" x14ac:dyDescent="0.25">
      <c r="B12" s="37"/>
      <c r="C12" s="38"/>
      <c r="D12" s="43"/>
      <c r="E12" s="43"/>
      <c r="F12" s="43"/>
      <c r="G12" s="43"/>
      <c r="H12" s="43"/>
      <c r="I12" s="43"/>
      <c r="J12" s="90" t="e">
        <f>H13-H11</f>
        <v>#REF!</v>
      </c>
      <c r="K12" s="46" t="s">
        <v>255</v>
      </c>
    </row>
    <row r="13" spans="2:12" s="11" customFormat="1" ht="15.75" x14ac:dyDescent="0.25">
      <c r="B13" s="54" t="s">
        <v>5</v>
      </c>
      <c r="C13" s="38"/>
      <c r="D13" s="48">
        <v>484872</v>
      </c>
      <c r="E13" s="48">
        <v>788379</v>
      </c>
      <c r="F13" s="48">
        <v>403045</v>
      </c>
      <c r="G13" s="55"/>
      <c r="H13" s="48">
        <f t="shared" si="0"/>
        <v>1676296</v>
      </c>
      <c r="I13" s="55"/>
      <c r="K13" s="40"/>
    </row>
    <row r="14" spans="2:12" ht="15" customHeight="1" x14ac:dyDescent="0.25">
      <c r="B14" s="5"/>
      <c r="C14" s="6"/>
      <c r="D14" s="2"/>
      <c r="E14" s="13"/>
      <c r="F14" s="2"/>
      <c r="G14" s="2"/>
      <c r="H14" s="2"/>
      <c r="I14" s="2"/>
      <c r="J14" s="56"/>
      <c r="K14" s="7"/>
    </row>
    <row r="15" spans="2:12" x14ac:dyDescent="0.25">
      <c r="D15" s="56"/>
      <c r="E15" s="56"/>
      <c r="F15" s="56"/>
      <c r="H15" s="56"/>
    </row>
    <row r="16" spans="2:12" x14ac:dyDescent="0.25">
      <c r="D16" s="56"/>
      <c r="E16" s="56"/>
    </row>
    <row r="17" spans="2:11" hidden="1" x14ac:dyDescent="0.25">
      <c r="B17" s="67" t="s">
        <v>228</v>
      </c>
      <c r="C17" s="66"/>
    </row>
    <row r="18" spans="2:11" ht="15.75" hidden="1" x14ac:dyDescent="0.25">
      <c r="B18" s="68" t="s">
        <v>222</v>
      </c>
      <c r="C18" s="66"/>
      <c r="D18" s="62">
        <v>180000</v>
      </c>
      <c r="E18" s="62">
        <v>150012</v>
      </c>
      <c r="F18" s="62">
        <v>29996</v>
      </c>
      <c r="H18" s="62">
        <f>SUM(D18:F18)</f>
        <v>360008</v>
      </c>
      <c r="J18" s="56" t="e">
        <f>H18-H5</f>
        <v>#REF!</v>
      </c>
    </row>
    <row r="19" spans="2:11" ht="15.75" hidden="1" x14ac:dyDescent="0.25">
      <c r="B19" s="68" t="s">
        <v>221</v>
      </c>
      <c r="C19" s="66"/>
      <c r="D19" s="62">
        <v>200000</v>
      </c>
      <c r="E19" s="62">
        <v>209997</v>
      </c>
      <c r="F19" s="62">
        <v>79489</v>
      </c>
      <c r="H19" s="62">
        <f t="shared" ref="H19:H24" si="2">SUM(D19:F19)</f>
        <v>489486</v>
      </c>
      <c r="J19" s="56" t="e">
        <f>H19-H6</f>
        <v>#REF!</v>
      </c>
    </row>
    <row r="20" spans="2:11" ht="15.75" hidden="1" x14ac:dyDescent="0.25">
      <c r="B20" s="68" t="s">
        <v>225</v>
      </c>
      <c r="C20" s="66"/>
      <c r="D20" s="62">
        <v>104872</v>
      </c>
      <c r="E20" s="62">
        <v>350452</v>
      </c>
      <c r="F20" s="62">
        <v>220268</v>
      </c>
      <c r="H20" s="62">
        <f t="shared" si="2"/>
        <v>675592</v>
      </c>
      <c r="J20" s="56" t="e">
        <f>H20-H7</f>
        <v>#REF!</v>
      </c>
    </row>
    <row r="21" spans="2:11" ht="15.75" hidden="1" x14ac:dyDescent="0.25">
      <c r="B21" s="68" t="s">
        <v>223</v>
      </c>
      <c r="C21" s="66"/>
      <c r="D21" s="62">
        <v>0</v>
      </c>
      <c r="E21" s="62">
        <v>42918</v>
      </c>
      <c r="F21" s="62">
        <v>38292</v>
      </c>
      <c r="H21" s="62">
        <f t="shared" si="2"/>
        <v>81210</v>
      </c>
      <c r="J21" s="56" t="e">
        <f>H21-H8</f>
        <v>#REF!</v>
      </c>
    </row>
    <row r="22" spans="2:11" ht="15.75" hidden="1" x14ac:dyDescent="0.25">
      <c r="B22" s="68" t="s">
        <v>224</v>
      </c>
      <c r="C22" s="66"/>
      <c r="D22" s="62">
        <v>0</v>
      </c>
      <c r="E22" s="62">
        <v>35000</v>
      </c>
      <c r="F22" s="62">
        <v>35000</v>
      </c>
      <c r="H22" s="62">
        <f t="shared" si="2"/>
        <v>70000</v>
      </c>
      <c r="J22" s="56" t="e">
        <f>H22-H9</f>
        <v>#REF!</v>
      </c>
    </row>
    <row r="23" spans="2:11" ht="9.75" hidden="1" customHeight="1" x14ac:dyDescent="0.25">
      <c r="D23" s="62"/>
      <c r="E23" s="62"/>
      <c r="F23" s="62"/>
      <c r="H23" s="62"/>
      <c r="J23" s="10"/>
    </row>
    <row r="24" spans="2:11" ht="23.25" hidden="1" x14ac:dyDescent="0.25">
      <c r="D24" s="62">
        <f>SUM(D18:D22)</f>
        <v>484872</v>
      </c>
      <c r="E24" s="62">
        <f>SUM(E18:E22)</f>
        <v>788379</v>
      </c>
      <c r="F24" s="62">
        <f>SUM(F18:F22)</f>
        <v>403045</v>
      </c>
      <c r="H24" s="62">
        <f t="shared" si="2"/>
        <v>1676296</v>
      </c>
      <c r="J24" s="10"/>
    </row>
    <row r="25" spans="2:11" s="1" customFormat="1" ht="23.25" x14ac:dyDescent="0.35">
      <c r="B25" s="3"/>
      <c r="C25" s="4"/>
      <c r="D25" s="2"/>
      <c r="E25" s="13"/>
      <c r="F25" s="2"/>
      <c r="G25" s="2"/>
      <c r="H25" s="2"/>
      <c r="J25" s="10"/>
    </row>
    <row r="26" spans="2:11" s="1" customFormat="1" ht="23.25" x14ac:dyDescent="0.35">
      <c r="B26" s="3"/>
      <c r="C26" s="4"/>
      <c r="D26" s="2"/>
      <c r="E26" s="84"/>
      <c r="F26" s="2"/>
      <c r="G26" s="2"/>
      <c r="H26" s="2"/>
      <c r="J26" s="10"/>
    </row>
    <row r="27" spans="2:11" s="11" customFormat="1" ht="25.5" customHeight="1" x14ac:dyDescent="0.25">
      <c r="B27" s="91"/>
      <c r="C27" s="38"/>
      <c r="D27" s="100" t="s">
        <v>220</v>
      </c>
      <c r="E27" s="100" t="s">
        <v>264</v>
      </c>
      <c r="F27" s="100" t="s">
        <v>265</v>
      </c>
      <c r="G27" s="100" t="s">
        <v>266</v>
      </c>
      <c r="H27" s="58" t="s">
        <v>267</v>
      </c>
      <c r="I27" s="58" t="s">
        <v>268</v>
      </c>
      <c r="J27" s="58" t="s">
        <v>269</v>
      </c>
      <c r="K27" s="40"/>
    </row>
    <row r="28" spans="2:11" s="11" customFormat="1" ht="14.25" customHeight="1" x14ac:dyDescent="0.25">
      <c r="B28" s="37"/>
      <c r="C28" s="38"/>
      <c r="D28" s="41"/>
      <c r="E28" s="41"/>
      <c r="F28" s="41"/>
      <c r="G28" s="41"/>
      <c r="H28" s="41"/>
      <c r="I28" s="41"/>
      <c r="J28" s="41"/>
      <c r="K28" s="40"/>
    </row>
    <row r="29" spans="2:11" s="11" customFormat="1" ht="15.75" x14ac:dyDescent="0.25">
      <c r="B29" s="42" t="s">
        <v>1</v>
      </c>
      <c r="C29" s="43"/>
      <c r="D29" s="44" t="e">
        <f>SUM(D30,D31:D32)</f>
        <v>#REF!</v>
      </c>
      <c r="E29" s="44" t="e">
        <f t="shared" ref="E29:J29" si="3">SUM(E30,E31:E32)</f>
        <v>#REF!</v>
      </c>
      <c r="F29" s="44" t="e">
        <f t="shared" si="3"/>
        <v>#REF!</v>
      </c>
      <c r="G29" s="44" t="e">
        <f t="shared" si="3"/>
        <v>#REF!</v>
      </c>
      <c r="H29" s="44" t="e">
        <f t="shared" si="3"/>
        <v>#REF!</v>
      </c>
      <c r="I29" s="44" t="e">
        <f t="shared" si="3"/>
        <v>#REF!</v>
      </c>
      <c r="J29" s="44" t="e">
        <f t="shared" si="3"/>
        <v>#REF!</v>
      </c>
      <c r="K29" s="46"/>
    </row>
    <row r="30" spans="2:11" s="11" customFormat="1" ht="15.75" x14ac:dyDescent="0.25">
      <c r="B30" s="57" t="s">
        <v>227</v>
      </c>
      <c r="C30" s="43"/>
      <c r="D30" s="61" t="e">
        <f>SUMIFS(Gantt!#REF!,Gantt!#REF!,"Sviluppo software",Gantt!#REF!,"IV TRIMESTRE 2023")</f>
        <v>#REF!</v>
      </c>
      <c r="E30" s="61" t="e">
        <f>SUMIFS(Gantt!#REF!,Gantt!#REF!,"Sviluppo software",Gantt!#REF!,"I TRIMESTRE 2024")</f>
        <v>#REF!</v>
      </c>
      <c r="F30" s="61" t="e">
        <f>SUMIFS(Gantt!#REF!,Gantt!#REF!,"Sviluppo software",Gantt!#REF!,"II TRIMESTRE 2024")</f>
        <v>#REF!</v>
      </c>
      <c r="G30" s="61" t="e">
        <f>SUMIFS(Gantt!#REF!,Gantt!#REF!,"Sviluppo software",Gantt!#REF!,"III TRIMESTRE 2024")</f>
        <v>#REF!</v>
      </c>
      <c r="H30" s="61" t="e">
        <f>SUMIFS(Gantt!#REF!,Gantt!#REF!,"Sviluppo software",Gantt!#REF!,"IV TRIMESTRE 2024")</f>
        <v>#REF!</v>
      </c>
      <c r="I30" s="61" t="e">
        <f>SUMIFS(Gantt!#REF!,Gantt!#REF!,"Sviluppo software",Gantt!#REF!,"I TRIMESTRE 2025")</f>
        <v>#REF!</v>
      </c>
      <c r="J30" s="61" t="e">
        <f>SUMIFS(Gantt!#REF!,Gantt!#REF!,"Sviluppo software",Gantt!#REF!,"II TRIMESTRE 2025")</f>
        <v>#REF!</v>
      </c>
      <c r="K30" s="40"/>
    </row>
    <row r="31" spans="2:11" s="11" customFormat="1" ht="15.75" x14ac:dyDescent="0.25">
      <c r="B31" s="57" t="s">
        <v>2</v>
      </c>
      <c r="C31" s="43"/>
      <c r="D31" s="61" t="e">
        <f>SUMIFS(Gantt!#REF!,Gantt!#REF!,"MEV",Gantt!#REF!,"IV TRIMESTRE 2023")</f>
        <v>#REF!</v>
      </c>
      <c r="E31" s="61" t="e">
        <f>SUMIFS(Gantt!#REF!,Gantt!#REF!,"MEV",Gantt!#REF!,"I TRIMESTRE 2024")</f>
        <v>#REF!</v>
      </c>
      <c r="F31" s="61" t="e">
        <f>SUMIFS(Gantt!#REF!,Gantt!#REF!,"MEV",Gantt!#REF!,"II TRIMESTRE 2024")</f>
        <v>#REF!</v>
      </c>
      <c r="G31" s="61" t="e">
        <f>SUMIFS(Gantt!#REF!,Gantt!#REF!,"MEV",Gantt!#REF!,"III TRIMESTRE 2024")</f>
        <v>#REF!</v>
      </c>
      <c r="H31" s="61" t="e">
        <f>SUMIFS(Gantt!#REF!,Gantt!#REF!,"MEV",Gantt!#REF!,"IV TRIMESTRE 2024")</f>
        <v>#REF!</v>
      </c>
      <c r="I31" s="61" t="e">
        <f>SUMIFS(Gantt!#REF!,Gantt!#REF!,"MEV",Gantt!#REF!,"I TRIMESTRE 2025")</f>
        <v>#REF!</v>
      </c>
      <c r="J31" s="61" t="e">
        <f>SUMIFS(Gantt!#REF!,Gantt!#REF!,"MEV",Gantt!#REF!,"II TRIMESTRE 2025")</f>
        <v>#REF!</v>
      </c>
      <c r="K31" s="40"/>
    </row>
    <row r="32" spans="2:11" s="11" customFormat="1" ht="15.75" x14ac:dyDescent="0.25">
      <c r="B32" s="57" t="s">
        <v>225</v>
      </c>
      <c r="C32" s="43"/>
      <c r="D32" s="61" t="e">
        <f>SUMIFS(Gantt!#REF!,Gantt!#REF!,"Conduzione applicativa(consumo)",Gantt!#REF!,"2023")</f>
        <v>#REF!</v>
      </c>
      <c r="E32" s="61" t="e">
        <f>SUMIFS(Gantt!#REF!,Gantt!#REF!,"Conduzione applicativa(consumo)",Gantt!#REF!,"I TRIMESTRE 2024")</f>
        <v>#REF!</v>
      </c>
      <c r="F32" s="61" t="e">
        <f>SUMIFS(Gantt!#REF!,Gantt!#REF!,"Conduzione applicativa(consumo)",Gantt!#REF!,"II TRIMESTRE 2024")</f>
        <v>#REF!</v>
      </c>
      <c r="G32" s="61" t="e">
        <f>SUMIFS(Gantt!#REF!,Gantt!#REF!,"Conduzione applicativa(consumo)",Gantt!#REF!,"III TRIMESTRE 2024")</f>
        <v>#REF!</v>
      </c>
      <c r="H32" s="61" t="e">
        <f>SUMIFS(Gantt!#REF!,Gantt!#REF!,"Conduzione applicativa(consumo)",Gantt!#REF!,"IV TRIMESTRE 2024")</f>
        <v>#REF!</v>
      </c>
      <c r="I32" s="61" t="e">
        <f>SUMIFS(Gantt!#REF!,Gantt!#REF!,"Conduzione applicativa(consumo)",Gantt!#REF!,"I TRIMESTRE 2025")</f>
        <v>#REF!</v>
      </c>
      <c r="J32" s="61" t="e">
        <f>SUMIFS(Gantt!#REF!,Gantt!#REF!,"Conduzione applicativa(consumo)",Gantt!#REF!,"II TRIMESTRE 2025")</f>
        <v>#REF!</v>
      </c>
      <c r="K32" s="40"/>
    </row>
    <row r="33" spans="2:13" s="11" customFormat="1" ht="15.75" x14ac:dyDescent="0.25">
      <c r="B33" s="42" t="s">
        <v>3</v>
      </c>
      <c r="C33" s="43"/>
      <c r="D33" s="44" t="e">
        <f>SUMIFS(Gantt!#REF!,Gantt!#REF!,"Supp. Spec. App. (Consumo)",Gantt!#REF!,"2023")</f>
        <v>#REF!</v>
      </c>
      <c r="E33" s="44" t="e">
        <f>SUMIFS(Gantt!#REF!,Gantt!#REF!,"Supp. Spec. App. (Consumo)",Gantt!#REF!,"I TRIMESTRE 2024")</f>
        <v>#REF!</v>
      </c>
      <c r="F33" s="44" t="e">
        <f>SUMIFS(Gantt!#REF!,Gantt!#REF!,"Supp. Spec. App. (Consumo)",Gantt!#REF!,"II TRIMESTRE 2024")</f>
        <v>#REF!</v>
      </c>
      <c r="G33" s="44" t="e">
        <f>SUMIFS(Gantt!#REF!,Gantt!#REF!,"Supp. Spec. App. (Consumo)",Gantt!#REF!,"III TRIMESTRE 2024")</f>
        <v>#REF!</v>
      </c>
      <c r="H33" s="44" t="e">
        <f>SUMIFS(Gantt!#REF!,Gantt!#REF!,"Supp. Spec. App. (Consumo)",Gantt!#REF!,"IV TRIMESTRE 2024")</f>
        <v>#REF!</v>
      </c>
      <c r="I33" s="44" t="e">
        <f>SUMIFS(Gantt!#REF!,Gantt!#REF!,"Supp. Spec. App. (Consumo)",Gantt!#REF!,"I TRIMESTRE 2025")</f>
        <v>#REF!</v>
      </c>
      <c r="J33" s="44" t="e">
        <f>SUMIFS(Gantt!#REF!,Gantt!#REF!,"Supp. Spec. App. (Consumo)",Gantt!#REF!,"II TRIMESTRE 2025")</f>
        <v>#REF!</v>
      </c>
      <c r="K33" s="40"/>
    </row>
    <row r="34" spans="2:13" s="11" customFormat="1" ht="15.75" x14ac:dyDescent="0.25">
      <c r="B34" s="42" t="s">
        <v>4</v>
      </c>
      <c r="C34" s="43"/>
      <c r="D34" s="44" t="e">
        <f>SUMIFS(Gantt!#REF!,Gantt!#REF!,"Servizi Desk(Canone)",Gantt!#REF!,"IV TRIMESTRE 2023")</f>
        <v>#REF!</v>
      </c>
      <c r="E34" s="44" t="e">
        <f>SUMIFS(Gantt!#REF!,Gantt!#REF!,"Servizi Desk(Canone)",Gantt!#REF!,"I TRIMESTRE 2024")</f>
        <v>#REF!</v>
      </c>
      <c r="F34" s="44" t="e">
        <f>SUMIFS(Gantt!#REF!,Gantt!#REF!,"Servizi Desk(Canone)",Gantt!#REF!,"II TRIMESTRE 2024")</f>
        <v>#REF!</v>
      </c>
      <c r="G34" s="44" t="e">
        <f>SUMIFS(Gantt!#REF!,Gantt!#REF!,"Servizi Desk(Canone)",Gantt!#REF!,"III TRIMESTRE 2024")</f>
        <v>#REF!</v>
      </c>
      <c r="H34" s="44" t="e">
        <f>SUMIFS(Gantt!#REF!,Gantt!#REF!,"Servizi Desk(Canone)",Gantt!#REF!,"IV TRIMESTRE 2024")</f>
        <v>#REF!</v>
      </c>
      <c r="I34" s="44" t="e">
        <f>SUMIFS(Gantt!#REF!,Gantt!#REF!,"Servizi Desk(Canone)",Gantt!#REF!,"I TRIMESTRE 2025")</f>
        <v>#REF!</v>
      </c>
      <c r="J34" s="44" t="e">
        <f>SUMIFS(Gantt!#REF!,Gantt!#REF!,"Servizi Desk(Canone)",Gantt!#REF!,"II TRIMESTRE 2025")</f>
        <v>#REF!</v>
      </c>
      <c r="K34" s="40"/>
    </row>
    <row r="35" spans="2:13" s="11" customFormat="1" ht="15.75" x14ac:dyDescent="0.25">
      <c r="B35" s="50"/>
      <c r="C35" s="43"/>
      <c r="D35" s="51"/>
      <c r="E35" s="52"/>
      <c r="F35" s="52"/>
      <c r="G35" s="52"/>
      <c r="H35" s="52"/>
      <c r="I35" s="52"/>
      <c r="J35" s="52"/>
      <c r="K35" s="40"/>
    </row>
    <row r="36" spans="2:13" s="11" customFormat="1" ht="15.75" x14ac:dyDescent="0.25">
      <c r="B36" s="60" t="s">
        <v>249</v>
      </c>
      <c r="C36" s="38"/>
      <c r="D36" s="44" t="e">
        <f>D29+D33+D34</f>
        <v>#REF!</v>
      </c>
      <c r="E36" s="44" t="e">
        <f>E29+E33+E34</f>
        <v>#REF!</v>
      </c>
      <c r="F36" s="44" t="e">
        <f>F29+F33+F34</f>
        <v>#REF!</v>
      </c>
      <c r="G36" s="44" t="e">
        <f t="shared" ref="G36:J36" si="4">G29+G33+G34</f>
        <v>#REF!</v>
      </c>
      <c r="H36" s="44" t="e">
        <f t="shared" si="4"/>
        <v>#REF!</v>
      </c>
      <c r="I36" s="44" t="e">
        <f t="shared" si="4"/>
        <v>#REF!</v>
      </c>
      <c r="J36" s="44" t="e">
        <f t="shared" si="4"/>
        <v>#REF!</v>
      </c>
      <c r="K36" s="101" t="s">
        <v>0</v>
      </c>
      <c r="L36" s="96" t="e">
        <f>SUM(D36:J36)</f>
        <v>#REF!</v>
      </c>
    </row>
    <row r="37" spans="2:13" s="11" customFormat="1" ht="15.75" x14ac:dyDescent="0.25">
      <c r="B37" s="37"/>
      <c r="C37" s="38"/>
      <c r="D37" s="43"/>
      <c r="E37" s="43"/>
      <c r="F37" s="43"/>
      <c r="G37" s="43"/>
      <c r="H37" s="43"/>
      <c r="I37" s="43"/>
      <c r="J37" s="76"/>
      <c r="K37" s="40"/>
    </row>
    <row r="38" spans="2:13" ht="26.25" x14ac:dyDescent="0.35">
      <c r="B38" s="5"/>
      <c r="C38" s="6"/>
      <c r="D38" s="98"/>
      <c r="E38" s="98"/>
      <c r="F38" s="98"/>
      <c r="G38" s="43"/>
      <c r="H38" s="2"/>
      <c r="I38" s="7"/>
      <c r="J38" s="10"/>
      <c r="K38" s="11"/>
      <c r="L38" s="1"/>
    </row>
    <row r="39" spans="2:13" ht="26.25" x14ac:dyDescent="0.35">
      <c r="B39" s="5"/>
      <c r="C39" s="6"/>
      <c r="D39" s="98"/>
      <c r="E39" s="98"/>
      <c r="F39" s="98"/>
      <c r="G39" s="98"/>
      <c r="H39" s="98"/>
      <c r="I39" s="98"/>
      <c r="J39" s="98"/>
      <c r="K39" s="10"/>
      <c r="L39" s="9"/>
      <c r="M39" s="1"/>
    </row>
    <row r="40" spans="2:13" ht="26.25" x14ac:dyDescent="0.35">
      <c r="B40" s="5"/>
      <c r="C40" s="6"/>
      <c r="D40" s="2"/>
      <c r="E40" s="2"/>
      <c r="F40" s="2"/>
      <c r="G40" s="2"/>
      <c r="H40" s="2"/>
      <c r="I40" s="14"/>
      <c r="J40" s="10"/>
      <c r="K40" s="10"/>
      <c r="L40" s="9"/>
      <c r="M40" s="1"/>
    </row>
    <row r="41" spans="2:13" ht="26.25" x14ac:dyDescent="0.35">
      <c r="B41" s="5"/>
      <c r="C41" s="6"/>
      <c r="D41" s="2"/>
      <c r="E41" s="2"/>
      <c r="F41" s="2"/>
      <c r="G41" s="2"/>
      <c r="H41" s="2"/>
      <c r="I41" s="14"/>
      <c r="J41" s="10"/>
      <c r="K41" s="10"/>
      <c r="L41" s="9"/>
      <c r="M41" s="1"/>
    </row>
    <row r="42" spans="2:13" ht="26.25" x14ac:dyDescent="0.35">
      <c r="B42" s="5"/>
      <c r="C42" s="6"/>
      <c r="D42" s="2"/>
      <c r="E42" s="2"/>
      <c r="F42" s="2"/>
      <c r="G42" s="2"/>
      <c r="H42" s="2"/>
      <c r="I42" s="14"/>
      <c r="J42" s="10"/>
      <c r="K42" s="10"/>
      <c r="L42" s="9"/>
      <c r="M42" s="1"/>
    </row>
    <row r="43" spans="2:13" ht="26.25" x14ac:dyDescent="0.35">
      <c r="B43" s="5"/>
      <c r="C43" s="6"/>
      <c r="D43" s="2"/>
      <c r="E43" s="2"/>
      <c r="F43" s="2"/>
      <c r="G43" s="2"/>
      <c r="H43" s="2"/>
      <c r="I43" s="14"/>
      <c r="J43" s="10"/>
      <c r="K43" s="10"/>
      <c r="L43" s="9"/>
      <c r="M43" s="1"/>
    </row>
    <row r="44" spans="2:13" ht="26.25" x14ac:dyDescent="0.35">
      <c r="B44" s="5"/>
      <c r="C44" s="6"/>
      <c r="D44" s="2"/>
      <c r="E44" s="2"/>
      <c r="F44" s="2"/>
      <c r="G44" s="2"/>
      <c r="H44" s="2"/>
      <c r="I44" s="14"/>
      <c r="J44" s="10"/>
      <c r="K44" s="10"/>
      <c r="L44" s="9"/>
      <c r="M44" s="1"/>
    </row>
    <row r="45" spans="2:13" ht="26.25" x14ac:dyDescent="0.35">
      <c r="B45" s="5"/>
      <c r="C45" s="6"/>
      <c r="D45" s="2"/>
      <c r="E45" s="2"/>
      <c r="F45" s="2"/>
      <c r="G45" s="2"/>
      <c r="H45" s="2"/>
      <c r="I45" s="14"/>
      <c r="J45" s="10"/>
      <c r="K45" s="10"/>
      <c r="L45" s="9"/>
      <c r="M45" s="1"/>
    </row>
    <row r="46" spans="2:13" ht="26.25" x14ac:dyDescent="0.35">
      <c r="B46" s="5"/>
      <c r="C46" s="6"/>
      <c r="D46" s="2"/>
      <c r="E46" s="2"/>
      <c r="F46" s="2"/>
      <c r="G46" s="2"/>
      <c r="H46" s="2"/>
      <c r="I46" s="14"/>
      <c r="J46" s="10"/>
      <c r="K46" s="10"/>
      <c r="L46" s="9"/>
      <c r="M46" s="1"/>
    </row>
    <row r="47" spans="2:13" ht="26.25" x14ac:dyDescent="0.35">
      <c r="B47" s="5"/>
      <c r="C47" s="6"/>
      <c r="D47" s="2"/>
      <c r="E47" s="2"/>
      <c r="F47" s="2"/>
      <c r="G47" s="2"/>
      <c r="H47" s="2"/>
      <c r="I47" s="14"/>
      <c r="J47" s="10"/>
      <c r="K47" s="10"/>
      <c r="L47" s="9"/>
      <c r="M47" s="1"/>
    </row>
    <row r="48" spans="2:13" ht="26.25" x14ac:dyDescent="0.35">
      <c r="B48" s="5"/>
      <c r="C48" s="6"/>
      <c r="D48" s="2"/>
      <c r="E48" s="2"/>
      <c r="F48" s="2"/>
      <c r="G48" s="2"/>
      <c r="H48" s="2"/>
      <c r="I48" s="14"/>
      <c r="J48" s="10"/>
      <c r="K48" s="10"/>
      <c r="L48" s="9"/>
      <c r="M48" s="1"/>
    </row>
    <row r="49" spans="2:13" ht="26.25" x14ac:dyDescent="0.35">
      <c r="B49" s="5"/>
      <c r="C49" s="6"/>
      <c r="D49" s="2"/>
      <c r="E49" s="2"/>
      <c r="F49" s="2"/>
      <c r="G49" s="2"/>
      <c r="H49" s="2"/>
      <c r="I49" s="14"/>
      <c r="J49" s="10"/>
      <c r="K49" s="10"/>
      <c r="L49" s="9"/>
      <c r="M49" s="1"/>
    </row>
    <row r="50" spans="2:13" ht="26.25" x14ac:dyDescent="0.35">
      <c r="B50" s="5"/>
      <c r="C50" s="6"/>
      <c r="D50" s="2"/>
      <c r="E50" s="2"/>
      <c r="F50" s="2"/>
      <c r="G50" s="2"/>
      <c r="H50" s="2"/>
      <c r="I50" s="14"/>
      <c r="J50" s="10"/>
      <c r="K50" s="10"/>
      <c r="L50" s="9"/>
      <c r="M50" s="1"/>
    </row>
    <row r="51" spans="2:13" ht="26.25" x14ac:dyDescent="0.35">
      <c r="B51" s="5"/>
      <c r="C51" s="6"/>
      <c r="D51" s="2"/>
      <c r="E51" s="2"/>
      <c r="F51" s="2"/>
      <c r="G51" s="2"/>
      <c r="H51" s="2"/>
      <c r="I51" s="14"/>
      <c r="J51" s="10"/>
      <c r="K51" s="10"/>
      <c r="L51" s="9"/>
      <c r="M51" s="1"/>
    </row>
    <row r="52" spans="2:13" ht="26.25" x14ac:dyDescent="0.35">
      <c r="B52" s="5"/>
      <c r="C52" s="6"/>
      <c r="D52" s="2"/>
      <c r="E52" s="2"/>
      <c r="F52" s="2"/>
      <c r="G52" s="2"/>
      <c r="H52" s="2"/>
      <c r="I52" s="14"/>
      <c r="J52" s="10"/>
      <c r="K52" s="10"/>
      <c r="L52" s="9"/>
      <c r="M52" s="1"/>
    </row>
    <row r="53" spans="2:13" ht="26.25" x14ac:dyDescent="0.35">
      <c r="B53" s="5"/>
      <c r="C53" s="6"/>
      <c r="D53" s="2"/>
      <c r="E53" s="2"/>
      <c r="F53" s="2"/>
      <c r="G53" s="2"/>
      <c r="H53" s="2"/>
      <c r="I53" s="14"/>
      <c r="J53" s="10"/>
      <c r="K53" s="10"/>
      <c r="L53" s="9"/>
      <c r="M53" s="1"/>
    </row>
    <row r="54" spans="2:13" ht="26.25" x14ac:dyDescent="0.35">
      <c r="B54" s="5"/>
      <c r="C54" s="6"/>
      <c r="D54" s="2"/>
      <c r="E54" s="2"/>
      <c r="F54" s="2"/>
      <c r="G54" s="2"/>
      <c r="H54" s="2"/>
      <c r="I54" s="14"/>
      <c r="J54" s="10"/>
      <c r="K54" s="10"/>
      <c r="L54" s="9"/>
      <c r="M54" s="1"/>
    </row>
    <row r="55" spans="2:13" ht="26.25" x14ac:dyDescent="0.35">
      <c r="B55" s="5"/>
      <c r="C55" s="6"/>
      <c r="D55" s="2"/>
      <c r="E55" s="2"/>
      <c r="F55" s="2"/>
      <c r="G55" s="2"/>
      <c r="H55" s="2"/>
      <c r="I55" s="14"/>
      <c r="J55" s="10"/>
      <c r="K55" s="10"/>
      <c r="L55" s="9"/>
      <c r="M55" s="1"/>
    </row>
    <row r="56" spans="2:13" ht="26.25" x14ac:dyDescent="0.35">
      <c r="B56" s="5"/>
      <c r="C56" s="6"/>
      <c r="D56" s="2"/>
      <c r="E56" s="2"/>
      <c r="F56" s="2"/>
      <c r="G56" s="2"/>
      <c r="H56" s="2"/>
      <c r="I56" s="14"/>
      <c r="J56" s="10"/>
      <c r="K56" s="10"/>
      <c r="L56" s="9"/>
      <c r="M56" s="1"/>
    </row>
    <row r="57" spans="2:13" ht="26.25" x14ac:dyDescent="0.35">
      <c r="B57" s="5"/>
      <c r="C57" s="6"/>
      <c r="D57" s="2"/>
      <c r="E57" s="2"/>
      <c r="F57" s="2"/>
      <c r="G57" s="2"/>
      <c r="H57" s="2"/>
      <c r="I57" s="14"/>
      <c r="J57" s="10"/>
      <c r="K57" s="10"/>
      <c r="L57" s="9"/>
      <c r="M57" s="1"/>
    </row>
    <row r="58" spans="2:13" ht="26.25" x14ac:dyDescent="0.35">
      <c r="B58" s="5"/>
      <c r="C58" s="6"/>
      <c r="D58" s="2"/>
      <c r="E58" s="2"/>
      <c r="F58" s="2"/>
      <c r="G58" s="2"/>
      <c r="H58" s="2"/>
      <c r="I58" s="14"/>
      <c r="J58" s="10"/>
      <c r="K58" s="10"/>
      <c r="L58" s="9"/>
      <c r="M58" s="1"/>
    </row>
    <row r="59" spans="2:13" ht="26.25" x14ac:dyDescent="0.35">
      <c r="B59" s="5"/>
      <c r="C59" s="6"/>
      <c r="D59" s="2"/>
      <c r="E59" s="2"/>
      <c r="F59" s="2"/>
      <c r="G59" s="2"/>
      <c r="H59" s="2"/>
      <c r="I59" s="14"/>
      <c r="J59" s="10"/>
      <c r="K59" s="10"/>
      <c r="L59" s="9"/>
      <c r="M59" s="1"/>
    </row>
    <row r="60" spans="2:13" ht="26.25" x14ac:dyDescent="0.35">
      <c r="B60" s="5"/>
      <c r="C60" s="6"/>
      <c r="D60" s="2"/>
      <c r="E60" s="2"/>
      <c r="F60" s="2"/>
      <c r="G60" s="2"/>
      <c r="H60" s="2"/>
      <c r="I60" s="14"/>
      <c r="J60" s="10"/>
      <c r="K60" s="10"/>
      <c r="L60" s="9"/>
      <c r="M60" s="1"/>
    </row>
    <row r="61" spans="2:13" ht="26.25" x14ac:dyDescent="0.35">
      <c r="B61" s="5"/>
      <c r="C61" s="6"/>
      <c r="D61" s="2"/>
      <c r="E61" s="2"/>
      <c r="F61" s="2"/>
      <c r="G61" s="2"/>
      <c r="H61" s="2"/>
      <c r="I61" s="14"/>
      <c r="J61" s="10"/>
      <c r="K61" s="10"/>
      <c r="L61" s="9"/>
      <c r="M61" s="1"/>
    </row>
  </sheetData>
  <pageMargins left="0.7" right="0.7" top="0.75" bottom="0.75" header="0.3" footer="0.3"/>
  <pageSetup paperSize="9" orientation="portrait" r:id="rId1"/>
  <headerFooter>
    <oddFooter>&amp;C&amp;1#&amp;"Calibri"&amp;10&amp;K000000Company General Use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049F6-4324-4846-8250-D3CE5EF3F005}">
  <dimension ref="A1:BU53"/>
  <sheetViews>
    <sheetView topLeftCell="A32" workbookViewId="0">
      <selection activeCell="B47" sqref="B47:I47"/>
    </sheetView>
  </sheetViews>
  <sheetFormatPr defaultRowHeight="15" x14ac:dyDescent="0.25"/>
  <cols>
    <col min="2" max="2" width="73.140625" customWidth="1"/>
    <col min="3" max="3" width="16" hidden="1" customWidth="1"/>
    <col min="5" max="5" width="11" bestFit="1" customWidth="1"/>
    <col min="6" max="6" width="12.140625" customWidth="1"/>
    <col min="10" max="10" width="4.7109375" customWidth="1"/>
    <col min="11" max="28" width="2.7109375" bestFit="1" customWidth="1"/>
    <col min="29" max="31" width="1.85546875" bestFit="1" customWidth="1"/>
    <col min="32" max="32" width="2.42578125" bestFit="1" customWidth="1"/>
    <col min="33" max="33" width="1.85546875" bestFit="1" customWidth="1"/>
    <col min="34" max="34" width="2.5703125" bestFit="1" customWidth="1"/>
    <col min="35" max="37" width="1.85546875" bestFit="1" customWidth="1"/>
    <col min="38" max="59" width="2.7109375" bestFit="1" customWidth="1"/>
    <col min="60" max="60" width="2.42578125" bestFit="1" customWidth="1"/>
    <col min="61" max="61" width="1.85546875" bestFit="1" customWidth="1"/>
    <col min="62" max="62" width="2.5703125" bestFit="1" customWidth="1"/>
    <col min="63" max="66" width="1.85546875" bestFit="1" customWidth="1"/>
    <col min="67" max="67" width="2.42578125" bestFit="1" customWidth="1"/>
    <col min="68" max="68" width="1.85546875" bestFit="1" customWidth="1"/>
    <col min="69" max="69" width="2.5703125" bestFit="1" customWidth="1"/>
    <col min="70" max="73" width="1.85546875" bestFit="1" customWidth="1"/>
  </cols>
  <sheetData>
    <row r="1" spans="1:73" ht="30" customHeight="1" x14ac:dyDescent="0.25">
      <c r="A1" s="174" t="s">
        <v>360</v>
      </c>
      <c r="B1" s="175"/>
      <c r="C1" s="175"/>
      <c r="D1" s="175"/>
      <c r="E1" s="175"/>
      <c r="F1" s="175"/>
      <c r="I1" s="176"/>
      <c r="K1" s="232" t="s">
        <v>356</v>
      </c>
      <c r="L1" s="232"/>
      <c r="M1" s="232"/>
      <c r="N1" s="232"/>
      <c r="O1" s="232"/>
      <c r="P1" s="232"/>
      <c r="Q1" s="232"/>
      <c r="R1" s="232"/>
      <c r="S1" s="232"/>
      <c r="T1" s="232"/>
      <c r="U1" s="232"/>
      <c r="V1" s="232"/>
      <c r="W1" s="232"/>
      <c r="X1" s="232"/>
      <c r="Y1" s="232"/>
      <c r="Z1" s="232"/>
      <c r="AA1" s="232"/>
      <c r="AB1" s="232"/>
      <c r="AC1" s="232"/>
      <c r="AD1" s="232"/>
      <c r="AE1" s="232"/>
    </row>
    <row r="2" spans="1:73" ht="18" customHeight="1" x14ac:dyDescent="0.25">
      <c r="A2" s="177"/>
      <c r="B2" s="178"/>
      <c r="C2" s="178"/>
      <c r="D2" s="179"/>
      <c r="E2" s="180"/>
      <c r="F2" s="180"/>
      <c r="H2" s="181"/>
    </row>
    <row r="3" spans="1:73" x14ac:dyDescent="0.25">
      <c r="A3" s="177"/>
      <c r="B3" s="169"/>
      <c r="H3" s="181"/>
      <c r="K3" s="182"/>
      <c r="L3" s="182"/>
      <c r="M3" s="182"/>
      <c r="N3" s="182"/>
      <c r="O3" s="182"/>
      <c r="P3" s="182"/>
      <c r="Q3" s="182"/>
      <c r="R3" s="182"/>
      <c r="S3" s="182"/>
      <c r="T3" s="182"/>
      <c r="U3" s="182"/>
      <c r="V3" s="182"/>
      <c r="W3" s="182"/>
      <c r="X3" s="182"/>
      <c r="Y3" s="182"/>
      <c r="Z3" s="182"/>
      <c r="AA3" s="182"/>
    </row>
    <row r="4" spans="1:73" ht="17.25" customHeight="1" x14ac:dyDescent="0.25">
      <c r="A4" s="166"/>
      <c r="B4" s="167" t="s">
        <v>361</v>
      </c>
      <c r="C4" s="234">
        <v>45231</v>
      </c>
      <c r="D4" s="234"/>
      <c r="E4" s="234"/>
      <c r="F4" s="166"/>
      <c r="G4" s="167" t="s">
        <v>354</v>
      </c>
      <c r="H4" s="168">
        <v>54</v>
      </c>
      <c r="I4" s="169"/>
      <c r="J4" s="170"/>
      <c r="K4" s="226" t="str">
        <f>"Week "&amp;(K6-($C$4-WEEKDAY($C$4,1)+2))/7+1</f>
        <v>Week 54</v>
      </c>
      <c r="L4" s="227"/>
      <c r="M4" s="227"/>
      <c r="N4" s="227"/>
      <c r="O4" s="227"/>
      <c r="P4" s="227"/>
      <c r="Q4" s="228"/>
      <c r="R4" s="226" t="str">
        <f>"Week "&amp;(R6-($C$4-WEEKDAY($C$4,1)+2))/7+1</f>
        <v>Week 55</v>
      </c>
      <c r="S4" s="227"/>
      <c r="T4" s="227"/>
      <c r="U4" s="227"/>
      <c r="V4" s="227"/>
      <c r="W4" s="227"/>
      <c r="X4" s="228"/>
      <c r="Y4" s="226" t="str">
        <f>"Week "&amp;(Y6-($C$4-WEEKDAY($C$4,1)+2))/7+1</f>
        <v>Week 56</v>
      </c>
      <c r="Z4" s="227"/>
      <c r="AA4" s="227"/>
      <c r="AB4" s="227"/>
      <c r="AC4" s="227"/>
      <c r="AD4" s="227"/>
      <c r="AE4" s="228"/>
      <c r="AF4" s="226" t="str">
        <f>"Week "&amp;(AF6-($C$4-WEEKDAY($C$4,1)+2))/7+1</f>
        <v>Week 57</v>
      </c>
      <c r="AG4" s="227"/>
      <c r="AH4" s="227"/>
      <c r="AI4" s="227"/>
      <c r="AJ4" s="227"/>
      <c r="AK4" s="227"/>
      <c r="AL4" s="228"/>
      <c r="AM4" s="226" t="str">
        <f>"Week "&amp;(AM6-($C$4-WEEKDAY($C$4,1)+2))/7+1</f>
        <v>Week 58</v>
      </c>
      <c r="AN4" s="227"/>
      <c r="AO4" s="227"/>
      <c r="AP4" s="227"/>
      <c r="AQ4" s="227"/>
      <c r="AR4" s="227"/>
      <c r="AS4" s="228"/>
      <c r="AT4" s="226" t="str">
        <f>"Week "&amp;(AT6-($C$4-WEEKDAY($C$4,1)+2))/7+1</f>
        <v>Week 59</v>
      </c>
      <c r="AU4" s="227"/>
      <c r="AV4" s="227"/>
      <c r="AW4" s="227"/>
      <c r="AX4" s="227"/>
      <c r="AY4" s="227"/>
      <c r="AZ4" s="228"/>
      <c r="BA4" s="226" t="str">
        <f>"Week "&amp;(BA6-($C$4-WEEKDAY($C$4,1)+2))/7+1</f>
        <v>Week 60</v>
      </c>
      <c r="BB4" s="227"/>
      <c r="BC4" s="227"/>
      <c r="BD4" s="227"/>
      <c r="BE4" s="227"/>
      <c r="BF4" s="227"/>
      <c r="BG4" s="228"/>
      <c r="BH4" s="226" t="str">
        <f>"Week "&amp;(BH6-($C$4-WEEKDAY($C$4,1)+2))/7+1</f>
        <v>Week 61</v>
      </c>
      <c r="BI4" s="227"/>
      <c r="BJ4" s="227"/>
      <c r="BK4" s="227"/>
      <c r="BL4" s="227"/>
      <c r="BM4" s="227"/>
      <c r="BN4" s="228"/>
      <c r="BO4" s="226" t="str">
        <f>"Week "&amp;(BO6-($C$4-WEEKDAY($C$4,1)+2))/7+1</f>
        <v>Week 62</v>
      </c>
      <c r="BP4" s="227"/>
      <c r="BQ4" s="227"/>
      <c r="BR4" s="227"/>
      <c r="BS4" s="227"/>
      <c r="BT4" s="227"/>
      <c r="BU4" s="228"/>
    </row>
    <row r="5" spans="1:73" ht="17.25" customHeight="1" x14ac:dyDescent="0.25">
      <c r="A5" s="166"/>
      <c r="B5" s="167" t="s">
        <v>355</v>
      </c>
      <c r="C5" s="233"/>
      <c r="D5" s="233"/>
      <c r="E5" s="233"/>
      <c r="F5" s="166"/>
      <c r="G5" s="166"/>
      <c r="H5" s="166"/>
      <c r="I5" s="166"/>
      <c r="J5" s="170"/>
      <c r="K5" s="229">
        <f>K6</f>
        <v>45600</v>
      </c>
      <c r="L5" s="230"/>
      <c r="M5" s="230"/>
      <c r="N5" s="230"/>
      <c r="O5" s="230"/>
      <c r="P5" s="230"/>
      <c r="Q5" s="231"/>
      <c r="R5" s="229">
        <f>R6</f>
        <v>45607</v>
      </c>
      <c r="S5" s="230"/>
      <c r="T5" s="230"/>
      <c r="U5" s="230"/>
      <c r="V5" s="230"/>
      <c r="W5" s="230"/>
      <c r="X5" s="231"/>
      <c r="Y5" s="229">
        <f>Y6</f>
        <v>45614</v>
      </c>
      <c r="Z5" s="230"/>
      <c r="AA5" s="230"/>
      <c r="AB5" s="230"/>
      <c r="AC5" s="230"/>
      <c r="AD5" s="230"/>
      <c r="AE5" s="231"/>
      <c r="AF5" s="229">
        <f>AF6</f>
        <v>45621</v>
      </c>
      <c r="AG5" s="230"/>
      <c r="AH5" s="230"/>
      <c r="AI5" s="230"/>
      <c r="AJ5" s="230"/>
      <c r="AK5" s="230"/>
      <c r="AL5" s="231"/>
      <c r="AM5" s="229">
        <f>AM6</f>
        <v>45628</v>
      </c>
      <c r="AN5" s="230"/>
      <c r="AO5" s="230"/>
      <c r="AP5" s="230"/>
      <c r="AQ5" s="230"/>
      <c r="AR5" s="230"/>
      <c r="AS5" s="231"/>
      <c r="AT5" s="229">
        <f>AT6</f>
        <v>45635</v>
      </c>
      <c r="AU5" s="230"/>
      <c r="AV5" s="230"/>
      <c r="AW5" s="230"/>
      <c r="AX5" s="230"/>
      <c r="AY5" s="230"/>
      <c r="AZ5" s="231"/>
      <c r="BA5" s="229">
        <f>BA6</f>
        <v>45642</v>
      </c>
      <c r="BB5" s="230"/>
      <c r="BC5" s="230"/>
      <c r="BD5" s="230"/>
      <c r="BE5" s="230"/>
      <c r="BF5" s="230"/>
      <c r="BG5" s="231"/>
      <c r="BH5" s="229">
        <f>BH6</f>
        <v>45649</v>
      </c>
      <c r="BI5" s="230"/>
      <c r="BJ5" s="230"/>
      <c r="BK5" s="230"/>
      <c r="BL5" s="230"/>
      <c r="BM5" s="230"/>
      <c r="BN5" s="231"/>
      <c r="BO5" s="229">
        <f>BO6</f>
        <v>45656</v>
      </c>
      <c r="BP5" s="230"/>
      <c r="BQ5" s="230"/>
      <c r="BR5" s="230"/>
      <c r="BS5" s="230"/>
      <c r="BT5" s="230"/>
      <c r="BU5" s="231"/>
    </row>
    <row r="6" spans="1:73" x14ac:dyDescent="0.25">
      <c r="A6" s="170"/>
      <c r="B6" s="170"/>
      <c r="C6" s="170"/>
      <c r="D6" s="170"/>
      <c r="E6" s="170"/>
      <c r="F6" s="170"/>
      <c r="G6" s="170"/>
      <c r="H6" s="170"/>
      <c r="I6" s="170"/>
      <c r="J6" s="170"/>
      <c r="K6" s="171">
        <f>C4-WEEKDAY(C4,1)+2+7*(H4-1)</f>
        <v>45600</v>
      </c>
      <c r="L6" s="172">
        <f t="shared" ref="L6:BN6" si="0">K6+1</f>
        <v>45601</v>
      </c>
      <c r="M6" s="172">
        <f t="shared" si="0"/>
        <v>45602</v>
      </c>
      <c r="N6" s="172">
        <f t="shared" si="0"/>
        <v>45603</v>
      </c>
      <c r="O6" s="172">
        <f t="shared" si="0"/>
        <v>45604</v>
      </c>
      <c r="P6" s="172">
        <f t="shared" si="0"/>
        <v>45605</v>
      </c>
      <c r="Q6" s="173">
        <f t="shared" si="0"/>
        <v>45606</v>
      </c>
      <c r="R6" s="171">
        <f t="shared" si="0"/>
        <v>45607</v>
      </c>
      <c r="S6" s="172">
        <f t="shared" si="0"/>
        <v>45608</v>
      </c>
      <c r="T6" s="172">
        <f t="shared" si="0"/>
        <v>45609</v>
      </c>
      <c r="U6" s="172">
        <f t="shared" si="0"/>
        <v>45610</v>
      </c>
      <c r="V6" s="172">
        <f t="shared" si="0"/>
        <v>45611</v>
      </c>
      <c r="W6" s="172">
        <f t="shared" si="0"/>
        <v>45612</v>
      </c>
      <c r="X6" s="173">
        <f t="shared" si="0"/>
        <v>45613</v>
      </c>
      <c r="Y6" s="171">
        <f t="shared" si="0"/>
        <v>45614</v>
      </c>
      <c r="Z6" s="172">
        <f t="shared" si="0"/>
        <v>45615</v>
      </c>
      <c r="AA6" s="172">
        <f t="shared" si="0"/>
        <v>45616</v>
      </c>
      <c r="AB6" s="172">
        <f t="shared" si="0"/>
        <v>45617</v>
      </c>
      <c r="AC6" s="172">
        <f t="shared" si="0"/>
        <v>45618</v>
      </c>
      <c r="AD6" s="172">
        <f t="shared" si="0"/>
        <v>45619</v>
      </c>
      <c r="AE6" s="173">
        <f t="shared" si="0"/>
        <v>45620</v>
      </c>
      <c r="AF6" s="171">
        <f t="shared" si="0"/>
        <v>45621</v>
      </c>
      <c r="AG6" s="172">
        <f t="shared" si="0"/>
        <v>45622</v>
      </c>
      <c r="AH6" s="172">
        <f t="shared" si="0"/>
        <v>45623</v>
      </c>
      <c r="AI6" s="172">
        <f t="shared" si="0"/>
        <v>45624</v>
      </c>
      <c r="AJ6" s="172">
        <f t="shared" si="0"/>
        <v>45625</v>
      </c>
      <c r="AK6" s="172">
        <f t="shared" si="0"/>
        <v>45626</v>
      </c>
      <c r="AL6" s="173">
        <f t="shared" si="0"/>
        <v>45627</v>
      </c>
      <c r="AM6" s="171">
        <f t="shared" si="0"/>
        <v>45628</v>
      </c>
      <c r="AN6" s="172">
        <f t="shared" si="0"/>
        <v>45629</v>
      </c>
      <c r="AO6" s="172">
        <f t="shared" si="0"/>
        <v>45630</v>
      </c>
      <c r="AP6" s="172">
        <f t="shared" si="0"/>
        <v>45631</v>
      </c>
      <c r="AQ6" s="172">
        <f t="shared" si="0"/>
        <v>45632</v>
      </c>
      <c r="AR6" s="172">
        <f t="shared" si="0"/>
        <v>45633</v>
      </c>
      <c r="AS6" s="173">
        <f t="shared" si="0"/>
        <v>45634</v>
      </c>
      <c r="AT6" s="171">
        <f t="shared" si="0"/>
        <v>45635</v>
      </c>
      <c r="AU6" s="172">
        <f t="shared" si="0"/>
        <v>45636</v>
      </c>
      <c r="AV6" s="172">
        <f t="shared" si="0"/>
        <v>45637</v>
      </c>
      <c r="AW6" s="172">
        <f t="shared" si="0"/>
        <v>45638</v>
      </c>
      <c r="AX6" s="172">
        <f t="shared" si="0"/>
        <v>45639</v>
      </c>
      <c r="AY6" s="172">
        <f t="shared" si="0"/>
        <v>45640</v>
      </c>
      <c r="AZ6" s="173">
        <f t="shared" si="0"/>
        <v>45641</v>
      </c>
      <c r="BA6" s="171">
        <f t="shared" si="0"/>
        <v>45642</v>
      </c>
      <c r="BB6" s="172">
        <f t="shared" si="0"/>
        <v>45643</v>
      </c>
      <c r="BC6" s="172">
        <f t="shared" si="0"/>
        <v>45644</v>
      </c>
      <c r="BD6" s="172">
        <f t="shared" si="0"/>
        <v>45645</v>
      </c>
      <c r="BE6" s="172">
        <f t="shared" si="0"/>
        <v>45646</v>
      </c>
      <c r="BF6" s="172">
        <f t="shared" si="0"/>
        <v>45647</v>
      </c>
      <c r="BG6" s="173">
        <f t="shared" si="0"/>
        <v>45648</v>
      </c>
      <c r="BH6" s="171">
        <f t="shared" si="0"/>
        <v>45649</v>
      </c>
      <c r="BI6" s="172">
        <f t="shared" si="0"/>
        <v>45650</v>
      </c>
      <c r="BJ6" s="172">
        <f t="shared" si="0"/>
        <v>45651</v>
      </c>
      <c r="BK6" s="172">
        <f t="shared" si="0"/>
        <v>45652</v>
      </c>
      <c r="BL6" s="172">
        <f t="shared" si="0"/>
        <v>45653</v>
      </c>
      <c r="BM6" s="172">
        <f t="shared" si="0"/>
        <v>45654</v>
      </c>
      <c r="BN6" s="173">
        <f t="shared" si="0"/>
        <v>45655</v>
      </c>
      <c r="BO6" s="171">
        <f t="shared" ref="BO6" si="1">BN6+1</f>
        <v>45656</v>
      </c>
      <c r="BP6" s="172">
        <f t="shared" ref="BP6" si="2">BO6+1</f>
        <v>45657</v>
      </c>
      <c r="BQ6" s="172">
        <f t="shared" ref="BQ6" si="3">BP6+1</f>
        <v>45658</v>
      </c>
      <c r="BR6" s="172">
        <f t="shared" ref="BR6" si="4">BQ6+1</f>
        <v>45659</v>
      </c>
      <c r="BS6" s="172">
        <f t="shared" ref="BS6" si="5">BR6+1</f>
        <v>45660</v>
      </c>
      <c r="BT6" s="172">
        <f t="shared" ref="BT6" si="6">BS6+1</f>
        <v>45661</v>
      </c>
      <c r="BU6" s="173">
        <f t="shared" ref="BU6" si="7">BT6+1</f>
        <v>45662</v>
      </c>
    </row>
    <row r="7" spans="1:73" s="169" customFormat="1" ht="36.75" thickBot="1" x14ac:dyDescent="0.25">
      <c r="A7" s="183" t="s">
        <v>357</v>
      </c>
      <c r="B7" s="183" t="s">
        <v>358</v>
      </c>
      <c r="C7" s="184" t="s">
        <v>359</v>
      </c>
      <c r="D7" s="185" t="s">
        <v>362</v>
      </c>
      <c r="E7" s="186" t="s">
        <v>363</v>
      </c>
      <c r="F7" s="186" t="s">
        <v>364</v>
      </c>
      <c r="G7" s="184" t="s">
        <v>365</v>
      </c>
      <c r="H7" s="184" t="s">
        <v>366</v>
      </c>
      <c r="I7" s="184" t="s">
        <v>367</v>
      </c>
      <c r="J7" s="184"/>
      <c r="K7" s="187" t="str">
        <f t="shared" ref="K7:BN7" si="8">CHOOSE(WEEKDAY(K6,1),"S","M","T","W","T","F","S")</f>
        <v>M</v>
      </c>
      <c r="L7" s="188" t="str">
        <f t="shared" si="8"/>
        <v>T</v>
      </c>
      <c r="M7" s="188" t="str">
        <f t="shared" si="8"/>
        <v>W</v>
      </c>
      <c r="N7" s="188" t="str">
        <f t="shared" si="8"/>
        <v>T</v>
      </c>
      <c r="O7" s="188" t="str">
        <f t="shared" si="8"/>
        <v>F</v>
      </c>
      <c r="P7" s="188" t="str">
        <f t="shared" si="8"/>
        <v>S</v>
      </c>
      <c r="Q7" s="189" t="str">
        <f t="shared" si="8"/>
        <v>S</v>
      </c>
      <c r="R7" s="187" t="str">
        <f t="shared" si="8"/>
        <v>M</v>
      </c>
      <c r="S7" s="188" t="str">
        <f t="shared" si="8"/>
        <v>T</v>
      </c>
      <c r="T7" s="188" t="str">
        <f t="shared" si="8"/>
        <v>W</v>
      </c>
      <c r="U7" s="188" t="str">
        <f t="shared" si="8"/>
        <v>T</v>
      </c>
      <c r="V7" s="188" t="str">
        <f t="shared" si="8"/>
        <v>F</v>
      </c>
      <c r="W7" s="188" t="str">
        <f t="shared" si="8"/>
        <v>S</v>
      </c>
      <c r="X7" s="189" t="str">
        <f t="shared" si="8"/>
        <v>S</v>
      </c>
      <c r="Y7" s="187" t="str">
        <f t="shared" si="8"/>
        <v>M</v>
      </c>
      <c r="Z7" s="188" t="str">
        <f t="shared" si="8"/>
        <v>T</v>
      </c>
      <c r="AA7" s="188" t="str">
        <f t="shared" si="8"/>
        <v>W</v>
      </c>
      <c r="AB7" s="188" t="str">
        <f t="shared" si="8"/>
        <v>T</v>
      </c>
      <c r="AC7" s="188" t="str">
        <f t="shared" si="8"/>
        <v>F</v>
      </c>
      <c r="AD7" s="188" t="str">
        <f t="shared" si="8"/>
        <v>S</v>
      </c>
      <c r="AE7" s="189" t="str">
        <f t="shared" si="8"/>
        <v>S</v>
      </c>
      <c r="AF7" s="187" t="str">
        <f t="shared" si="8"/>
        <v>M</v>
      </c>
      <c r="AG7" s="188" t="str">
        <f t="shared" si="8"/>
        <v>T</v>
      </c>
      <c r="AH7" s="188" t="str">
        <f t="shared" si="8"/>
        <v>W</v>
      </c>
      <c r="AI7" s="188" t="str">
        <f t="shared" si="8"/>
        <v>T</v>
      </c>
      <c r="AJ7" s="188" t="str">
        <f t="shared" si="8"/>
        <v>F</v>
      </c>
      <c r="AK7" s="188" t="str">
        <f t="shared" si="8"/>
        <v>S</v>
      </c>
      <c r="AL7" s="189" t="str">
        <f t="shared" si="8"/>
        <v>S</v>
      </c>
      <c r="AM7" s="187" t="str">
        <f t="shared" si="8"/>
        <v>M</v>
      </c>
      <c r="AN7" s="188" t="str">
        <f t="shared" si="8"/>
        <v>T</v>
      </c>
      <c r="AO7" s="188" t="str">
        <f t="shared" si="8"/>
        <v>W</v>
      </c>
      <c r="AP7" s="188" t="str">
        <f t="shared" si="8"/>
        <v>T</v>
      </c>
      <c r="AQ7" s="188" t="str">
        <f t="shared" si="8"/>
        <v>F</v>
      </c>
      <c r="AR7" s="188" t="str">
        <f t="shared" si="8"/>
        <v>S</v>
      </c>
      <c r="AS7" s="189" t="str">
        <f t="shared" si="8"/>
        <v>S</v>
      </c>
      <c r="AT7" s="187" t="str">
        <f t="shared" si="8"/>
        <v>M</v>
      </c>
      <c r="AU7" s="188" t="str">
        <f t="shared" si="8"/>
        <v>T</v>
      </c>
      <c r="AV7" s="188" t="str">
        <f t="shared" si="8"/>
        <v>W</v>
      </c>
      <c r="AW7" s="188" t="str">
        <f t="shared" si="8"/>
        <v>T</v>
      </c>
      <c r="AX7" s="188" t="str">
        <f t="shared" si="8"/>
        <v>F</v>
      </c>
      <c r="AY7" s="188" t="str">
        <f t="shared" si="8"/>
        <v>S</v>
      </c>
      <c r="AZ7" s="189" t="str">
        <f t="shared" si="8"/>
        <v>S</v>
      </c>
      <c r="BA7" s="187" t="str">
        <f t="shared" si="8"/>
        <v>M</v>
      </c>
      <c r="BB7" s="188" t="str">
        <f t="shared" si="8"/>
        <v>T</v>
      </c>
      <c r="BC7" s="188" t="str">
        <f t="shared" si="8"/>
        <v>W</v>
      </c>
      <c r="BD7" s="188" t="str">
        <f t="shared" si="8"/>
        <v>T</v>
      </c>
      <c r="BE7" s="188" t="str">
        <f t="shared" si="8"/>
        <v>F</v>
      </c>
      <c r="BF7" s="188" t="str">
        <f t="shared" si="8"/>
        <v>S</v>
      </c>
      <c r="BG7" s="189" t="str">
        <f t="shared" si="8"/>
        <v>S</v>
      </c>
      <c r="BH7" s="187" t="str">
        <f t="shared" si="8"/>
        <v>M</v>
      </c>
      <c r="BI7" s="188" t="str">
        <f t="shared" si="8"/>
        <v>T</v>
      </c>
      <c r="BJ7" s="188" t="str">
        <f t="shared" si="8"/>
        <v>W</v>
      </c>
      <c r="BK7" s="188" t="str">
        <f t="shared" si="8"/>
        <v>T</v>
      </c>
      <c r="BL7" s="188" t="str">
        <f t="shared" si="8"/>
        <v>F</v>
      </c>
      <c r="BM7" s="188" t="str">
        <f t="shared" si="8"/>
        <v>S</v>
      </c>
      <c r="BN7" s="189" t="str">
        <f t="shared" si="8"/>
        <v>S</v>
      </c>
      <c r="BO7" s="187" t="str">
        <f t="shared" ref="BO7:BU7" si="9">CHOOSE(WEEKDAY(BO6,1),"S","M","T","W","T","F","S")</f>
        <v>M</v>
      </c>
      <c r="BP7" s="188" t="str">
        <f t="shared" si="9"/>
        <v>T</v>
      </c>
      <c r="BQ7" s="188" t="str">
        <f t="shared" si="9"/>
        <v>W</v>
      </c>
      <c r="BR7" s="188" t="str">
        <f t="shared" si="9"/>
        <v>T</v>
      </c>
      <c r="BS7" s="188" t="str">
        <f t="shared" si="9"/>
        <v>F</v>
      </c>
      <c r="BT7" s="188" t="str">
        <f t="shared" si="9"/>
        <v>S</v>
      </c>
      <c r="BU7" s="189" t="str">
        <f t="shared" si="9"/>
        <v>S</v>
      </c>
    </row>
    <row r="8" spans="1:73" s="201" customFormat="1" ht="18.75" x14ac:dyDescent="0.25">
      <c r="A8" s="190" t="str">
        <f>IF(ISERROR(VALUE(SUBSTITUTE(prevWBS,".",""))),"1",IF(ISERROR(FIND("`",SUBSTITUTE(prevWBS,".","`",1))),TEXT(VALUE(prevWBS)+1,"#"),TEXT(VALUE(LEFT(prevWBS,FIND("`",SUBSTITUTE(prevWBS,".","`",1))-1))+1,"#")))</f>
        <v>1</v>
      </c>
      <c r="B8" s="191" t="str">
        <f>Gantt!C9</f>
        <v>SERVIZI APPLICATIVI - ATTIVITA' DI CARATTERE PROGETTUALE
(Sviluppo SW + MEV+Supporto Specialistico Operativo)</v>
      </c>
      <c r="C8" s="192"/>
      <c r="D8" s="193"/>
      <c r="E8" s="194"/>
      <c r="F8" s="195" t="str">
        <f>IF(ISBLANK(E8)," - ",IF(G8=0,E8,E8+G8-1))</f>
        <v xml:space="preserve"> - </v>
      </c>
      <c r="G8" s="196"/>
      <c r="H8" s="197"/>
      <c r="I8" s="198" t="str">
        <f t="shared" ref="I8:I17" si="10">IF(OR(F8=0,E8=0)," - ",NETWORKDAYS(E8,F8))</f>
        <v xml:space="preserve"> - </v>
      </c>
      <c r="J8" s="199"/>
      <c r="K8" s="200"/>
      <c r="L8" s="200"/>
      <c r="M8" s="200"/>
      <c r="N8" s="200"/>
      <c r="O8" s="200"/>
      <c r="P8" s="200"/>
      <c r="Q8" s="200"/>
      <c r="R8" s="200"/>
      <c r="S8" s="200"/>
      <c r="T8" s="200"/>
      <c r="U8" s="200"/>
      <c r="V8" s="200"/>
      <c r="W8" s="200"/>
      <c r="X8" s="200"/>
      <c r="Y8" s="200"/>
      <c r="Z8" s="200"/>
      <c r="AA8" s="200"/>
      <c r="AB8" s="200"/>
      <c r="AC8" s="200"/>
      <c r="AD8" s="200"/>
      <c r="AE8" s="200"/>
      <c r="AF8" s="200"/>
      <c r="AG8" s="200"/>
      <c r="AH8" s="200"/>
      <c r="AI8" s="200"/>
      <c r="AJ8" s="200"/>
      <c r="AK8" s="200"/>
      <c r="AL8" s="200"/>
      <c r="AM8" s="200"/>
      <c r="AN8" s="200"/>
      <c r="AO8" s="200"/>
      <c r="AP8" s="200"/>
      <c r="AQ8" s="200"/>
      <c r="AR8" s="200"/>
      <c r="AS8" s="200"/>
      <c r="AT8" s="200"/>
      <c r="AU8" s="200"/>
      <c r="AV8" s="200"/>
      <c r="AW8" s="200"/>
      <c r="AX8" s="200"/>
      <c r="AY8" s="200"/>
      <c r="AZ8" s="200"/>
      <c r="BA8" s="200"/>
      <c r="BB8" s="200"/>
      <c r="BC8" s="200"/>
      <c r="BD8" s="200"/>
      <c r="BE8" s="200"/>
      <c r="BF8" s="200"/>
      <c r="BG8" s="200"/>
      <c r="BH8" s="200"/>
      <c r="BI8" s="200"/>
      <c r="BJ8" s="200"/>
      <c r="BK8" s="200"/>
      <c r="BL8" s="200"/>
      <c r="BM8" s="200"/>
      <c r="BN8" s="200"/>
      <c r="BO8" s="200"/>
      <c r="BP8" s="200"/>
      <c r="BQ8" s="200"/>
      <c r="BR8" s="200"/>
      <c r="BS8" s="200"/>
      <c r="BT8" s="200"/>
      <c r="BU8" s="200"/>
    </row>
    <row r="9" spans="1:73" s="204" customFormat="1" ht="24" x14ac:dyDescent="0.25">
      <c r="A9" s="202">
        <f>Gantt!A10</f>
        <v>0</v>
      </c>
      <c r="B9" s="203" t="str">
        <f>Gantt!C10</f>
        <v>MEV GARI-PA per porting (IV TRIM 23) su nuovo ambiente di tutti i moduli (BASE, PUA, QDCA, UMA)</v>
      </c>
      <c r="D9" s="205"/>
      <c r="E9" s="211" t="e">
        <f>Gantt!#REF!</f>
        <v>#REF!</v>
      </c>
      <c r="F9" s="212" t="e">
        <f>Gantt!#REF!</f>
        <v>#REF!</v>
      </c>
      <c r="G9" s="206" t="e">
        <f>F9-E9</f>
        <v>#REF!</v>
      </c>
      <c r="H9" s="207" t="e">
        <f>Gantt!#REF!</f>
        <v>#REF!</v>
      </c>
      <c r="I9" s="208" t="e">
        <f t="shared" si="10"/>
        <v>#REF!</v>
      </c>
      <c r="J9" s="209"/>
      <c r="K9" s="202"/>
      <c r="L9" s="202"/>
      <c r="M9" s="202"/>
      <c r="N9" s="202"/>
      <c r="O9" s="202"/>
      <c r="P9" s="202"/>
      <c r="Q9" s="202"/>
      <c r="R9" s="202"/>
      <c r="S9" s="202"/>
      <c r="T9" s="202"/>
      <c r="U9" s="202"/>
      <c r="V9" s="202"/>
      <c r="W9" s="202"/>
      <c r="X9" s="202"/>
      <c r="Y9" s="202"/>
      <c r="Z9" s="202"/>
      <c r="AA9" s="202"/>
      <c r="AB9" s="202"/>
      <c r="AC9" s="202"/>
      <c r="AD9" s="202"/>
      <c r="AE9" s="202"/>
      <c r="AF9" s="202"/>
      <c r="AG9" s="202"/>
      <c r="AH9" s="202"/>
      <c r="AI9" s="202"/>
      <c r="AJ9" s="202"/>
      <c r="AK9" s="202"/>
      <c r="AL9" s="202"/>
      <c r="AM9" s="202"/>
      <c r="AN9" s="202"/>
      <c r="AO9" s="202"/>
      <c r="AP9" s="202"/>
      <c r="AQ9" s="202"/>
      <c r="AR9" s="202"/>
      <c r="AS9" s="202"/>
      <c r="AT9" s="202"/>
      <c r="AU9" s="202"/>
      <c r="AV9" s="202"/>
      <c r="AW9" s="202"/>
      <c r="AX9" s="202"/>
      <c r="AY9" s="202"/>
      <c r="AZ9" s="202"/>
      <c r="BA9" s="202"/>
      <c r="BB9" s="202"/>
      <c r="BC9" s="202"/>
      <c r="BD9" s="202"/>
      <c r="BE9" s="202"/>
      <c r="BF9" s="202"/>
      <c r="BG9" s="202"/>
      <c r="BH9" s="202"/>
      <c r="BI9" s="202"/>
      <c r="BJ9" s="202"/>
      <c r="BK9" s="202"/>
      <c r="BL9" s="202"/>
      <c r="BM9" s="202"/>
      <c r="BN9" s="202"/>
      <c r="BO9" s="202"/>
      <c r="BP9" s="202"/>
      <c r="BQ9" s="202"/>
      <c r="BR9" s="202"/>
      <c r="BS9" s="202"/>
      <c r="BT9" s="202"/>
      <c r="BU9" s="202"/>
    </row>
    <row r="10" spans="1:73" s="204" customFormat="1" ht="18.75" x14ac:dyDescent="0.25">
      <c r="A10" s="202">
        <f>Gantt!A11</f>
        <v>1</v>
      </c>
      <c r="B10" s="219" t="str">
        <f>Gantt!C11</f>
        <v>GARI BASE</v>
      </c>
      <c r="C10" s="220"/>
      <c r="D10" s="221"/>
      <c r="E10" s="222"/>
      <c r="F10" s="223"/>
      <c r="G10" s="224"/>
      <c r="H10" s="225"/>
      <c r="I10" s="224"/>
      <c r="J10" s="209"/>
      <c r="K10" s="202"/>
      <c r="L10" s="202"/>
      <c r="M10" s="202"/>
      <c r="N10" s="202"/>
      <c r="O10" s="202"/>
      <c r="P10" s="202"/>
      <c r="Q10" s="202"/>
      <c r="R10" s="202"/>
      <c r="S10" s="202"/>
      <c r="T10" s="202"/>
      <c r="U10" s="202"/>
      <c r="V10" s="202"/>
      <c r="W10" s="202"/>
      <c r="X10" s="202"/>
      <c r="Y10" s="202"/>
      <c r="Z10" s="202"/>
      <c r="AA10" s="202"/>
      <c r="AB10" s="202"/>
      <c r="AC10" s="202"/>
      <c r="AD10" s="202"/>
      <c r="AE10" s="202"/>
      <c r="AF10" s="202"/>
      <c r="AG10" s="202"/>
      <c r="AH10" s="202"/>
      <c r="AI10" s="202"/>
      <c r="AJ10" s="202"/>
      <c r="AK10" s="202"/>
      <c r="AL10" s="202"/>
      <c r="AM10" s="202"/>
      <c r="AN10" s="202"/>
      <c r="AO10" s="202"/>
      <c r="AP10" s="202"/>
      <c r="AQ10" s="202"/>
      <c r="AR10" s="202"/>
      <c r="AS10" s="202"/>
      <c r="AT10" s="202"/>
      <c r="AU10" s="202"/>
      <c r="AV10" s="202"/>
      <c r="AW10" s="202"/>
      <c r="AX10" s="202"/>
      <c r="AY10" s="202"/>
      <c r="AZ10" s="202"/>
      <c r="BA10" s="202"/>
      <c r="BB10" s="202"/>
      <c r="BC10" s="202"/>
      <c r="BD10" s="202"/>
      <c r="BE10" s="202"/>
      <c r="BF10" s="202"/>
      <c r="BG10" s="202"/>
      <c r="BH10" s="202"/>
      <c r="BI10" s="202"/>
      <c r="BJ10" s="202"/>
      <c r="BK10" s="202"/>
      <c r="BL10" s="202"/>
      <c r="BM10" s="202"/>
      <c r="BN10" s="202"/>
      <c r="BO10" s="202"/>
      <c r="BP10" s="202"/>
      <c r="BQ10" s="202"/>
      <c r="BR10" s="202"/>
      <c r="BS10" s="202"/>
      <c r="BT10" s="202"/>
      <c r="BU10" s="202"/>
    </row>
    <row r="11" spans="1:73" s="204" customFormat="1" ht="25.5" customHeight="1" x14ac:dyDescent="0.25">
      <c r="A11" s="202" t="str">
        <f>Gantt!A12</f>
        <v>1.1</v>
      </c>
      <c r="B11" s="203" t="str">
        <f>Gantt!C12</f>
        <v>GARI-BASE Re-ingegnerizzazione della piattaforma GIAS per implementare la nuova piattaforma GARI su nuove tecnologie ( i.e  tecnologia Angular)</v>
      </c>
      <c r="D11" s="205"/>
      <c r="E11" s="211" t="e">
        <f>Gantt!#REF!</f>
        <v>#REF!</v>
      </c>
      <c r="F11" s="212" t="e">
        <f>Gantt!#REF!</f>
        <v>#REF!</v>
      </c>
      <c r="G11" s="206" t="e">
        <f t="shared" ref="G11:G52" si="11">F11-E11</f>
        <v>#REF!</v>
      </c>
      <c r="H11" s="207" t="e">
        <f>Gantt!#REF!</f>
        <v>#REF!</v>
      </c>
      <c r="I11" s="208" t="e">
        <f t="shared" si="10"/>
        <v>#REF!</v>
      </c>
      <c r="J11" s="209"/>
      <c r="K11" s="202"/>
      <c r="L11" s="202"/>
      <c r="M11" s="210"/>
      <c r="N11" s="202"/>
      <c r="O11" s="202"/>
      <c r="P11" s="202"/>
      <c r="Q11" s="202"/>
      <c r="R11" s="202"/>
      <c r="S11" s="202"/>
      <c r="T11" s="202"/>
      <c r="U11" s="202"/>
      <c r="V11" s="202"/>
      <c r="W11" s="202"/>
      <c r="X11" s="202"/>
      <c r="Y11" s="202"/>
      <c r="Z11" s="202"/>
      <c r="AA11" s="202"/>
      <c r="AB11" s="202"/>
      <c r="AC11" s="202"/>
      <c r="AD11" s="202"/>
      <c r="AE11" s="202"/>
      <c r="AF11" s="202"/>
      <c r="AG11" s="202"/>
      <c r="AH11" s="202"/>
      <c r="AI11" s="202"/>
      <c r="AJ11" s="202"/>
      <c r="AK11" s="202"/>
      <c r="AL11" s="202"/>
      <c r="AM11" s="202"/>
      <c r="AN11" s="202"/>
      <c r="AO11" s="202"/>
      <c r="AP11" s="202"/>
      <c r="AQ11" s="202"/>
      <c r="AR11" s="202"/>
      <c r="AS11" s="202"/>
      <c r="AT11" s="202"/>
      <c r="AU11" s="202"/>
      <c r="AV11" s="202"/>
      <c r="AW11" s="202"/>
      <c r="AX11" s="202"/>
      <c r="AY11" s="202"/>
      <c r="AZ11" s="202"/>
      <c r="BA11" s="202"/>
      <c r="BB11" s="202"/>
      <c r="BC11" s="202"/>
      <c r="BD11" s="202"/>
      <c r="BE11" s="202"/>
      <c r="BF11" s="202"/>
      <c r="BG11" s="202"/>
      <c r="BH11" s="202"/>
      <c r="BI11" s="202"/>
      <c r="BJ11" s="202"/>
      <c r="BK11" s="202"/>
      <c r="BL11" s="202"/>
      <c r="BM11" s="202"/>
      <c r="BN11" s="202"/>
      <c r="BO11" s="202"/>
      <c r="BP11" s="202"/>
      <c r="BQ11" s="202"/>
      <c r="BR11" s="202"/>
      <c r="BS11" s="202"/>
      <c r="BT11" s="202"/>
      <c r="BU11" s="202"/>
    </row>
    <row r="12" spans="1:73" s="204" customFormat="1" ht="25.5" customHeight="1" x14ac:dyDescent="0.25">
      <c r="A12" s="202" t="str">
        <f>Gantt!A13</f>
        <v>1.2</v>
      </c>
      <c r="B12" s="203" t="str">
        <f>Gantt!C13</f>
        <v xml:space="preserve">Sviluppo funzionalità di Interlavoro con il sistema SIAN per importare il Piano colturale Grafico AGEA, compendiato dagli attributi catastali alfanumerici e altre informazioni legate alle consistenze aziendali funzionali alla gestione GARI
Con acquisizione dei dati di fascicolo necessari ai procedimenti del GARI se e come esposti da AGEA. </v>
      </c>
      <c r="D12" s="205"/>
      <c r="E12" s="211" t="e">
        <f>Gantt!#REF!</f>
        <v>#REF!</v>
      </c>
      <c r="F12" s="212" t="e">
        <f>Gantt!#REF!</f>
        <v>#REF!</v>
      </c>
      <c r="G12" s="206" t="e">
        <f t="shared" si="11"/>
        <v>#REF!</v>
      </c>
      <c r="H12" s="207" t="e">
        <f>Gantt!#REF!</f>
        <v>#REF!</v>
      </c>
      <c r="I12" s="208" t="e">
        <f t="shared" si="10"/>
        <v>#REF!</v>
      </c>
      <c r="J12" s="209"/>
      <c r="K12" s="202"/>
      <c r="L12" s="202"/>
      <c r="M12" s="202"/>
      <c r="N12" s="202"/>
      <c r="O12" s="202"/>
      <c r="P12" s="202"/>
      <c r="Q12" s="202"/>
      <c r="R12" s="202"/>
      <c r="S12" s="202"/>
      <c r="T12" s="202"/>
      <c r="U12" s="202"/>
      <c r="V12" s="202"/>
      <c r="W12" s="202"/>
      <c r="X12" s="202"/>
      <c r="Y12" s="202"/>
      <c r="Z12" s="202"/>
      <c r="AA12" s="202"/>
      <c r="AB12" s="202"/>
      <c r="AC12" s="202"/>
      <c r="AD12" s="202"/>
      <c r="AE12" s="202"/>
      <c r="AF12" s="202"/>
      <c r="AG12" s="202"/>
      <c r="AH12" s="202"/>
      <c r="AI12" s="202"/>
      <c r="AJ12" s="202"/>
      <c r="AK12" s="202"/>
      <c r="AL12" s="202"/>
      <c r="AM12" s="202"/>
      <c r="AN12" s="202"/>
      <c r="AO12" s="202"/>
      <c r="AP12" s="202"/>
      <c r="AQ12" s="202"/>
      <c r="AR12" s="202"/>
      <c r="AS12" s="202"/>
      <c r="AT12" s="202"/>
      <c r="AU12" s="202"/>
      <c r="AV12" s="202"/>
      <c r="AW12" s="202"/>
      <c r="AX12" s="202"/>
      <c r="AY12" s="202"/>
      <c r="AZ12" s="202"/>
      <c r="BA12" s="202"/>
      <c r="BB12" s="202"/>
      <c r="BC12" s="202"/>
      <c r="BD12" s="202"/>
      <c r="BE12" s="202"/>
      <c r="BF12" s="202"/>
      <c r="BG12" s="202"/>
      <c r="BH12" s="202"/>
      <c r="BI12" s="202"/>
      <c r="BJ12" s="202"/>
      <c r="BK12" s="202"/>
      <c r="BL12" s="202"/>
      <c r="BM12" s="202"/>
      <c r="BN12" s="202"/>
      <c r="BO12" s="202"/>
      <c r="BP12" s="202"/>
      <c r="BQ12" s="202"/>
      <c r="BR12" s="202"/>
      <c r="BS12" s="202"/>
      <c r="BT12" s="202"/>
      <c r="BU12" s="202"/>
    </row>
    <row r="13" spans="1:73" s="204" customFormat="1" ht="25.5" customHeight="1" x14ac:dyDescent="0.25">
      <c r="A13" s="202" t="str">
        <f>Gantt!A14</f>
        <v>1.3</v>
      </c>
      <c r="B13" s="203" t="str">
        <f>Gantt!C14</f>
        <v>Implementazione del modulo GARI-GIS  per la gestione( nel contesto GIS) i dati importati dal SIAN relativi al PCG (nuovo sistema di riferimento wgs84)</v>
      </c>
      <c r="D13" s="205"/>
      <c r="E13" s="211" t="e">
        <f>Gantt!#REF!</f>
        <v>#REF!</v>
      </c>
      <c r="F13" s="212" t="e">
        <f>Gantt!#REF!</f>
        <v>#REF!</v>
      </c>
      <c r="G13" s="206" t="e">
        <f t="shared" si="11"/>
        <v>#REF!</v>
      </c>
      <c r="H13" s="207" t="e">
        <f>Gantt!#REF!</f>
        <v>#REF!</v>
      </c>
      <c r="I13" s="208" t="e">
        <f t="shared" si="10"/>
        <v>#REF!</v>
      </c>
      <c r="J13" s="209"/>
      <c r="K13" s="202"/>
      <c r="L13" s="202"/>
      <c r="M13" s="202"/>
      <c r="N13" s="202"/>
      <c r="O13" s="202"/>
      <c r="P13" s="202"/>
      <c r="Q13" s="202"/>
      <c r="R13" s="202"/>
      <c r="S13" s="202"/>
      <c r="T13" s="202"/>
      <c r="U13" s="202"/>
      <c r="V13" s="202"/>
      <c r="W13" s="202"/>
      <c r="X13" s="202"/>
      <c r="Y13" s="202"/>
      <c r="Z13" s="202"/>
      <c r="AA13" s="202"/>
      <c r="AB13" s="202"/>
      <c r="AC13" s="202"/>
      <c r="AD13" s="202"/>
      <c r="AE13" s="202"/>
      <c r="AF13" s="202"/>
      <c r="AG13" s="202"/>
      <c r="AH13" s="202"/>
      <c r="AI13" s="202"/>
      <c r="AJ13" s="202"/>
      <c r="AK13" s="202"/>
      <c r="AL13" s="202"/>
      <c r="AM13" s="202"/>
      <c r="AN13" s="202"/>
      <c r="AO13" s="202"/>
      <c r="AP13" s="202"/>
      <c r="AQ13" s="202"/>
      <c r="AR13" s="202"/>
      <c r="AS13" s="202"/>
      <c r="AT13" s="202"/>
      <c r="AU13" s="202"/>
      <c r="AV13" s="202"/>
      <c r="AW13" s="202"/>
      <c r="AX13" s="202"/>
      <c r="AY13" s="202"/>
      <c r="AZ13" s="202"/>
      <c r="BA13" s="202"/>
      <c r="BB13" s="202"/>
      <c r="BC13" s="202"/>
      <c r="BD13" s="202"/>
      <c r="BE13" s="202"/>
      <c r="BF13" s="202"/>
      <c r="BG13" s="202"/>
      <c r="BH13" s="202"/>
      <c r="BI13" s="202"/>
      <c r="BJ13" s="202"/>
      <c r="BK13" s="202"/>
      <c r="BL13" s="202"/>
      <c r="BM13" s="202"/>
      <c r="BN13" s="202"/>
      <c r="BO13" s="202"/>
      <c r="BP13" s="202"/>
      <c r="BQ13" s="202"/>
      <c r="BR13" s="202"/>
      <c r="BS13" s="202"/>
      <c r="BT13" s="202"/>
      <c r="BU13" s="202"/>
    </row>
    <row r="14" spans="1:73" s="204" customFormat="1" ht="25.5" customHeight="1" x14ac:dyDescent="0.25">
      <c r="A14" s="202" t="str">
        <f>Gantt!A15</f>
        <v>1.4</v>
      </c>
      <c r="B14" s="203" t="str">
        <f>Gantt!C15</f>
        <v>Gestione delle Anagrafiche (risorse , macchine, analisi terreno etc)</v>
      </c>
      <c r="D14" s="205"/>
      <c r="E14" s="211" t="e">
        <f>Gantt!#REF!</f>
        <v>#REF!</v>
      </c>
      <c r="F14" s="212" t="e">
        <f>Gantt!#REF!</f>
        <v>#REF!</v>
      </c>
      <c r="G14" s="206" t="e">
        <f t="shared" si="11"/>
        <v>#REF!</v>
      </c>
      <c r="H14" s="207" t="e">
        <f>Gantt!#REF!</f>
        <v>#REF!</v>
      </c>
      <c r="I14" s="208" t="e">
        <f t="shared" si="10"/>
        <v>#REF!</v>
      </c>
      <c r="J14" s="209"/>
      <c r="K14" s="202"/>
      <c r="L14" s="202"/>
      <c r="M14" s="202"/>
      <c r="N14" s="202"/>
      <c r="O14" s="202"/>
      <c r="P14" s="202"/>
      <c r="Q14" s="202"/>
      <c r="R14" s="202"/>
      <c r="S14" s="202"/>
      <c r="T14" s="202"/>
      <c r="U14" s="202"/>
      <c r="V14" s="202"/>
      <c r="W14" s="202"/>
      <c r="X14" s="202"/>
      <c r="Y14" s="202"/>
      <c r="Z14" s="202"/>
      <c r="AA14" s="202"/>
      <c r="AB14" s="202"/>
      <c r="AC14" s="202"/>
      <c r="AD14" s="202"/>
      <c r="AE14" s="202"/>
      <c r="AF14" s="202"/>
      <c r="AG14" s="202"/>
      <c r="AH14" s="202"/>
      <c r="AI14" s="202"/>
      <c r="AJ14" s="202"/>
      <c r="AK14" s="202"/>
      <c r="AL14" s="202"/>
      <c r="AM14" s="202"/>
      <c r="AN14" s="202"/>
      <c r="AO14" s="202"/>
      <c r="AP14" s="202"/>
      <c r="AQ14" s="202"/>
      <c r="AR14" s="202"/>
      <c r="AS14" s="202"/>
      <c r="AT14" s="202"/>
      <c r="AU14" s="202"/>
      <c r="AV14" s="202"/>
      <c r="AW14" s="202"/>
      <c r="AX14" s="202"/>
      <c r="AY14" s="202"/>
      <c r="AZ14" s="202"/>
      <c r="BA14" s="202"/>
      <c r="BB14" s="202"/>
      <c r="BC14" s="202"/>
      <c r="BD14" s="202"/>
      <c r="BE14" s="202"/>
      <c r="BF14" s="202"/>
      <c r="BG14" s="202"/>
      <c r="BH14" s="202"/>
      <c r="BI14" s="202"/>
      <c r="BJ14" s="202"/>
      <c r="BK14" s="202"/>
      <c r="BL14" s="202"/>
      <c r="BM14" s="202"/>
      <c r="BN14" s="202"/>
      <c r="BO14" s="202"/>
      <c r="BP14" s="202"/>
      <c r="BQ14" s="202"/>
      <c r="BR14" s="202"/>
      <c r="BS14" s="202"/>
      <c r="BT14" s="202"/>
      <c r="BU14" s="202"/>
    </row>
    <row r="15" spans="1:73" s="204" customFormat="1" ht="25.5" customHeight="1" x14ac:dyDescent="0.25">
      <c r="A15" s="202" t="str">
        <f>Gantt!A16</f>
        <v>1.5</v>
      </c>
      <c r="B15" s="203" t="str">
        <f>Gantt!C16</f>
        <v>Implementazione del Modulo di Gestione dei documenti funzionale ai moduli GARI (Evolutive, installazione, configurazione/setting e profilazione utenza)</v>
      </c>
      <c r="D15" s="205"/>
      <c r="E15" s="211" t="e">
        <f>Gantt!#REF!</f>
        <v>#REF!</v>
      </c>
      <c r="F15" s="212" t="e">
        <f>Gantt!#REF!</f>
        <v>#REF!</v>
      </c>
      <c r="G15" s="206" t="e">
        <f t="shared" si="11"/>
        <v>#REF!</v>
      </c>
      <c r="H15" s="207" t="e">
        <f>Gantt!#REF!</f>
        <v>#REF!</v>
      </c>
      <c r="I15" s="208" t="e">
        <f t="shared" si="10"/>
        <v>#REF!</v>
      </c>
      <c r="J15" s="209"/>
      <c r="K15" s="202"/>
      <c r="L15" s="202"/>
      <c r="M15" s="202"/>
      <c r="N15" s="202"/>
      <c r="O15" s="202"/>
      <c r="P15" s="202"/>
      <c r="Q15" s="202"/>
      <c r="R15" s="202"/>
      <c r="S15" s="202"/>
      <c r="T15" s="202"/>
      <c r="U15" s="202"/>
      <c r="V15" s="202"/>
      <c r="W15" s="202"/>
      <c r="X15" s="202"/>
      <c r="Y15" s="202"/>
      <c r="Z15" s="202"/>
      <c r="AA15" s="202"/>
      <c r="AB15" s="202"/>
      <c r="AC15" s="202"/>
      <c r="AD15" s="202"/>
      <c r="AE15" s="202"/>
      <c r="AF15" s="202"/>
      <c r="AG15" s="202"/>
      <c r="AH15" s="202"/>
      <c r="AI15" s="202"/>
      <c r="AJ15" s="202"/>
      <c r="AK15" s="202"/>
      <c r="AL15" s="202"/>
      <c r="AM15" s="202"/>
      <c r="AN15" s="202"/>
      <c r="AO15" s="202"/>
      <c r="AP15" s="202"/>
      <c r="AQ15" s="202"/>
      <c r="AR15" s="202"/>
      <c r="AS15" s="202"/>
      <c r="AT15" s="202"/>
      <c r="AU15" s="202"/>
      <c r="AV15" s="202"/>
      <c r="AW15" s="202"/>
      <c r="AX15" s="202"/>
      <c r="AY15" s="202"/>
      <c r="AZ15" s="202"/>
      <c r="BA15" s="202"/>
      <c r="BB15" s="202"/>
      <c r="BC15" s="202"/>
      <c r="BD15" s="202"/>
      <c r="BE15" s="202"/>
      <c r="BF15" s="202"/>
      <c r="BG15" s="202"/>
      <c r="BH15" s="202"/>
      <c r="BI15" s="202"/>
      <c r="BJ15" s="202"/>
      <c r="BK15" s="202"/>
      <c r="BL15" s="202"/>
      <c r="BM15" s="202"/>
      <c r="BN15" s="202"/>
      <c r="BO15" s="202"/>
      <c r="BP15" s="202"/>
      <c r="BQ15" s="202"/>
      <c r="BR15" s="202"/>
      <c r="BS15" s="202"/>
      <c r="BT15" s="202"/>
      <c r="BU15" s="202"/>
    </row>
    <row r="16" spans="1:73" s="204" customFormat="1" ht="25.5" customHeight="1" x14ac:dyDescent="0.25">
      <c r="A16" s="202">
        <f>Gantt!A17</f>
        <v>2</v>
      </c>
      <c r="B16" s="219" t="str">
        <f>Gantt!C17</f>
        <v>GARI PA - UMA</v>
      </c>
      <c r="C16" s="220"/>
      <c r="D16" s="221"/>
      <c r="E16" s="222"/>
      <c r="F16" s="223"/>
      <c r="G16" s="224"/>
      <c r="H16" s="225"/>
      <c r="I16" s="224"/>
      <c r="J16" s="209"/>
      <c r="K16" s="202"/>
      <c r="L16" s="202"/>
      <c r="M16" s="202"/>
      <c r="N16" s="202"/>
      <c r="O16" s="202"/>
      <c r="P16" s="202"/>
      <c r="Q16" s="202"/>
      <c r="R16" s="202"/>
      <c r="S16" s="202"/>
      <c r="T16" s="202"/>
      <c r="U16" s="202"/>
      <c r="V16" s="202"/>
      <c r="W16" s="202"/>
      <c r="X16" s="202"/>
      <c r="Y16" s="202"/>
      <c r="Z16" s="202"/>
      <c r="AA16" s="202"/>
      <c r="AB16" s="202"/>
      <c r="AC16" s="202"/>
      <c r="AD16" s="202"/>
      <c r="AE16" s="202"/>
      <c r="AF16" s="202"/>
      <c r="AG16" s="202"/>
      <c r="AH16" s="202"/>
      <c r="AI16" s="202"/>
      <c r="AJ16" s="202"/>
      <c r="AK16" s="202"/>
      <c r="AL16" s="202"/>
      <c r="AM16" s="202"/>
      <c r="AN16" s="202"/>
      <c r="AO16" s="202"/>
      <c r="AP16" s="202"/>
      <c r="AQ16" s="202"/>
      <c r="AR16" s="202"/>
      <c r="AS16" s="202"/>
      <c r="AT16" s="202"/>
      <c r="AU16" s="202"/>
      <c r="AV16" s="202"/>
      <c r="AW16" s="202"/>
      <c r="AX16" s="202"/>
      <c r="AY16" s="202"/>
      <c r="AZ16" s="202"/>
      <c r="BA16" s="202"/>
      <c r="BB16" s="202"/>
      <c r="BC16" s="202"/>
      <c r="BD16" s="202"/>
      <c r="BE16" s="202"/>
      <c r="BF16" s="202"/>
      <c r="BG16" s="202"/>
      <c r="BH16" s="202"/>
      <c r="BI16" s="202"/>
      <c r="BJ16" s="202"/>
      <c r="BK16" s="202"/>
      <c r="BL16" s="202"/>
      <c r="BM16" s="202"/>
      <c r="BN16" s="202"/>
      <c r="BO16" s="202"/>
      <c r="BP16" s="202"/>
      <c r="BQ16" s="202"/>
      <c r="BR16" s="202"/>
      <c r="BS16" s="202"/>
      <c r="BT16" s="202"/>
      <c r="BU16" s="202"/>
    </row>
    <row r="17" spans="1:73" s="204" customFormat="1" ht="25.5" customHeight="1" x14ac:dyDescent="0.25">
      <c r="A17" s="202" t="str">
        <f>Gantt!A18</f>
        <v>2.1</v>
      </c>
      <c r="B17" s="203" t="str">
        <f>Gantt!C18</f>
        <v xml:space="preserve">RILASCIO 1 - Rif. Doc. fase unica PT000849TECH001 </v>
      </c>
      <c r="D17" s="205"/>
      <c r="E17" s="211" t="e">
        <f>Gantt!#REF!</f>
        <v>#REF!</v>
      </c>
      <c r="F17" s="212" t="e">
        <f>Gantt!#REF!</f>
        <v>#REF!</v>
      </c>
      <c r="G17" s="206" t="e">
        <f t="shared" si="11"/>
        <v>#REF!</v>
      </c>
      <c r="H17" s="207" t="e">
        <f>Gantt!#REF!</f>
        <v>#REF!</v>
      </c>
      <c r="I17" s="208" t="e">
        <f t="shared" si="10"/>
        <v>#REF!</v>
      </c>
      <c r="J17" s="209"/>
      <c r="K17" s="202"/>
      <c r="L17" s="202"/>
      <c r="M17" s="202"/>
      <c r="N17" s="202"/>
      <c r="O17" s="202"/>
      <c r="P17" s="202"/>
      <c r="Q17" s="202"/>
      <c r="R17" s="202"/>
      <c r="S17" s="202"/>
      <c r="T17" s="202"/>
      <c r="U17" s="202"/>
      <c r="V17" s="202"/>
      <c r="W17" s="202"/>
      <c r="X17" s="202"/>
      <c r="Y17" s="202"/>
      <c r="Z17" s="202"/>
      <c r="AA17" s="202"/>
      <c r="AB17" s="202"/>
      <c r="AC17" s="202"/>
      <c r="AD17" s="202"/>
      <c r="AE17" s="202"/>
      <c r="AF17" s="202"/>
      <c r="AG17" s="202"/>
      <c r="AH17" s="202"/>
      <c r="AI17" s="202"/>
      <c r="AJ17" s="202"/>
      <c r="AK17" s="202"/>
      <c r="AL17" s="202"/>
      <c r="AM17" s="202"/>
      <c r="AN17" s="202"/>
      <c r="AO17" s="202"/>
      <c r="AP17" s="202"/>
      <c r="AQ17" s="202"/>
      <c r="AR17" s="202"/>
      <c r="AS17" s="202"/>
      <c r="AT17" s="202"/>
      <c r="AU17" s="202"/>
      <c r="AV17" s="202"/>
      <c r="AW17" s="202"/>
      <c r="AX17" s="202"/>
      <c r="AY17" s="202"/>
      <c r="AZ17" s="202"/>
      <c r="BA17" s="202"/>
      <c r="BB17" s="202"/>
      <c r="BC17" s="202"/>
      <c r="BD17" s="202"/>
      <c r="BE17" s="202"/>
      <c r="BF17" s="202"/>
      <c r="BG17" s="202"/>
      <c r="BH17" s="202"/>
      <c r="BI17" s="202"/>
      <c r="BJ17" s="202"/>
      <c r="BK17" s="202"/>
      <c r="BL17" s="202"/>
      <c r="BM17" s="202"/>
      <c r="BN17" s="202"/>
      <c r="BO17" s="202"/>
      <c r="BP17" s="202"/>
      <c r="BQ17" s="202"/>
      <c r="BR17" s="202"/>
      <c r="BS17" s="202"/>
      <c r="BT17" s="202"/>
      <c r="BU17" s="202"/>
    </row>
    <row r="18" spans="1:73" s="204" customFormat="1" ht="25.5" customHeight="1" x14ac:dyDescent="0.25">
      <c r="A18" s="202" t="str">
        <f>Gantt!A19</f>
        <v>2.2</v>
      </c>
      <c r="B18" s="203" t="str">
        <f>Gantt!C19</f>
        <v xml:space="preserve">RILASCIO 2 - Rif. Doc. fase unica PT000849TECH001 </v>
      </c>
      <c r="D18" s="205"/>
      <c r="E18" s="211" t="e">
        <f>Gantt!#REF!</f>
        <v>#REF!</v>
      </c>
      <c r="F18" s="212" t="e">
        <f>Gantt!#REF!</f>
        <v>#REF!</v>
      </c>
      <c r="G18" s="206" t="e">
        <f t="shared" si="11"/>
        <v>#REF!</v>
      </c>
      <c r="H18" s="207" t="e">
        <f>Gantt!#REF!</f>
        <v>#REF!</v>
      </c>
      <c r="I18" s="208" t="e">
        <f t="shared" ref="I18:I19" si="12">IF(OR(F18=0,E18=0)," - ",NETWORKDAYS(E18,F18))</f>
        <v>#REF!</v>
      </c>
      <c r="J18" s="209"/>
      <c r="K18" s="202"/>
      <c r="L18" s="202"/>
      <c r="M18" s="202"/>
      <c r="N18" s="202"/>
      <c r="O18" s="202"/>
      <c r="P18" s="202"/>
      <c r="Q18" s="202"/>
      <c r="R18" s="202"/>
      <c r="S18" s="202"/>
      <c r="T18" s="202"/>
      <c r="U18" s="202"/>
      <c r="V18" s="202"/>
      <c r="W18" s="202"/>
      <c r="X18" s="202"/>
      <c r="Y18" s="202"/>
      <c r="Z18" s="202"/>
      <c r="AA18" s="202"/>
      <c r="AB18" s="202"/>
      <c r="AC18" s="202"/>
      <c r="AD18" s="202"/>
      <c r="AE18" s="202"/>
      <c r="AF18" s="202"/>
      <c r="AG18" s="202"/>
      <c r="AH18" s="202"/>
      <c r="AI18" s="202"/>
      <c r="AJ18" s="202"/>
      <c r="AK18" s="202"/>
      <c r="AL18" s="202"/>
      <c r="AM18" s="202"/>
      <c r="AN18" s="202"/>
      <c r="AO18" s="202"/>
      <c r="AP18" s="202"/>
      <c r="AQ18" s="202"/>
      <c r="AR18" s="202"/>
      <c r="AS18" s="202"/>
      <c r="AT18" s="202"/>
      <c r="AU18" s="202"/>
      <c r="AV18" s="202"/>
      <c r="AW18" s="202"/>
      <c r="AX18" s="202"/>
      <c r="AY18" s="202"/>
      <c r="AZ18" s="202"/>
      <c r="BA18" s="202"/>
      <c r="BB18" s="202"/>
      <c r="BC18" s="202"/>
      <c r="BD18" s="202"/>
      <c r="BE18" s="202"/>
      <c r="BF18" s="202"/>
      <c r="BG18" s="202"/>
      <c r="BH18" s="202"/>
      <c r="BI18" s="202"/>
      <c r="BJ18" s="202"/>
      <c r="BK18" s="202"/>
      <c r="BL18" s="202"/>
      <c r="BM18" s="202"/>
      <c r="BN18" s="202"/>
      <c r="BO18" s="202"/>
      <c r="BP18" s="202"/>
      <c r="BQ18" s="202"/>
      <c r="BR18" s="202"/>
      <c r="BS18" s="202"/>
      <c r="BT18" s="202"/>
      <c r="BU18" s="202"/>
    </row>
    <row r="19" spans="1:73" s="204" customFormat="1" ht="25.5" customHeight="1" x14ac:dyDescent="0.25">
      <c r="A19" s="202" t="str">
        <f>Gantt!A20</f>
        <v>2.3</v>
      </c>
      <c r="B19" s="203" t="str">
        <f>Gantt!C20</f>
        <v>RILASCIO 3 - Rif. Doc. fase unica PT000849TECH001</v>
      </c>
      <c r="D19" s="205"/>
      <c r="E19" s="211" t="e">
        <f>Gantt!#REF!</f>
        <v>#REF!</v>
      </c>
      <c r="F19" s="212" t="e">
        <f>Gantt!#REF!</f>
        <v>#REF!</v>
      </c>
      <c r="G19" s="206" t="e">
        <f t="shared" si="11"/>
        <v>#REF!</v>
      </c>
      <c r="H19" s="207" t="e">
        <f>Gantt!#REF!</f>
        <v>#REF!</v>
      </c>
      <c r="I19" s="208" t="e">
        <f t="shared" si="12"/>
        <v>#REF!</v>
      </c>
      <c r="J19" s="209"/>
      <c r="K19" s="202"/>
      <c r="L19" s="202"/>
      <c r="M19" s="202"/>
      <c r="N19" s="202"/>
      <c r="O19" s="202"/>
      <c r="P19" s="202"/>
      <c r="Q19" s="202"/>
      <c r="R19" s="202"/>
      <c r="S19" s="202"/>
      <c r="T19" s="202"/>
      <c r="U19" s="202"/>
      <c r="V19" s="202"/>
      <c r="W19" s="202"/>
      <c r="X19" s="202"/>
      <c r="Y19" s="202"/>
      <c r="Z19" s="202"/>
      <c r="AA19" s="202"/>
      <c r="AB19" s="202"/>
      <c r="AC19" s="202"/>
      <c r="AD19" s="202"/>
      <c r="AE19" s="202"/>
      <c r="AF19" s="202"/>
      <c r="AG19" s="202"/>
      <c r="AH19" s="202"/>
      <c r="AI19" s="202"/>
      <c r="AJ19" s="202"/>
      <c r="AK19" s="202"/>
      <c r="AL19" s="202"/>
      <c r="AM19" s="202"/>
      <c r="AN19" s="202"/>
      <c r="AO19" s="202"/>
      <c r="AP19" s="202"/>
      <c r="AQ19" s="202"/>
      <c r="AR19" s="202"/>
      <c r="AS19" s="202"/>
      <c r="AT19" s="202"/>
      <c r="AU19" s="202"/>
      <c r="AV19" s="202"/>
      <c r="AW19" s="202"/>
      <c r="AX19" s="202"/>
      <c r="AY19" s="202"/>
      <c r="AZ19" s="202"/>
      <c r="BA19" s="202"/>
      <c r="BB19" s="202"/>
      <c r="BC19" s="202"/>
      <c r="BD19" s="202"/>
      <c r="BE19" s="202"/>
      <c r="BF19" s="202"/>
      <c r="BG19" s="202"/>
      <c r="BH19" s="202"/>
      <c r="BI19" s="202"/>
      <c r="BJ19" s="202"/>
      <c r="BK19" s="202"/>
      <c r="BL19" s="202"/>
      <c r="BM19" s="202"/>
      <c r="BN19" s="202"/>
      <c r="BO19" s="202"/>
      <c r="BP19" s="202"/>
      <c r="BQ19" s="202"/>
      <c r="BR19" s="202"/>
      <c r="BS19" s="202"/>
      <c r="BT19" s="202"/>
      <c r="BU19" s="202"/>
    </row>
    <row r="20" spans="1:73" s="204" customFormat="1" ht="25.5" customHeight="1" x14ac:dyDescent="0.25">
      <c r="A20" s="202" t="str">
        <f>Gantt!A21</f>
        <v>2.4</v>
      </c>
      <c r="B20" s="203" t="str">
        <f>Gantt!C21</f>
        <v xml:space="preserve">RILASCIO 4 - Rif. Doc. fase unica PT000849TECH001 </v>
      </c>
      <c r="D20" s="205"/>
      <c r="E20" s="211" t="e">
        <f>Gantt!#REF!</f>
        <v>#REF!</v>
      </c>
      <c r="F20" s="212" t="e">
        <f>Gantt!#REF!</f>
        <v>#REF!</v>
      </c>
      <c r="G20" s="206" t="e">
        <f t="shared" si="11"/>
        <v>#REF!</v>
      </c>
      <c r="H20" s="207" t="e">
        <f>Gantt!#REF!</f>
        <v>#REF!</v>
      </c>
      <c r="I20" s="208" t="e">
        <f t="shared" ref="I20:I22" si="13">IF(OR(F20=0,E20=0)," - ",NETWORKDAYS(E20,F20))</f>
        <v>#REF!</v>
      </c>
      <c r="J20" s="209"/>
      <c r="K20" s="202"/>
      <c r="L20" s="202"/>
      <c r="M20" s="202"/>
      <c r="N20" s="202"/>
      <c r="O20" s="202"/>
      <c r="P20" s="202"/>
      <c r="Q20" s="202"/>
      <c r="R20" s="202"/>
      <c r="S20" s="202"/>
      <c r="T20" s="202"/>
      <c r="U20" s="202"/>
      <c r="V20" s="202"/>
      <c r="W20" s="202"/>
      <c r="X20" s="202"/>
      <c r="Y20" s="202"/>
      <c r="Z20" s="202"/>
      <c r="AA20" s="202"/>
      <c r="AB20" s="202"/>
      <c r="AC20" s="202"/>
      <c r="AD20" s="202"/>
      <c r="AE20" s="202"/>
      <c r="AF20" s="202"/>
      <c r="AG20" s="202"/>
      <c r="AH20" s="202"/>
      <c r="AI20" s="202"/>
      <c r="AJ20" s="202"/>
      <c r="AK20" s="202"/>
      <c r="AL20" s="202"/>
      <c r="AM20" s="202"/>
      <c r="AN20" s="202"/>
      <c r="AO20" s="202"/>
      <c r="AP20" s="202"/>
      <c r="AQ20" s="202"/>
      <c r="AR20" s="202"/>
      <c r="AS20" s="202"/>
      <c r="AT20" s="202"/>
      <c r="AU20" s="202"/>
      <c r="AV20" s="202"/>
      <c r="AW20" s="202"/>
      <c r="AX20" s="202"/>
      <c r="AY20" s="202"/>
      <c r="AZ20" s="202"/>
      <c r="BA20" s="202"/>
      <c r="BB20" s="202"/>
      <c r="BC20" s="202"/>
      <c r="BD20" s="202"/>
      <c r="BE20" s="202"/>
      <c r="BF20" s="202"/>
      <c r="BG20" s="202"/>
      <c r="BH20" s="202"/>
      <c r="BI20" s="202"/>
      <c r="BJ20" s="202"/>
      <c r="BK20" s="202"/>
      <c r="BL20" s="202"/>
      <c r="BM20" s="202"/>
      <c r="BN20" s="202"/>
      <c r="BO20" s="202"/>
      <c r="BP20" s="202"/>
      <c r="BQ20" s="202"/>
      <c r="BR20" s="202"/>
      <c r="BS20" s="202"/>
      <c r="BT20" s="202"/>
      <c r="BU20" s="202"/>
    </row>
    <row r="21" spans="1:73" s="204" customFormat="1" ht="25.5" customHeight="1" x14ac:dyDescent="0.25">
      <c r="A21" s="202" t="str">
        <f>Gantt!A22</f>
        <v>2.5</v>
      </c>
      <c r="B21" s="203" t="str">
        <f>Gantt!C22</f>
        <v xml:space="preserve">RILASCIO 5 - Rif. Doc. fase unica PT000849TECH001 </v>
      </c>
      <c r="D21" s="205"/>
      <c r="E21" s="211" t="e">
        <f>Gantt!#REF!</f>
        <v>#REF!</v>
      </c>
      <c r="F21" s="212" t="e">
        <f>Gantt!#REF!</f>
        <v>#REF!</v>
      </c>
      <c r="G21" s="206" t="e">
        <f t="shared" si="11"/>
        <v>#REF!</v>
      </c>
      <c r="H21" s="207" t="e">
        <f>Gantt!#REF!</f>
        <v>#REF!</v>
      </c>
      <c r="I21" s="208" t="e">
        <f t="shared" si="13"/>
        <v>#REF!</v>
      </c>
      <c r="J21" s="209"/>
      <c r="K21" s="202"/>
      <c r="L21" s="202"/>
      <c r="M21" s="202"/>
      <c r="N21" s="202"/>
      <c r="O21" s="202"/>
      <c r="P21" s="202"/>
      <c r="Q21" s="202"/>
      <c r="R21" s="202"/>
      <c r="S21" s="202"/>
      <c r="T21" s="202"/>
      <c r="U21" s="202"/>
      <c r="V21" s="202"/>
      <c r="W21" s="202"/>
      <c r="X21" s="202"/>
      <c r="Y21" s="202"/>
      <c r="Z21" s="202"/>
      <c r="AA21" s="202"/>
      <c r="AB21" s="202"/>
      <c r="AC21" s="202"/>
      <c r="AD21" s="202"/>
      <c r="AE21" s="202"/>
      <c r="AF21" s="202"/>
      <c r="AG21" s="202"/>
      <c r="AH21" s="202"/>
      <c r="AI21" s="202"/>
      <c r="AJ21" s="202"/>
      <c r="AK21" s="202"/>
      <c r="AL21" s="202"/>
      <c r="AM21" s="202"/>
      <c r="AN21" s="202"/>
      <c r="AO21" s="202"/>
      <c r="AP21" s="202"/>
      <c r="AQ21" s="202"/>
      <c r="AR21" s="202"/>
      <c r="AS21" s="202"/>
      <c r="AT21" s="202"/>
      <c r="AU21" s="202"/>
      <c r="AV21" s="202"/>
      <c r="AW21" s="202"/>
      <c r="AX21" s="202"/>
      <c r="AY21" s="202"/>
      <c r="AZ21" s="202"/>
      <c r="BA21" s="202"/>
      <c r="BB21" s="202"/>
      <c r="BC21" s="202"/>
      <c r="BD21" s="202"/>
      <c r="BE21" s="202"/>
      <c r="BF21" s="202"/>
      <c r="BG21" s="202"/>
      <c r="BH21" s="202"/>
      <c r="BI21" s="202"/>
      <c r="BJ21" s="202"/>
      <c r="BK21" s="202"/>
      <c r="BL21" s="202"/>
      <c r="BM21" s="202"/>
      <c r="BN21" s="202"/>
      <c r="BO21" s="202"/>
      <c r="BP21" s="202"/>
      <c r="BQ21" s="202"/>
      <c r="BR21" s="202"/>
      <c r="BS21" s="202"/>
      <c r="BT21" s="202"/>
      <c r="BU21" s="202"/>
    </row>
    <row r="22" spans="1:73" s="204" customFormat="1" ht="25.5" customHeight="1" x14ac:dyDescent="0.25">
      <c r="A22" s="202" t="str">
        <f>Gantt!A23</f>
        <v>2.6</v>
      </c>
      <c r="B22" s="203" t="str">
        <f>Gantt!C23</f>
        <v>UMA  Re-ingegnerizzazione della piattaforma GIAS per implementare la nuova piattaforma GARI su nuove tecnologie introdotte con il paradigma PCG</v>
      </c>
      <c r="D22" s="205"/>
      <c r="E22" s="211" t="e">
        <f>Gantt!#REF!</f>
        <v>#REF!</v>
      </c>
      <c r="F22" s="212" t="e">
        <f>Gantt!#REF!</f>
        <v>#REF!</v>
      </c>
      <c r="G22" s="206" t="e">
        <f t="shared" si="11"/>
        <v>#REF!</v>
      </c>
      <c r="H22" s="207" t="e">
        <f>Gantt!#REF!</f>
        <v>#REF!</v>
      </c>
      <c r="I22" s="208" t="e">
        <f t="shared" si="13"/>
        <v>#REF!</v>
      </c>
      <c r="J22" s="209"/>
      <c r="K22" s="202"/>
      <c r="L22" s="202"/>
      <c r="M22" s="202"/>
      <c r="N22" s="202"/>
      <c r="O22" s="202"/>
      <c r="P22" s="202"/>
      <c r="Q22" s="202"/>
      <c r="R22" s="202"/>
      <c r="S22" s="202"/>
      <c r="T22" s="202"/>
      <c r="U22" s="202"/>
      <c r="V22" s="202"/>
      <c r="W22" s="202"/>
      <c r="X22" s="202"/>
      <c r="Y22" s="202"/>
      <c r="Z22" s="202"/>
      <c r="AA22" s="202"/>
      <c r="AB22" s="202"/>
      <c r="AC22" s="202"/>
      <c r="AD22" s="202"/>
      <c r="AE22" s="202"/>
      <c r="AF22" s="202"/>
      <c r="AG22" s="202"/>
      <c r="AH22" s="202"/>
      <c r="AI22" s="202"/>
      <c r="AJ22" s="202"/>
      <c r="AK22" s="202"/>
      <c r="AL22" s="202"/>
      <c r="AM22" s="202"/>
      <c r="AN22" s="202"/>
      <c r="AO22" s="202"/>
      <c r="AP22" s="202"/>
      <c r="AQ22" s="202"/>
      <c r="AR22" s="202"/>
      <c r="AS22" s="202"/>
      <c r="AT22" s="202"/>
      <c r="AU22" s="202"/>
      <c r="AV22" s="202"/>
      <c r="AW22" s="202"/>
      <c r="AX22" s="202"/>
      <c r="AY22" s="202"/>
      <c r="AZ22" s="202"/>
      <c r="BA22" s="202"/>
      <c r="BB22" s="202"/>
      <c r="BC22" s="202"/>
      <c r="BD22" s="202"/>
      <c r="BE22" s="202"/>
      <c r="BF22" s="202"/>
      <c r="BG22" s="202"/>
      <c r="BH22" s="202"/>
      <c r="BI22" s="202"/>
      <c r="BJ22" s="202"/>
      <c r="BK22" s="202"/>
      <c r="BL22" s="202"/>
      <c r="BM22" s="202"/>
      <c r="BN22" s="202"/>
      <c r="BO22" s="202"/>
      <c r="BP22" s="202"/>
      <c r="BQ22" s="202"/>
      <c r="BR22" s="202"/>
      <c r="BS22" s="202"/>
      <c r="BT22" s="202"/>
      <c r="BU22" s="202"/>
    </row>
    <row r="23" spans="1:73" s="204" customFormat="1" ht="25.5" customHeight="1" x14ac:dyDescent="0.25">
      <c r="A23" s="202">
        <f>Gantt!A24</f>
        <v>3</v>
      </c>
      <c r="B23" s="219" t="str">
        <f>Gantt!C24</f>
        <v>GARI PUA</v>
      </c>
      <c r="C23" s="220"/>
      <c r="D23" s="221"/>
      <c r="E23" s="222"/>
      <c r="F23" s="223"/>
      <c r="G23" s="224"/>
      <c r="H23" s="225"/>
      <c r="I23" s="224"/>
      <c r="J23" s="209"/>
      <c r="K23" s="202"/>
      <c r="L23" s="202"/>
      <c r="M23" s="202"/>
      <c r="N23" s="202"/>
      <c r="O23" s="202"/>
      <c r="P23" s="202"/>
      <c r="Q23" s="202"/>
      <c r="R23" s="202"/>
      <c r="S23" s="202"/>
      <c r="T23" s="202"/>
      <c r="U23" s="202"/>
      <c r="V23" s="202"/>
      <c r="W23" s="202"/>
      <c r="X23" s="202"/>
      <c r="Y23" s="202"/>
      <c r="Z23" s="202"/>
      <c r="AA23" s="202"/>
      <c r="AB23" s="202"/>
      <c r="AC23" s="202"/>
      <c r="AD23" s="202"/>
      <c r="AE23" s="202"/>
      <c r="AF23" s="202"/>
      <c r="AG23" s="202"/>
      <c r="AH23" s="202"/>
      <c r="AI23" s="202"/>
      <c r="AJ23" s="202"/>
      <c r="AK23" s="202"/>
      <c r="AL23" s="202"/>
      <c r="AM23" s="202"/>
      <c r="AN23" s="202"/>
      <c r="AO23" s="202"/>
      <c r="AP23" s="202"/>
      <c r="AQ23" s="202"/>
      <c r="AR23" s="202"/>
      <c r="AS23" s="202"/>
      <c r="AT23" s="202"/>
      <c r="AU23" s="202"/>
      <c r="AV23" s="202"/>
      <c r="AW23" s="202"/>
      <c r="AX23" s="202"/>
      <c r="AY23" s="202"/>
      <c r="AZ23" s="202"/>
      <c r="BA23" s="202"/>
      <c r="BB23" s="202"/>
      <c r="BC23" s="202"/>
      <c r="BD23" s="202"/>
      <c r="BE23" s="202"/>
      <c r="BF23" s="202"/>
      <c r="BG23" s="202"/>
      <c r="BH23" s="202"/>
      <c r="BI23" s="202"/>
      <c r="BJ23" s="202"/>
      <c r="BK23" s="202"/>
      <c r="BL23" s="202"/>
      <c r="BM23" s="202"/>
      <c r="BN23" s="202"/>
      <c r="BO23" s="202"/>
      <c r="BP23" s="202"/>
      <c r="BQ23" s="202"/>
      <c r="BR23" s="202"/>
      <c r="BS23" s="202"/>
      <c r="BT23" s="202"/>
      <c r="BU23" s="202"/>
    </row>
    <row r="24" spans="1:73" s="204" customFormat="1" ht="25.5" customHeight="1" x14ac:dyDescent="0.25">
      <c r="A24" s="202" t="str">
        <f>Gantt!A25</f>
        <v>3.1</v>
      </c>
      <c r="B24" s="203" t="str">
        <f>Gantt!C25</f>
        <v>GARI-PUA Re-ingegnerizzazione della piattaforma GIAS per implementare la nuova piattaforma GARI su nuove tecnologie ( i.e  tecnologia Angular)</v>
      </c>
      <c r="D24" s="205"/>
      <c r="E24" s="211" t="e">
        <f>Gantt!#REF!</f>
        <v>#REF!</v>
      </c>
      <c r="F24" s="212" t="e">
        <f>Gantt!#REF!</f>
        <v>#REF!</v>
      </c>
      <c r="G24" s="206" t="e">
        <f t="shared" si="11"/>
        <v>#REF!</v>
      </c>
      <c r="H24" s="207" t="e">
        <f>Gantt!#REF!</f>
        <v>#REF!</v>
      </c>
      <c r="I24" s="208" t="e">
        <f t="shared" ref="I24" si="14">IF(OR(F24=0,E24=0)," - ",NETWORKDAYS(E24,F24))</f>
        <v>#REF!</v>
      </c>
      <c r="J24" s="209"/>
      <c r="K24" s="202"/>
      <c r="L24" s="202"/>
      <c r="M24" s="202"/>
      <c r="N24" s="202"/>
      <c r="O24" s="202"/>
      <c r="P24" s="202"/>
      <c r="Q24" s="202"/>
      <c r="R24" s="202"/>
      <c r="S24" s="202"/>
      <c r="T24" s="202"/>
      <c r="U24" s="202"/>
      <c r="V24" s="202"/>
      <c r="W24" s="202"/>
      <c r="X24" s="202"/>
      <c r="Y24" s="202"/>
      <c r="Z24" s="202"/>
      <c r="AA24" s="202"/>
      <c r="AB24" s="202"/>
      <c r="AC24" s="202"/>
      <c r="AD24" s="202"/>
      <c r="AE24" s="202"/>
      <c r="AF24" s="202"/>
      <c r="AG24" s="202"/>
      <c r="AH24" s="202"/>
      <c r="AI24" s="202"/>
      <c r="AJ24" s="202"/>
      <c r="AK24" s="202"/>
      <c r="AL24" s="202"/>
      <c r="AM24" s="202"/>
      <c r="AN24" s="202"/>
      <c r="AO24" s="202"/>
      <c r="AP24" s="202"/>
      <c r="AQ24" s="202"/>
      <c r="AR24" s="202"/>
      <c r="AS24" s="202"/>
      <c r="AT24" s="202"/>
      <c r="AU24" s="202"/>
      <c r="AV24" s="202"/>
      <c r="AW24" s="202"/>
      <c r="AX24" s="202"/>
      <c r="AY24" s="202"/>
      <c r="AZ24" s="202"/>
      <c r="BA24" s="202"/>
      <c r="BB24" s="202"/>
      <c r="BC24" s="202"/>
      <c r="BD24" s="202"/>
      <c r="BE24" s="202"/>
      <c r="BF24" s="202"/>
      <c r="BG24" s="202"/>
      <c r="BH24" s="202"/>
      <c r="BI24" s="202"/>
      <c r="BJ24" s="202"/>
      <c r="BK24" s="202"/>
      <c r="BL24" s="202"/>
      <c r="BM24" s="202"/>
      <c r="BN24" s="202"/>
      <c r="BO24" s="202"/>
      <c r="BP24" s="202"/>
      <c r="BQ24" s="202"/>
      <c r="BR24" s="202"/>
      <c r="BS24" s="202"/>
      <c r="BT24" s="202"/>
      <c r="BU24" s="202"/>
    </row>
    <row r="25" spans="1:73" s="204" customFormat="1" ht="25.5" customHeight="1" x14ac:dyDescent="0.25">
      <c r="A25" s="202" t="str">
        <f>Gantt!A26</f>
        <v>3.2</v>
      </c>
      <c r="B25" s="203" t="str">
        <f>Gantt!C26</f>
        <v xml:space="preserve">Nuovo Modulo PUA incluso la interoperabilità con ACA per le 04 13 e 24 - Fase1 </v>
      </c>
      <c r="D25" s="205"/>
      <c r="E25" s="211" t="e">
        <f>Gantt!#REF!</f>
        <v>#REF!</v>
      </c>
      <c r="F25" s="212" t="e">
        <f>Gantt!#REF!</f>
        <v>#REF!</v>
      </c>
      <c r="G25" s="206" t="e">
        <f t="shared" si="11"/>
        <v>#REF!</v>
      </c>
      <c r="H25" s="207" t="e">
        <f>Gantt!#REF!</f>
        <v>#REF!</v>
      </c>
      <c r="I25" s="208" t="e">
        <f t="shared" ref="I25:I26" si="15">IF(OR(F25=0,E25=0)," - ",NETWORKDAYS(E25,F25))</f>
        <v>#REF!</v>
      </c>
      <c r="J25" s="209"/>
      <c r="K25" s="202"/>
      <c r="L25" s="202"/>
      <c r="M25" s="202"/>
      <c r="N25" s="202"/>
      <c r="O25" s="202"/>
      <c r="P25" s="202"/>
      <c r="Q25" s="202"/>
      <c r="R25" s="202"/>
      <c r="S25" s="202"/>
      <c r="T25" s="202"/>
      <c r="U25" s="202"/>
      <c r="V25" s="202"/>
      <c r="W25" s="202"/>
      <c r="X25" s="202"/>
      <c r="Y25" s="202"/>
      <c r="Z25" s="202"/>
      <c r="AA25" s="202"/>
      <c r="AB25" s="202"/>
      <c r="AC25" s="202"/>
      <c r="AD25" s="202"/>
      <c r="AE25" s="202"/>
      <c r="AF25" s="202"/>
      <c r="AG25" s="202"/>
      <c r="AH25" s="202"/>
      <c r="AI25" s="202"/>
      <c r="AJ25" s="202"/>
      <c r="AK25" s="202"/>
      <c r="AL25" s="202"/>
      <c r="AM25" s="202"/>
      <c r="AN25" s="202"/>
      <c r="AO25" s="202"/>
      <c r="AP25" s="202"/>
      <c r="AQ25" s="202"/>
      <c r="AR25" s="202"/>
      <c r="AS25" s="202"/>
      <c r="AT25" s="202"/>
      <c r="AU25" s="202"/>
      <c r="AV25" s="202"/>
      <c r="AW25" s="202"/>
      <c r="AX25" s="202"/>
      <c r="AY25" s="202"/>
      <c r="AZ25" s="202"/>
      <c r="BA25" s="202"/>
      <c r="BB25" s="202"/>
      <c r="BC25" s="202"/>
      <c r="BD25" s="202"/>
      <c r="BE25" s="202"/>
      <c r="BF25" s="202"/>
      <c r="BG25" s="202"/>
      <c r="BH25" s="202"/>
      <c r="BI25" s="202"/>
      <c r="BJ25" s="202"/>
      <c r="BK25" s="202"/>
      <c r="BL25" s="202"/>
      <c r="BM25" s="202"/>
      <c r="BN25" s="202"/>
      <c r="BO25" s="202"/>
      <c r="BP25" s="202"/>
      <c r="BQ25" s="202"/>
      <c r="BR25" s="202"/>
      <c r="BS25" s="202"/>
      <c r="BT25" s="202"/>
      <c r="BU25" s="202"/>
    </row>
    <row r="26" spans="1:73" s="204" customFormat="1" ht="25.5" customHeight="1" x14ac:dyDescent="0.25">
      <c r="A26" s="202" t="str">
        <f>Gantt!A27</f>
        <v>3.3</v>
      </c>
      <c r="B26" s="203" t="str">
        <f>Gantt!C27</f>
        <v>Nuovo Modulo PUA collegamento e funzionamento su base PCG - Fase2</v>
      </c>
      <c r="D26" s="205"/>
      <c r="E26" s="211" t="e">
        <f>Gantt!#REF!</f>
        <v>#REF!</v>
      </c>
      <c r="F26" s="212" t="e">
        <f>Gantt!#REF!</f>
        <v>#REF!</v>
      </c>
      <c r="G26" s="206" t="e">
        <f t="shared" si="11"/>
        <v>#REF!</v>
      </c>
      <c r="H26" s="207" t="e">
        <f>Gantt!#REF!</f>
        <v>#REF!</v>
      </c>
      <c r="I26" s="208" t="e">
        <f t="shared" si="15"/>
        <v>#REF!</v>
      </c>
      <c r="J26" s="209"/>
      <c r="K26" s="202"/>
      <c r="L26" s="202"/>
      <c r="M26" s="202"/>
      <c r="N26" s="202"/>
      <c r="O26" s="202"/>
      <c r="P26" s="202"/>
      <c r="Q26" s="202"/>
      <c r="R26" s="202"/>
      <c r="S26" s="202"/>
      <c r="T26" s="202"/>
      <c r="U26" s="202"/>
      <c r="V26" s="202"/>
      <c r="W26" s="202"/>
      <c r="X26" s="202"/>
      <c r="Y26" s="202"/>
      <c r="Z26" s="202"/>
      <c r="AA26" s="202"/>
      <c r="AB26" s="202"/>
      <c r="AC26" s="202"/>
      <c r="AD26" s="202"/>
      <c r="AE26" s="202"/>
      <c r="AF26" s="202"/>
      <c r="AG26" s="202"/>
      <c r="AH26" s="202"/>
      <c r="AI26" s="202"/>
      <c r="AJ26" s="202"/>
      <c r="AK26" s="202"/>
      <c r="AL26" s="202"/>
      <c r="AM26" s="202"/>
      <c r="AN26" s="202"/>
      <c r="AO26" s="202"/>
      <c r="AP26" s="202"/>
      <c r="AQ26" s="202"/>
      <c r="AR26" s="202"/>
      <c r="AS26" s="202"/>
      <c r="AT26" s="202"/>
      <c r="AU26" s="202"/>
      <c r="AV26" s="202"/>
      <c r="AW26" s="202"/>
      <c r="AX26" s="202"/>
      <c r="AY26" s="202"/>
      <c r="AZ26" s="202"/>
      <c r="BA26" s="202"/>
      <c r="BB26" s="202"/>
      <c r="BC26" s="202"/>
      <c r="BD26" s="202"/>
      <c r="BE26" s="202"/>
      <c r="BF26" s="202"/>
      <c r="BG26" s="202"/>
      <c r="BH26" s="202"/>
      <c r="BI26" s="202"/>
      <c r="BJ26" s="202"/>
      <c r="BK26" s="202"/>
      <c r="BL26" s="202"/>
      <c r="BM26" s="202"/>
      <c r="BN26" s="202"/>
      <c r="BO26" s="202"/>
      <c r="BP26" s="202"/>
      <c r="BQ26" s="202"/>
      <c r="BR26" s="202"/>
      <c r="BS26" s="202"/>
      <c r="BT26" s="202"/>
      <c r="BU26" s="202"/>
    </row>
    <row r="27" spans="1:73" s="204" customFormat="1" ht="25.5" customHeight="1" x14ac:dyDescent="0.25">
      <c r="A27" s="202">
        <f>Gantt!A28</f>
        <v>4</v>
      </c>
      <c r="B27" s="219" t="str">
        <f>Gantt!C28</f>
        <v>GARI - QDCA</v>
      </c>
      <c r="C27" s="220"/>
      <c r="D27" s="221"/>
      <c r="E27" s="222"/>
      <c r="F27" s="223"/>
      <c r="G27" s="224"/>
      <c r="H27" s="225"/>
      <c r="I27" s="224"/>
      <c r="J27" s="209"/>
      <c r="K27" s="202"/>
      <c r="L27" s="202"/>
      <c r="M27" s="202"/>
      <c r="N27" s="202"/>
      <c r="O27" s="202"/>
      <c r="P27" s="202"/>
      <c r="Q27" s="202"/>
      <c r="R27" s="202"/>
      <c r="S27" s="202"/>
      <c r="T27" s="202"/>
      <c r="U27" s="202"/>
      <c r="V27" s="202"/>
      <c r="W27" s="202"/>
      <c r="X27" s="202"/>
      <c r="Y27" s="202"/>
      <c r="Z27" s="202"/>
      <c r="AA27" s="202"/>
      <c r="AB27" s="202"/>
      <c r="AC27" s="202"/>
      <c r="AD27" s="202"/>
      <c r="AE27" s="202"/>
      <c r="AF27" s="202"/>
      <c r="AG27" s="202"/>
      <c r="AH27" s="202"/>
      <c r="AI27" s="202"/>
      <c r="AJ27" s="202"/>
      <c r="AK27" s="202"/>
      <c r="AL27" s="202"/>
      <c r="AM27" s="202"/>
      <c r="AN27" s="202"/>
      <c r="AO27" s="202"/>
      <c r="AP27" s="202"/>
      <c r="AQ27" s="202"/>
      <c r="AR27" s="202"/>
      <c r="AS27" s="202"/>
      <c r="AT27" s="202"/>
      <c r="AU27" s="202"/>
      <c r="AV27" s="202"/>
      <c r="AW27" s="202"/>
      <c r="AX27" s="202"/>
      <c r="AY27" s="202"/>
      <c r="AZ27" s="202"/>
      <c r="BA27" s="202"/>
      <c r="BB27" s="202"/>
      <c r="BC27" s="202"/>
      <c r="BD27" s="202"/>
      <c r="BE27" s="202"/>
      <c r="BF27" s="202"/>
      <c r="BG27" s="202"/>
      <c r="BH27" s="202"/>
      <c r="BI27" s="202"/>
      <c r="BJ27" s="202"/>
      <c r="BK27" s="202"/>
      <c r="BL27" s="202"/>
      <c r="BM27" s="202"/>
      <c r="BN27" s="202"/>
      <c r="BO27" s="202"/>
      <c r="BP27" s="202"/>
      <c r="BQ27" s="202"/>
      <c r="BR27" s="202"/>
      <c r="BS27" s="202"/>
      <c r="BT27" s="202"/>
      <c r="BU27" s="202"/>
    </row>
    <row r="28" spans="1:73" s="204" customFormat="1" ht="25.5" customHeight="1" x14ac:dyDescent="0.25">
      <c r="A28" s="202" t="str">
        <f>Gantt!A29</f>
        <v>4.1</v>
      </c>
      <c r="B28" s="203" t="str">
        <f>Gantt!C29</f>
        <v>QCDA-Re-ingegnerizzazione della piattaforma GIAS per implementare la nuova piattaforma GARI su nuove tecnologie ( i.e  tecnologia Angular)</v>
      </c>
      <c r="D28" s="205"/>
      <c r="E28" s="211" t="e">
        <f>Gantt!#REF!</f>
        <v>#REF!</v>
      </c>
      <c r="F28" s="212" t="e">
        <f>Gantt!#REF!</f>
        <v>#REF!</v>
      </c>
      <c r="G28" s="206" t="e">
        <f t="shared" si="11"/>
        <v>#REF!</v>
      </c>
      <c r="H28" s="207" t="e">
        <f>Gantt!#REF!</f>
        <v>#REF!</v>
      </c>
      <c r="I28" s="208" t="e">
        <f t="shared" ref="I28:I30" si="16">IF(OR(F28=0,E28=0)," - ",NETWORKDAYS(E28,F28))</f>
        <v>#REF!</v>
      </c>
      <c r="J28" s="209"/>
      <c r="K28" s="202"/>
      <c r="L28" s="202"/>
      <c r="M28" s="202"/>
      <c r="N28" s="202"/>
      <c r="O28" s="202"/>
      <c r="P28" s="202"/>
      <c r="Q28" s="202"/>
      <c r="R28" s="202"/>
      <c r="S28" s="202"/>
      <c r="T28" s="202"/>
      <c r="U28" s="202"/>
      <c r="V28" s="202"/>
      <c r="W28" s="202"/>
      <c r="X28" s="202"/>
      <c r="Y28" s="202"/>
      <c r="Z28" s="202"/>
      <c r="AA28" s="202"/>
      <c r="AB28" s="202"/>
      <c r="AC28" s="202"/>
      <c r="AD28" s="202"/>
      <c r="AE28" s="202"/>
      <c r="AF28" s="202"/>
      <c r="AG28" s="202"/>
      <c r="AH28" s="202"/>
      <c r="AI28" s="202"/>
      <c r="AJ28" s="202"/>
      <c r="AK28" s="202"/>
      <c r="AL28" s="202"/>
      <c r="AM28" s="202"/>
      <c r="AN28" s="202"/>
      <c r="AO28" s="202"/>
      <c r="AP28" s="202"/>
      <c r="AQ28" s="202"/>
      <c r="AR28" s="202"/>
      <c r="AS28" s="202"/>
      <c r="AT28" s="202"/>
      <c r="AU28" s="202"/>
      <c r="AV28" s="202"/>
      <c r="AW28" s="202"/>
      <c r="AX28" s="202"/>
      <c r="AY28" s="202"/>
      <c r="AZ28" s="202"/>
      <c r="BA28" s="202"/>
      <c r="BB28" s="202"/>
      <c r="BC28" s="202"/>
      <c r="BD28" s="202"/>
      <c r="BE28" s="202"/>
      <c r="BF28" s="202"/>
      <c r="BG28" s="202"/>
      <c r="BH28" s="202"/>
      <c r="BI28" s="202"/>
      <c r="BJ28" s="202"/>
      <c r="BK28" s="202"/>
      <c r="BL28" s="202"/>
      <c r="BM28" s="202"/>
      <c r="BN28" s="202"/>
      <c r="BO28" s="202"/>
      <c r="BP28" s="202"/>
      <c r="BQ28" s="202"/>
      <c r="BR28" s="202"/>
      <c r="BS28" s="202"/>
      <c r="BT28" s="202"/>
      <c r="BU28" s="202"/>
    </row>
    <row r="29" spans="1:73" s="204" customFormat="1" ht="25.5" customHeight="1" x14ac:dyDescent="0.25">
      <c r="A29" s="202" t="str">
        <f>Gantt!A30</f>
        <v>4.2</v>
      </c>
      <c r="B29" s="203" t="str">
        <f>Gantt!C30</f>
        <v>Sviluppo SW GARI - Misure ACA</v>
      </c>
      <c r="D29" s="205"/>
      <c r="E29" s="211" t="e">
        <f>Gantt!#REF!</f>
        <v>#REF!</v>
      </c>
      <c r="F29" s="212" t="e">
        <f>Gantt!#REF!</f>
        <v>#REF!</v>
      </c>
      <c r="G29" s="206" t="e">
        <f t="shared" si="11"/>
        <v>#REF!</v>
      </c>
      <c r="H29" s="207" t="e">
        <f>Gantt!#REF!</f>
        <v>#REF!</v>
      </c>
      <c r="I29" s="208" t="e">
        <f t="shared" si="16"/>
        <v>#REF!</v>
      </c>
      <c r="J29" s="209"/>
      <c r="K29" s="202"/>
      <c r="L29" s="202"/>
      <c r="M29" s="202"/>
      <c r="N29" s="202"/>
      <c r="O29" s="202"/>
      <c r="P29" s="202"/>
      <c r="Q29" s="202"/>
      <c r="R29" s="202"/>
      <c r="S29" s="202"/>
      <c r="T29" s="202"/>
      <c r="U29" s="202"/>
      <c r="V29" s="202"/>
      <c r="W29" s="202"/>
      <c r="X29" s="202"/>
      <c r="Y29" s="202"/>
      <c r="Z29" s="202"/>
      <c r="AA29" s="202"/>
      <c r="AB29" s="202"/>
      <c r="AC29" s="202"/>
      <c r="AD29" s="202"/>
      <c r="AE29" s="202"/>
      <c r="AF29" s="202"/>
      <c r="AG29" s="202"/>
      <c r="AH29" s="202"/>
      <c r="AI29" s="202"/>
      <c r="AJ29" s="202"/>
      <c r="AK29" s="202"/>
      <c r="AL29" s="202"/>
      <c r="AM29" s="202"/>
      <c r="AN29" s="202"/>
      <c r="AO29" s="202"/>
      <c r="AP29" s="202"/>
      <c r="AQ29" s="202"/>
      <c r="AR29" s="202"/>
      <c r="AS29" s="202"/>
      <c r="AT29" s="202"/>
      <c r="AU29" s="202"/>
      <c r="AV29" s="202"/>
      <c r="AW29" s="202"/>
      <c r="AX29" s="202"/>
      <c r="AY29" s="202"/>
      <c r="AZ29" s="202"/>
      <c r="BA29" s="202"/>
      <c r="BB29" s="202"/>
      <c r="BC29" s="202"/>
      <c r="BD29" s="202"/>
      <c r="BE29" s="202"/>
      <c r="BF29" s="202"/>
      <c r="BG29" s="202"/>
      <c r="BH29" s="202"/>
      <c r="BI29" s="202"/>
      <c r="BJ29" s="202"/>
      <c r="BK29" s="202"/>
      <c r="BL29" s="202"/>
      <c r="BM29" s="202"/>
      <c r="BN29" s="202"/>
      <c r="BO29" s="202"/>
      <c r="BP29" s="202"/>
      <c r="BQ29" s="202"/>
      <c r="BR29" s="202"/>
      <c r="BS29" s="202"/>
      <c r="BT29" s="202"/>
      <c r="BU29" s="202"/>
    </row>
    <row r="30" spans="1:73" s="204" customFormat="1" ht="25.5" customHeight="1" x14ac:dyDescent="0.25">
      <c r="A30" s="202" t="str">
        <f>Gantt!A31</f>
        <v>4.3</v>
      </c>
      <c r="B30" s="203" t="str">
        <f>Gantt!C31</f>
        <v xml:space="preserve">Sviluppo SW GARI - DSS per misure ACA </v>
      </c>
      <c r="D30" s="205"/>
      <c r="E30" s="211" t="e">
        <f>Gantt!#REF!</f>
        <v>#REF!</v>
      </c>
      <c r="F30" s="212" t="e">
        <f>Gantt!#REF!</f>
        <v>#REF!</v>
      </c>
      <c r="G30" s="206" t="e">
        <f t="shared" si="11"/>
        <v>#REF!</v>
      </c>
      <c r="H30" s="207" t="e">
        <f>Gantt!#REF!</f>
        <v>#REF!</v>
      </c>
      <c r="I30" s="208" t="e">
        <f t="shared" si="16"/>
        <v>#REF!</v>
      </c>
      <c r="J30" s="209"/>
      <c r="K30" s="202"/>
      <c r="L30" s="202"/>
      <c r="M30" s="202"/>
      <c r="N30" s="202"/>
      <c r="O30" s="202"/>
      <c r="P30" s="202"/>
      <c r="Q30" s="202"/>
      <c r="R30" s="202"/>
      <c r="S30" s="202"/>
      <c r="T30" s="202"/>
      <c r="U30" s="202"/>
      <c r="V30" s="202"/>
      <c r="W30" s="202"/>
      <c r="X30" s="202"/>
      <c r="Y30" s="202"/>
      <c r="Z30" s="202"/>
      <c r="AA30" s="202"/>
      <c r="AB30" s="202"/>
      <c r="AC30" s="202"/>
      <c r="AD30" s="202"/>
      <c r="AE30" s="202"/>
      <c r="AF30" s="202"/>
      <c r="AG30" s="202"/>
      <c r="AH30" s="202"/>
      <c r="AI30" s="202"/>
      <c r="AJ30" s="202"/>
      <c r="AK30" s="202"/>
      <c r="AL30" s="202"/>
      <c r="AM30" s="202"/>
      <c r="AN30" s="202"/>
      <c r="AO30" s="202"/>
      <c r="AP30" s="202"/>
      <c r="AQ30" s="202"/>
      <c r="AR30" s="202"/>
      <c r="AS30" s="202"/>
      <c r="AT30" s="202"/>
      <c r="AU30" s="202"/>
      <c r="AV30" s="202"/>
      <c r="AW30" s="202"/>
      <c r="AX30" s="202"/>
      <c r="AY30" s="202"/>
      <c r="AZ30" s="202"/>
      <c r="BA30" s="202"/>
      <c r="BB30" s="202"/>
      <c r="BC30" s="202"/>
      <c r="BD30" s="202"/>
      <c r="BE30" s="202"/>
      <c r="BF30" s="202"/>
      <c r="BG30" s="202"/>
      <c r="BH30" s="202"/>
      <c r="BI30" s="202"/>
      <c r="BJ30" s="202"/>
      <c r="BK30" s="202"/>
      <c r="BL30" s="202"/>
      <c r="BM30" s="202"/>
      <c r="BN30" s="202"/>
      <c r="BO30" s="202"/>
      <c r="BP30" s="202"/>
      <c r="BQ30" s="202"/>
      <c r="BR30" s="202"/>
      <c r="BS30" s="202"/>
      <c r="BT30" s="202"/>
      <c r="BU30" s="202"/>
    </row>
    <row r="31" spans="1:73" s="204" customFormat="1" ht="25.5" customHeight="1" x14ac:dyDescent="0.25">
      <c r="A31" s="202" t="str">
        <f>Gantt!A32</f>
        <v>4.4</v>
      </c>
      <c r="B31" s="203" t="str">
        <f>Gantt!C32</f>
        <v>MEV - GARI QDCA - DSS - solo front-end (no algoritmi /API) + adeguamento salvataggio su GARI degli output relativi ai consigli dei Modelli Previsionali difesa e Irrigazione + Meteo (DSS)</v>
      </c>
      <c r="D31" s="205"/>
      <c r="E31" s="211" t="e">
        <f>Gantt!#REF!</f>
        <v>#REF!</v>
      </c>
      <c r="F31" s="212" t="e">
        <f>Gantt!#REF!</f>
        <v>#REF!</v>
      </c>
      <c r="G31" s="206" t="e">
        <f t="shared" si="11"/>
        <v>#REF!</v>
      </c>
      <c r="H31" s="207" t="e">
        <f>Gantt!#REF!</f>
        <v>#REF!</v>
      </c>
      <c r="I31" s="208" t="e">
        <f t="shared" ref="I31:I38" si="17">IF(OR(F31=0,E31=0)," - ",NETWORKDAYS(E31,F31))</f>
        <v>#REF!</v>
      </c>
      <c r="J31" s="209"/>
      <c r="K31" s="202"/>
      <c r="L31" s="202"/>
      <c r="M31" s="202"/>
      <c r="N31" s="202"/>
      <c r="O31" s="202"/>
      <c r="P31" s="202"/>
      <c r="Q31" s="202"/>
      <c r="R31" s="202"/>
      <c r="S31" s="202"/>
      <c r="T31" s="202"/>
      <c r="U31" s="202"/>
      <c r="V31" s="202"/>
      <c r="W31" s="202"/>
      <c r="X31" s="202"/>
      <c r="Y31" s="202"/>
      <c r="Z31" s="202"/>
      <c r="AA31" s="202"/>
      <c r="AB31" s="202"/>
      <c r="AC31" s="202"/>
      <c r="AD31" s="202"/>
      <c r="AE31" s="202"/>
      <c r="AF31" s="202"/>
      <c r="AG31" s="202"/>
      <c r="AH31" s="202"/>
      <c r="AI31" s="202"/>
      <c r="AJ31" s="202"/>
      <c r="AK31" s="202"/>
      <c r="AL31" s="202"/>
      <c r="AM31" s="202"/>
      <c r="AN31" s="202"/>
      <c r="AO31" s="202"/>
      <c r="AP31" s="202"/>
      <c r="AQ31" s="202"/>
      <c r="AR31" s="202"/>
      <c r="AS31" s="202"/>
      <c r="AT31" s="202"/>
      <c r="AU31" s="202"/>
      <c r="AV31" s="202"/>
      <c r="AW31" s="202"/>
      <c r="AX31" s="202"/>
      <c r="AY31" s="202"/>
      <c r="AZ31" s="202"/>
      <c r="BA31" s="202"/>
      <c r="BB31" s="202"/>
      <c r="BC31" s="202"/>
      <c r="BD31" s="202"/>
      <c r="BE31" s="202"/>
      <c r="BF31" s="202"/>
      <c r="BG31" s="202"/>
      <c r="BH31" s="202"/>
      <c r="BI31" s="202"/>
      <c r="BJ31" s="202"/>
      <c r="BK31" s="202"/>
      <c r="BL31" s="202"/>
      <c r="BM31" s="202"/>
      <c r="BN31" s="202"/>
      <c r="BO31" s="202"/>
      <c r="BP31" s="202"/>
      <c r="BQ31" s="202"/>
      <c r="BR31" s="202"/>
      <c r="BS31" s="202"/>
      <c r="BT31" s="202"/>
      <c r="BU31" s="202"/>
    </row>
    <row r="32" spans="1:73" s="204" customFormat="1" ht="25.5" customHeight="1" x14ac:dyDescent="0.25">
      <c r="A32" s="202" t="str">
        <f>Gantt!A33</f>
        <v>4.5</v>
      </c>
      <c r="B32" s="203" t="str">
        <f>Gantt!C33</f>
        <v>Acquisizione, raccordo e verifica dei dati  Meteo/DSS da sorgenti esterne</v>
      </c>
      <c r="D32" s="205"/>
      <c r="E32" s="211" t="e">
        <f>Gantt!#REF!</f>
        <v>#REF!</v>
      </c>
      <c r="F32" s="212" t="e">
        <f>Gantt!#REF!</f>
        <v>#REF!</v>
      </c>
      <c r="G32" s="206" t="e">
        <f t="shared" si="11"/>
        <v>#REF!</v>
      </c>
      <c r="H32" s="207" t="e">
        <f>Gantt!#REF!</f>
        <v>#REF!</v>
      </c>
      <c r="I32" s="208" t="e">
        <f t="shared" si="17"/>
        <v>#REF!</v>
      </c>
      <c r="J32" s="209"/>
      <c r="K32" s="202"/>
      <c r="L32" s="202"/>
      <c r="M32" s="202"/>
      <c r="N32" s="202"/>
      <c r="O32" s="202"/>
      <c r="P32" s="202"/>
      <c r="Q32" s="202"/>
      <c r="R32" s="202"/>
      <c r="S32" s="202"/>
      <c r="T32" s="202"/>
      <c r="U32" s="202"/>
      <c r="V32" s="202"/>
      <c r="W32" s="202"/>
      <c r="X32" s="202"/>
      <c r="Y32" s="202"/>
      <c r="Z32" s="202"/>
      <c r="AA32" s="202"/>
      <c r="AB32" s="202"/>
      <c r="AC32" s="202"/>
      <c r="AD32" s="202"/>
      <c r="AE32" s="202"/>
      <c r="AF32" s="202"/>
      <c r="AG32" s="202"/>
      <c r="AH32" s="202"/>
      <c r="AI32" s="202"/>
      <c r="AJ32" s="202"/>
      <c r="AK32" s="202"/>
      <c r="AL32" s="202"/>
      <c r="AM32" s="202"/>
      <c r="AN32" s="202"/>
      <c r="AO32" s="202"/>
      <c r="AP32" s="202"/>
      <c r="AQ32" s="202"/>
      <c r="AR32" s="202"/>
      <c r="AS32" s="202"/>
      <c r="AT32" s="202"/>
      <c r="AU32" s="202"/>
      <c r="AV32" s="202"/>
      <c r="AW32" s="202"/>
      <c r="AX32" s="202"/>
      <c r="AY32" s="202"/>
      <c r="AZ32" s="202"/>
      <c r="BA32" s="202"/>
      <c r="BB32" s="202"/>
      <c r="BC32" s="202"/>
      <c r="BD32" s="202"/>
      <c r="BE32" s="202"/>
      <c r="BF32" s="202"/>
      <c r="BG32" s="202"/>
      <c r="BH32" s="202"/>
      <c r="BI32" s="202"/>
      <c r="BJ32" s="202"/>
      <c r="BK32" s="202"/>
      <c r="BL32" s="202"/>
      <c r="BM32" s="202"/>
      <c r="BN32" s="202"/>
      <c r="BO32" s="202"/>
      <c r="BP32" s="202"/>
      <c r="BQ32" s="202"/>
      <c r="BR32" s="202"/>
      <c r="BS32" s="202"/>
      <c r="BT32" s="202"/>
      <c r="BU32" s="202"/>
    </row>
    <row r="33" spans="1:73" s="204" customFormat="1" ht="25.5" customHeight="1" x14ac:dyDescent="0.25">
      <c r="A33" s="202" t="str">
        <f>Gantt!A34</f>
        <v>4.6</v>
      </c>
      <c r="B33" s="203" t="str">
        <f>Gantt!C34</f>
        <v>Acquisizione ,raccordo e verifica dei dati  Meteo/DSS da sorgenti esterne</v>
      </c>
      <c r="D33" s="205"/>
      <c r="E33" s="211" t="e">
        <f>Gantt!#REF!</f>
        <v>#REF!</v>
      </c>
      <c r="F33" s="212" t="e">
        <f>Gantt!#REF!</f>
        <v>#REF!</v>
      </c>
      <c r="G33" s="206" t="e">
        <f t="shared" si="11"/>
        <v>#REF!</v>
      </c>
      <c r="H33" s="207" t="e">
        <f>Gantt!#REF!</f>
        <v>#REF!</v>
      </c>
      <c r="I33" s="208" t="e">
        <f t="shared" si="17"/>
        <v>#REF!</v>
      </c>
      <c r="J33" s="209"/>
      <c r="K33" s="202"/>
      <c r="L33" s="202"/>
      <c r="M33" s="202"/>
      <c r="N33" s="202"/>
      <c r="O33" s="202"/>
      <c r="P33" s="202"/>
      <c r="Q33" s="202"/>
      <c r="R33" s="202"/>
      <c r="S33" s="202"/>
      <c r="T33" s="202"/>
      <c r="U33" s="202"/>
      <c r="V33" s="202"/>
      <c r="W33" s="202"/>
      <c r="X33" s="202"/>
      <c r="Y33" s="202"/>
      <c r="Z33" s="202"/>
      <c r="AA33" s="202"/>
      <c r="AB33" s="202"/>
      <c r="AC33" s="202"/>
      <c r="AD33" s="202"/>
      <c r="AE33" s="202"/>
      <c r="AF33" s="202"/>
      <c r="AG33" s="202"/>
      <c r="AH33" s="202"/>
      <c r="AI33" s="202"/>
      <c r="AJ33" s="202"/>
      <c r="AK33" s="202"/>
      <c r="AL33" s="202"/>
      <c r="AM33" s="202"/>
      <c r="AN33" s="202"/>
      <c r="AO33" s="202"/>
      <c r="AP33" s="202"/>
      <c r="AQ33" s="202"/>
      <c r="AR33" s="202"/>
      <c r="AS33" s="202"/>
      <c r="AT33" s="202"/>
      <c r="AU33" s="202"/>
      <c r="AV33" s="202"/>
      <c r="AW33" s="202"/>
      <c r="AX33" s="202"/>
      <c r="AY33" s="202"/>
      <c r="AZ33" s="202"/>
      <c r="BA33" s="202"/>
      <c r="BB33" s="202"/>
      <c r="BC33" s="202"/>
      <c r="BD33" s="202"/>
      <c r="BE33" s="202"/>
      <c r="BF33" s="202"/>
      <c r="BG33" s="202"/>
      <c r="BH33" s="202"/>
      <c r="BI33" s="202"/>
      <c r="BJ33" s="202"/>
      <c r="BK33" s="202"/>
      <c r="BL33" s="202"/>
      <c r="BM33" s="202"/>
      <c r="BN33" s="202"/>
      <c r="BO33" s="202"/>
      <c r="BP33" s="202"/>
      <c r="BQ33" s="202"/>
      <c r="BR33" s="202"/>
      <c r="BS33" s="202"/>
      <c r="BT33" s="202"/>
      <c r="BU33" s="202"/>
    </row>
    <row r="34" spans="1:73" s="204" customFormat="1" ht="25.5" customHeight="1" x14ac:dyDescent="0.25">
      <c r="A34" s="202" t="str">
        <f>Gantt!A35</f>
        <v>4.7</v>
      </c>
      <c r="B34" s="203" t="str">
        <f>Gantt!C35</f>
        <v>Report ARPA: dati di impiego dei prodotti fitosanitari</v>
      </c>
      <c r="D34" s="205"/>
      <c r="E34" s="211" t="e">
        <f>Gantt!#REF!</f>
        <v>#REF!</v>
      </c>
      <c r="F34" s="212" t="e">
        <f>Gantt!#REF!</f>
        <v>#REF!</v>
      </c>
      <c r="G34" s="206" t="e">
        <f t="shared" si="11"/>
        <v>#REF!</v>
      </c>
      <c r="H34" s="207" t="e">
        <f>Gantt!#REF!</f>
        <v>#REF!</v>
      </c>
      <c r="I34" s="208" t="e">
        <f t="shared" si="17"/>
        <v>#REF!</v>
      </c>
      <c r="J34" s="209"/>
      <c r="K34" s="202"/>
      <c r="L34" s="202"/>
      <c r="M34" s="202"/>
      <c r="N34" s="202"/>
      <c r="O34" s="202"/>
      <c r="P34" s="202"/>
      <c r="Q34" s="202"/>
      <c r="R34" s="202"/>
      <c r="S34" s="202"/>
      <c r="T34" s="202"/>
      <c r="U34" s="202"/>
      <c r="V34" s="202"/>
      <c r="W34" s="202"/>
      <c r="X34" s="202"/>
      <c r="Y34" s="202"/>
      <c r="Z34" s="202"/>
      <c r="AA34" s="202"/>
      <c r="AB34" s="202"/>
      <c r="AC34" s="202"/>
      <c r="AD34" s="202"/>
      <c r="AE34" s="202"/>
      <c r="AF34" s="202"/>
      <c r="AG34" s="202"/>
      <c r="AH34" s="202"/>
      <c r="AI34" s="202"/>
      <c r="AJ34" s="202"/>
      <c r="AK34" s="202"/>
      <c r="AL34" s="202"/>
      <c r="AM34" s="202"/>
      <c r="AN34" s="202"/>
      <c r="AO34" s="202"/>
      <c r="AP34" s="202"/>
      <c r="AQ34" s="202"/>
      <c r="AR34" s="202"/>
      <c r="AS34" s="202"/>
      <c r="AT34" s="202"/>
      <c r="AU34" s="202"/>
      <c r="AV34" s="202"/>
      <c r="AW34" s="202"/>
      <c r="AX34" s="202"/>
      <c r="AY34" s="202"/>
      <c r="AZ34" s="202"/>
      <c r="BA34" s="202"/>
      <c r="BB34" s="202"/>
      <c r="BC34" s="202"/>
      <c r="BD34" s="202"/>
      <c r="BE34" s="202"/>
      <c r="BF34" s="202"/>
      <c r="BG34" s="202"/>
      <c r="BH34" s="202"/>
      <c r="BI34" s="202"/>
      <c r="BJ34" s="202"/>
      <c r="BK34" s="202"/>
      <c r="BL34" s="202"/>
      <c r="BM34" s="202"/>
      <c r="BN34" s="202"/>
      <c r="BO34" s="202"/>
      <c r="BP34" s="202"/>
      <c r="BQ34" s="202"/>
      <c r="BR34" s="202"/>
      <c r="BS34" s="202"/>
      <c r="BT34" s="202"/>
      <c r="BU34" s="202"/>
    </row>
    <row r="35" spans="1:73" s="204" customFormat="1" ht="25.5" customHeight="1" x14ac:dyDescent="0.25">
      <c r="A35" s="202" t="str">
        <f>Gantt!A36</f>
        <v>4.8</v>
      </c>
      <c r="B35" s="203" t="str">
        <f>Gantt!C36</f>
        <v>Revisione dei moduli QUADERNO SQNPI e BIO  per essere utilizzabili e integrabili  sulle nuove tecnologie introdotte con il paradigma PCG</v>
      </c>
      <c r="D35" s="205"/>
      <c r="E35" s="211" t="e">
        <f>Gantt!#REF!</f>
        <v>#REF!</v>
      </c>
      <c r="F35" s="212" t="e">
        <f>Gantt!#REF!</f>
        <v>#REF!</v>
      </c>
      <c r="G35" s="206" t="e">
        <f t="shared" si="11"/>
        <v>#REF!</v>
      </c>
      <c r="H35" s="207" t="e">
        <f>Gantt!#REF!</f>
        <v>#REF!</v>
      </c>
      <c r="I35" s="208" t="e">
        <f t="shared" si="17"/>
        <v>#REF!</v>
      </c>
      <c r="J35" s="209"/>
      <c r="K35" s="202"/>
      <c r="L35" s="202"/>
      <c r="M35" s="202"/>
      <c r="N35" s="202"/>
      <c r="O35" s="202"/>
      <c r="P35" s="202"/>
      <c r="Q35" s="202"/>
      <c r="R35" s="202"/>
      <c r="S35" s="202"/>
      <c r="T35" s="202"/>
      <c r="U35" s="202"/>
      <c r="V35" s="202"/>
      <c r="W35" s="202"/>
      <c r="X35" s="202"/>
      <c r="Y35" s="202"/>
      <c r="Z35" s="202"/>
      <c r="AA35" s="202"/>
      <c r="AB35" s="202"/>
      <c r="AC35" s="202"/>
      <c r="AD35" s="202"/>
      <c r="AE35" s="202"/>
      <c r="AF35" s="202"/>
      <c r="AG35" s="202"/>
      <c r="AH35" s="202"/>
      <c r="AI35" s="202"/>
      <c r="AJ35" s="202"/>
      <c r="AK35" s="202"/>
      <c r="AL35" s="202"/>
      <c r="AM35" s="202"/>
      <c r="AN35" s="202"/>
      <c r="AO35" s="202"/>
      <c r="AP35" s="202"/>
      <c r="AQ35" s="202"/>
      <c r="AR35" s="202"/>
      <c r="AS35" s="202"/>
      <c r="AT35" s="202"/>
      <c r="AU35" s="202"/>
      <c r="AV35" s="202"/>
      <c r="AW35" s="202"/>
      <c r="AX35" s="202"/>
      <c r="AY35" s="202"/>
      <c r="AZ35" s="202"/>
      <c r="BA35" s="202"/>
      <c r="BB35" s="202"/>
      <c r="BC35" s="202"/>
      <c r="BD35" s="202"/>
      <c r="BE35" s="202"/>
      <c r="BF35" s="202"/>
      <c r="BG35" s="202"/>
      <c r="BH35" s="202"/>
      <c r="BI35" s="202"/>
      <c r="BJ35" s="202"/>
      <c r="BK35" s="202"/>
      <c r="BL35" s="202"/>
      <c r="BM35" s="202"/>
      <c r="BN35" s="202"/>
      <c r="BO35" s="202"/>
      <c r="BP35" s="202"/>
      <c r="BQ35" s="202"/>
      <c r="BR35" s="202"/>
      <c r="BS35" s="202"/>
      <c r="BT35" s="202"/>
      <c r="BU35" s="202"/>
    </row>
    <row r="36" spans="1:73" s="204" customFormat="1" ht="25.5" customHeight="1" x14ac:dyDescent="0.25">
      <c r="A36" s="202" t="str">
        <f>Gantt!A37</f>
        <v>4.9</v>
      </c>
      <c r="B36" s="203" t="str">
        <f>Gantt!C37</f>
        <v>Attivazione registri bio nel contesto del  QDCA GARI, setting, configurazioni, profilazioni utenti, ecc.</v>
      </c>
      <c r="D36" s="205"/>
      <c r="E36" s="211" t="e">
        <f>Gantt!#REF!</f>
        <v>#REF!</v>
      </c>
      <c r="F36" s="212" t="e">
        <f>Gantt!#REF!</f>
        <v>#REF!</v>
      </c>
      <c r="G36" s="206" t="e">
        <f t="shared" si="11"/>
        <v>#REF!</v>
      </c>
      <c r="H36" s="207" t="e">
        <f>Gantt!#REF!</f>
        <v>#REF!</v>
      </c>
      <c r="I36" s="208" t="e">
        <f t="shared" si="17"/>
        <v>#REF!</v>
      </c>
      <c r="J36" s="209"/>
      <c r="K36" s="202"/>
      <c r="L36" s="202"/>
      <c r="M36" s="202"/>
      <c r="N36" s="202"/>
      <c r="O36" s="202"/>
      <c r="P36" s="202"/>
      <c r="Q36" s="202"/>
      <c r="R36" s="202"/>
      <c r="S36" s="202"/>
      <c r="T36" s="202"/>
      <c r="U36" s="202"/>
      <c r="V36" s="202"/>
      <c r="W36" s="202"/>
      <c r="X36" s="202"/>
      <c r="Y36" s="202"/>
      <c r="Z36" s="202"/>
      <c r="AA36" s="202"/>
      <c r="AB36" s="202"/>
      <c r="AC36" s="202"/>
      <c r="AD36" s="202"/>
      <c r="AE36" s="202"/>
      <c r="AF36" s="202"/>
      <c r="AG36" s="202"/>
      <c r="AH36" s="202"/>
      <c r="AI36" s="202"/>
      <c r="AJ36" s="202"/>
      <c r="AK36" s="202"/>
      <c r="AL36" s="202"/>
      <c r="AM36" s="202"/>
      <c r="AN36" s="202"/>
      <c r="AO36" s="202"/>
      <c r="AP36" s="202"/>
      <c r="AQ36" s="202"/>
      <c r="AR36" s="202"/>
      <c r="AS36" s="202"/>
      <c r="AT36" s="202"/>
      <c r="AU36" s="202"/>
      <c r="AV36" s="202"/>
      <c r="AW36" s="202"/>
      <c r="AX36" s="202"/>
      <c r="AY36" s="202"/>
      <c r="AZ36" s="202"/>
      <c r="BA36" s="202"/>
      <c r="BB36" s="202"/>
      <c r="BC36" s="202"/>
      <c r="BD36" s="202"/>
      <c r="BE36" s="202"/>
      <c r="BF36" s="202"/>
      <c r="BG36" s="202"/>
      <c r="BH36" s="202"/>
      <c r="BI36" s="202"/>
      <c r="BJ36" s="202"/>
      <c r="BK36" s="202"/>
      <c r="BL36" s="202"/>
      <c r="BM36" s="202"/>
      <c r="BN36" s="202"/>
      <c r="BO36" s="202"/>
      <c r="BP36" s="202"/>
      <c r="BQ36" s="202"/>
      <c r="BR36" s="202"/>
      <c r="BS36" s="202"/>
      <c r="BT36" s="202"/>
      <c r="BU36" s="202"/>
    </row>
    <row r="37" spans="1:73" s="201" customFormat="1" ht="25.5" customHeight="1" x14ac:dyDescent="0.25">
      <c r="A37" s="190"/>
      <c r="B37" s="191" t="str">
        <f>Gantt!C38</f>
        <v xml:space="preserve">ATTIVITA' DI CARATTERE CONTINUATIVO (NON PROGETTUALE)
</v>
      </c>
      <c r="C37" s="192"/>
      <c r="D37" s="193"/>
      <c r="E37" s="211"/>
      <c r="F37" s="212"/>
      <c r="G37" s="206"/>
      <c r="H37" s="207"/>
      <c r="I37" s="198" t="str">
        <f t="shared" si="17"/>
        <v xml:space="preserve"> - </v>
      </c>
      <c r="J37" s="199"/>
      <c r="K37" s="200"/>
      <c r="L37" s="200"/>
      <c r="M37" s="200"/>
      <c r="N37" s="200"/>
      <c r="O37" s="200"/>
      <c r="P37" s="200"/>
      <c r="Q37" s="200"/>
      <c r="R37" s="200"/>
      <c r="S37" s="200"/>
      <c r="T37" s="200"/>
      <c r="U37" s="200"/>
      <c r="V37" s="200"/>
      <c r="W37" s="200"/>
      <c r="X37" s="200"/>
      <c r="Y37" s="200"/>
      <c r="Z37" s="200"/>
      <c r="AA37" s="200"/>
      <c r="AB37" s="200"/>
      <c r="AC37" s="200"/>
      <c r="AD37" s="200"/>
      <c r="AE37" s="200"/>
      <c r="AF37" s="200"/>
      <c r="AG37" s="200"/>
      <c r="AH37" s="200"/>
      <c r="AI37" s="200"/>
      <c r="AJ37" s="200"/>
      <c r="AK37" s="200"/>
      <c r="AL37" s="200"/>
      <c r="AM37" s="200"/>
      <c r="AN37" s="200"/>
      <c r="AO37" s="200"/>
      <c r="AP37" s="200"/>
      <c r="AQ37" s="200"/>
      <c r="AR37" s="200"/>
      <c r="AS37" s="200"/>
      <c r="AT37" s="200"/>
      <c r="AU37" s="200"/>
      <c r="AV37" s="200"/>
      <c r="AW37" s="200"/>
      <c r="AX37" s="200"/>
      <c r="AY37" s="200"/>
      <c r="AZ37" s="200"/>
      <c r="BA37" s="200"/>
      <c r="BB37" s="200"/>
      <c r="BC37" s="200"/>
      <c r="BD37" s="200"/>
      <c r="BE37" s="200"/>
      <c r="BF37" s="200"/>
      <c r="BG37" s="200"/>
      <c r="BH37" s="200"/>
      <c r="BI37" s="200"/>
      <c r="BJ37" s="200"/>
      <c r="BK37" s="200"/>
      <c r="BL37" s="200"/>
      <c r="BM37" s="200"/>
      <c r="BN37" s="200"/>
      <c r="BO37" s="200"/>
      <c r="BP37" s="200"/>
      <c r="BQ37" s="200"/>
      <c r="BR37" s="200"/>
      <c r="BS37" s="200"/>
      <c r="BT37" s="200"/>
      <c r="BU37" s="200"/>
    </row>
    <row r="38" spans="1:73" s="204" customFormat="1" ht="25.5" customHeight="1" x14ac:dyDescent="0.25">
      <c r="A38" s="202">
        <f>Gantt!A39</f>
        <v>5</v>
      </c>
      <c r="B38" s="219" t="str">
        <f>Gantt!C39</f>
        <v>SERVIZI DI SUPPORTO SPECIALISTICO APPLICATIVO</v>
      </c>
      <c r="C38" s="220"/>
      <c r="D38" s="221"/>
      <c r="E38" s="222"/>
      <c r="F38" s="223"/>
      <c r="G38" s="224"/>
      <c r="H38" s="225"/>
      <c r="I38" s="224" t="str">
        <f t="shared" si="17"/>
        <v xml:space="preserve"> - </v>
      </c>
      <c r="J38" s="209"/>
      <c r="K38" s="202"/>
      <c r="L38" s="202"/>
      <c r="M38" s="202"/>
      <c r="N38" s="202"/>
      <c r="O38" s="202"/>
      <c r="P38" s="202"/>
      <c r="Q38" s="202"/>
      <c r="R38" s="202"/>
      <c r="S38" s="202"/>
      <c r="T38" s="202"/>
      <c r="U38" s="202"/>
      <c r="V38" s="202"/>
      <c r="W38" s="202"/>
      <c r="X38" s="202"/>
      <c r="Y38" s="202"/>
      <c r="Z38" s="202"/>
      <c r="AA38" s="202"/>
      <c r="AB38" s="202"/>
      <c r="AC38" s="202"/>
      <c r="AD38" s="202"/>
      <c r="AE38" s="202"/>
      <c r="AF38" s="202"/>
      <c r="AG38" s="202"/>
      <c r="AH38" s="202"/>
      <c r="AI38" s="202"/>
      <c r="AJ38" s="202"/>
      <c r="AK38" s="202"/>
      <c r="AL38" s="202"/>
      <c r="AM38" s="202"/>
      <c r="AN38" s="202"/>
      <c r="AO38" s="202"/>
      <c r="AP38" s="202"/>
      <c r="AQ38" s="202"/>
      <c r="AR38" s="202"/>
      <c r="AS38" s="202"/>
      <c r="AT38" s="202"/>
      <c r="AU38" s="202"/>
      <c r="AV38" s="202"/>
      <c r="AW38" s="202"/>
      <c r="AX38" s="202"/>
      <c r="AY38" s="202"/>
      <c r="AZ38" s="202"/>
      <c r="BA38" s="202"/>
      <c r="BB38" s="202"/>
      <c r="BC38" s="202"/>
      <c r="BD38" s="202"/>
      <c r="BE38" s="202"/>
      <c r="BF38" s="202"/>
      <c r="BG38" s="202"/>
      <c r="BH38" s="202"/>
      <c r="BI38" s="202"/>
      <c r="BJ38" s="202"/>
      <c r="BK38" s="202"/>
      <c r="BL38" s="202"/>
      <c r="BM38" s="202"/>
      <c r="BN38" s="202"/>
      <c r="BO38" s="202"/>
      <c r="BP38" s="202"/>
      <c r="BQ38" s="202"/>
      <c r="BR38" s="202"/>
      <c r="BS38" s="202"/>
      <c r="BT38" s="202"/>
      <c r="BU38" s="202"/>
    </row>
    <row r="39" spans="1:73" s="204" customFormat="1" ht="25.5" customHeight="1" x14ac:dyDescent="0.25">
      <c r="A39" s="202" t="str">
        <f>Gantt!A40</f>
        <v>5.1</v>
      </c>
      <c r="B39" s="213" t="str">
        <f>Gantt!C40</f>
        <v>Supporto Specialistico  2024</v>
      </c>
      <c r="D39" s="214"/>
      <c r="E39" s="215"/>
      <c r="F39" s="216"/>
      <c r="G39" s="217"/>
      <c r="H39" s="218"/>
      <c r="I39" s="217"/>
      <c r="J39" s="209"/>
      <c r="K39" s="202"/>
      <c r="L39" s="202"/>
      <c r="M39" s="202"/>
      <c r="N39" s="202"/>
      <c r="O39" s="202"/>
      <c r="P39" s="202"/>
      <c r="Q39" s="202"/>
      <c r="R39" s="202"/>
      <c r="S39" s="202"/>
      <c r="T39" s="202"/>
      <c r="U39" s="202"/>
      <c r="V39" s="202"/>
      <c r="W39" s="202"/>
      <c r="X39" s="202"/>
      <c r="Y39" s="202"/>
      <c r="Z39" s="202"/>
      <c r="AA39" s="202"/>
      <c r="AB39" s="202"/>
      <c r="AC39" s="202"/>
      <c r="AD39" s="202"/>
      <c r="AE39" s="202"/>
      <c r="AF39" s="202"/>
      <c r="AG39" s="202"/>
      <c r="AH39" s="202"/>
      <c r="AI39" s="202"/>
      <c r="AJ39" s="202"/>
      <c r="AK39" s="202"/>
      <c r="AL39" s="202"/>
      <c r="AM39" s="202"/>
      <c r="AN39" s="202"/>
      <c r="AO39" s="202"/>
      <c r="AP39" s="202"/>
      <c r="AQ39" s="202"/>
      <c r="AR39" s="202"/>
      <c r="AS39" s="202"/>
      <c r="AT39" s="202"/>
      <c r="AU39" s="202"/>
      <c r="AV39" s="202"/>
      <c r="AW39" s="202"/>
      <c r="AX39" s="202"/>
      <c r="AY39" s="202"/>
      <c r="AZ39" s="202"/>
      <c r="BA39" s="202"/>
      <c r="BB39" s="202"/>
      <c r="BC39" s="202"/>
      <c r="BD39" s="202"/>
      <c r="BE39" s="202"/>
      <c r="BF39" s="202"/>
      <c r="BG39" s="202"/>
      <c r="BH39" s="202"/>
      <c r="BI39" s="202"/>
      <c r="BJ39" s="202"/>
      <c r="BK39" s="202"/>
      <c r="BL39" s="202"/>
      <c r="BM39" s="202"/>
      <c r="BN39" s="202"/>
      <c r="BO39" s="202"/>
      <c r="BP39" s="202"/>
      <c r="BQ39" s="202"/>
      <c r="BR39" s="202"/>
      <c r="BS39" s="202"/>
      <c r="BT39" s="202"/>
      <c r="BU39" s="202"/>
    </row>
    <row r="40" spans="1:73" s="204" customFormat="1" ht="25.5" customHeight="1" x14ac:dyDescent="0.25">
      <c r="A40" s="202" t="str">
        <f>Gantt!A41</f>
        <v>5.1.1</v>
      </c>
      <c r="B40" s="203" t="str">
        <f>Gantt!C41</f>
        <v>Supporto Specialistico - I TRIM 2024</v>
      </c>
      <c r="D40" s="205"/>
      <c r="E40" s="211" t="e">
        <f>Gantt!#REF!</f>
        <v>#REF!</v>
      </c>
      <c r="F40" s="212" t="e">
        <f>Gantt!#REF!</f>
        <v>#REF!</v>
      </c>
      <c r="G40" s="206" t="e">
        <f t="shared" si="11"/>
        <v>#REF!</v>
      </c>
      <c r="H40" s="207" t="e">
        <f>Gantt!#REF!</f>
        <v>#REF!</v>
      </c>
      <c r="I40" s="208" t="e">
        <f t="shared" ref="I40" si="18">IF(OR(F40=0,E40=0)," - ",NETWORKDAYS(E40,F40))</f>
        <v>#REF!</v>
      </c>
      <c r="J40" s="209"/>
      <c r="K40" s="202"/>
      <c r="L40" s="202"/>
      <c r="M40" s="202"/>
      <c r="N40" s="202"/>
      <c r="O40" s="202"/>
      <c r="P40" s="202"/>
      <c r="Q40" s="202"/>
      <c r="R40" s="202"/>
      <c r="S40" s="202"/>
      <c r="T40" s="202"/>
      <c r="U40" s="202"/>
      <c r="V40" s="202"/>
      <c r="W40" s="202"/>
      <c r="X40" s="202"/>
      <c r="Y40" s="202"/>
      <c r="Z40" s="202"/>
      <c r="AA40" s="202"/>
      <c r="AB40" s="202"/>
      <c r="AC40" s="202"/>
      <c r="AD40" s="202"/>
      <c r="AE40" s="202"/>
      <c r="AF40" s="202"/>
      <c r="AG40" s="202"/>
      <c r="AH40" s="202"/>
      <c r="AI40" s="202"/>
      <c r="AJ40" s="202"/>
      <c r="AK40" s="202"/>
      <c r="AL40" s="202"/>
      <c r="AM40" s="202"/>
      <c r="AN40" s="202"/>
      <c r="AO40" s="202"/>
      <c r="AP40" s="202"/>
      <c r="AQ40" s="202"/>
      <c r="AR40" s="202"/>
      <c r="AS40" s="202"/>
      <c r="AT40" s="202"/>
      <c r="AU40" s="202"/>
      <c r="AV40" s="202"/>
      <c r="AW40" s="202"/>
      <c r="AX40" s="202"/>
      <c r="AY40" s="202"/>
      <c r="AZ40" s="202"/>
      <c r="BA40" s="202"/>
      <c r="BB40" s="202"/>
      <c r="BC40" s="202"/>
      <c r="BD40" s="202"/>
      <c r="BE40" s="202"/>
      <c r="BF40" s="202"/>
      <c r="BG40" s="202"/>
      <c r="BH40" s="202"/>
      <c r="BI40" s="202"/>
      <c r="BJ40" s="202"/>
      <c r="BK40" s="202"/>
      <c r="BL40" s="202"/>
      <c r="BM40" s="202"/>
      <c r="BN40" s="202"/>
      <c r="BO40" s="202"/>
      <c r="BP40" s="202"/>
      <c r="BQ40" s="202"/>
      <c r="BR40" s="202"/>
      <c r="BS40" s="202"/>
      <c r="BT40" s="202"/>
      <c r="BU40" s="202"/>
    </row>
    <row r="41" spans="1:73" s="204" customFormat="1" ht="25.5" customHeight="1" x14ac:dyDescent="0.25">
      <c r="A41" s="202" t="str">
        <f>Gantt!A42</f>
        <v>5.1.2</v>
      </c>
      <c r="B41" s="203" t="str">
        <f>Gantt!C42</f>
        <v>Supporto Specialistico - II TRIM 2024</v>
      </c>
      <c r="D41" s="205"/>
      <c r="E41" s="211" t="e">
        <f>Gantt!#REF!</f>
        <v>#REF!</v>
      </c>
      <c r="F41" s="212" t="e">
        <f>Gantt!#REF!</f>
        <v>#REF!</v>
      </c>
      <c r="G41" s="206" t="e">
        <f t="shared" si="11"/>
        <v>#REF!</v>
      </c>
      <c r="H41" s="207" t="e">
        <f>Gantt!#REF!</f>
        <v>#REF!</v>
      </c>
      <c r="I41" s="208" t="e">
        <f t="shared" ref="I41:I43" si="19">IF(OR(F41=0,E41=0)," - ",NETWORKDAYS(E41,F41))</f>
        <v>#REF!</v>
      </c>
      <c r="J41" s="209"/>
      <c r="K41" s="202"/>
      <c r="L41" s="202"/>
      <c r="M41" s="202"/>
      <c r="N41" s="202"/>
      <c r="O41" s="202"/>
      <c r="P41" s="202"/>
      <c r="Q41" s="202"/>
      <c r="R41" s="202"/>
      <c r="S41" s="202"/>
      <c r="T41" s="202"/>
      <c r="U41" s="202"/>
      <c r="V41" s="202"/>
      <c r="W41" s="202"/>
      <c r="X41" s="202"/>
      <c r="Y41" s="202"/>
      <c r="Z41" s="202"/>
      <c r="AA41" s="202"/>
      <c r="AB41" s="202"/>
      <c r="AC41" s="202"/>
      <c r="AD41" s="202"/>
      <c r="AE41" s="202"/>
      <c r="AF41" s="202"/>
      <c r="AG41" s="202"/>
      <c r="AH41" s="202"/>
      <c r="AI41" s="202"/>
      <c r="AJ41" s="202"/>
      <c r="AK41" s="202"/>
      <c r="AL41" s="202"/>
      <c r="AM41" s="202"/>
      <c r="AN41" s="202"/>
      <c r="AO41" s="202"/>
      <c r="AP41" s="202"/>
      <c r="AQ41" s="202"/>
      <c r="AR41" s="202"/>
      <c r="AS41" s="202"/>
      <c r="AT41" s="202"/>
      <c r="AU41" s="202"/>
      <c r="AV41" s="202"/>
      <c r="AW41" s="202"/>
      <c r="AX41" s="202"/>
      <c r="AY41" s="202"/>
      <c r="AZ41" s="202"/>
      <c r="BA41" s="202"/>
      <c r="BB41" s="202"/>
      <c r="BC41" s="202"/>
      <c r="BD41" s="202"/>
      <c r="BE41" s="202"/>
      <c r="BF41" s="202"/>
      <c r="BG41" s="202"/>
      <c r="BH41" s="202"/>
      <c r="BI41" s="202"/>
      <c r="BJ41" s="202"/>
      <c r="BK41" s="202"/>
      <c r="BL41" s="202"/>
      <c r="BM41" s="202"/>
      <c r="BN41" s="202"/>
      <c r="BO41" s="202"/>
      <c r="BP41" s="202"/>
      <c r="BQ41" s="202"/>
      <c r="BR41" s="202"/>
      <c r="BS41" s="202"/>
      <c r="BT41" s="202"/>
      <c r="BU41" s="202"/>
    </row>
    <row r="42" spans="1:73" s="204" customFormat="1" ht="25.5" customHeight="1" x14ac:dyDescent="0.25">
      <c r="A42" s="202" t="str">
        <f>Gantt!A43</f>
        <v>5.1.3</v>
      </c>
      <c r="B42" s="203" t="str">
        <f>Gantt!C43</f>
        <v>Supporto Specialistico -  III TRIM 2024</v>
      </c>
      <c r="D42" s="205"/>
      <c r="E42" s="211" t="e">
        <f>Gantt!#REF!</f>
        <v>#REF!</v>
      </c>
      <c r="F42" s="212" t="e">
        <f>Gantt!#REF!</f>
        <v>#REF!</v>
      </c>
      <c r="G42" s="206" t="e">
        <f t="shared" si="11"/>
        <v>#REF!</v>
      </c>
      <c r="H42" s="207" t="e">
        <f>Gantt!#REF!</f>
        <v>#REF!</v>
      </c>
      <c r="I42" s="208" t="e">
        <f t="shared" si="19"/>
        <v>#REF!</v>
      </c>
      <c r="J42" s="209"/>
      <c r="K42" s="202"/>
      <c r="L42" s="202"/>
      <c r="M42" s="202"/>
      <c r="N42" s="202"/>
      <c r="O42" s="202"/>
      <c r="P42" s="202"/>
      <c r="Q42" s="202"/>
      <c r="R42" s="202"/>
      <c r="S42" s="202"/>
      <c r="T42" s="202"/>
      <c r="U42" s="202"/>
      <c r="V42" s="202"/>
      <c r="W42" s="202"/>
      <c r="X42" s="202"/>
      <c r="Y42" s="202"/>
      <c r="Z42" s="202"/>
      <c r="AA42" s="202"/>
      <c r="AB42" s="202"/>
      <c r="AC42" s="202"/>
      <c r="AD42" s="202"/>
      <c r="AE42" s="202"/>
      <c r="AF42" s="202"/>
      <c r="AG42" s="202"/>
      <c r="AH42" s="202"/>
      <c r="AI42" s="202"/>
      <c r="AJ42" s="202"/>
      <c r="AK42" s="202"/>
      <c r="AL42" s="202"/>
      <c r="AM42" s="202"/>
      <c r="AN42" s="202"/>
      <c r="AO42" s="202"/>
      <c r="AP42" s="202"/>
      <c r="AQ42" s="202"/>
      <c r="AR42" s="202"/>
      <c r="AS42" s="202"/>
      <c r="AT42" s="202"/>
      <c r="AU42" s="202"/>
      <c r="AV42" s="202"/>
      <c r="AW42" s="202"/>
      <c r="AX42" s="202"/>
      <c r="AY42" s="202"/>
      <c r="AZ42" s="202"/>
      <c r="BA42" s="202"/>
      <c r="BB42" s="202"/>
      <c r="BC42" s="202"/>
      <c r="BD42" s="202"/>
      <c r="BE42" s="202"/>
      <c r="BF42" s="202"/>
      <c r="BG42" s="202"/>
      <c r="BH42" s="202"/>
      <c r="BI42" s="202"/>
      <c r="BJ42" s="202"/>
      <c r="BK42" s="202"/>
      <c r="BL42" s="202"/>
      <c r="BM42" s="202"/>
      <c r="BN42" s="202"/>
      <c r="BO42" s="202"/>
      <c r="BP42" s="202"/>
      <c r="BQ42" s="202"/>
      <c r="BR42" s="202"/>
      <c r="BS42" s="202"/>
      <c r="BT42" s="202"/>
      <c r="BU42" s="202"/>
    </row>
    <row r="43" spans="1:73" s="204" customFormat="1" ht="25.5" customHeight="1" x14ac:dyDescent="0.25">
      <c r="A43" s="202" t="str">
        <f>Gantt!A44</f>
        <v>5.1.4</v>
      </c>
      <c r="B43" s="203" t="str">
        <f>Gantt!C44</f>
        <v xml:space="preserve">Supporto Specialistico -  IV TRIM 2024 </v>
      </c>
      <c r="D43" s="205"/>
      <c r="E43" s="211" t="e">
        <f>Gantt!#REF!</f>
        <v>#REF!</v>
      </c>
      <c r="F43" s="212" t="e">
        <f>Gantt!#REF!</f>
        <v>#REF!</v>
      </c>
      <c r="G43" s="206" t="e">
        <f t="shared" si="11"/>
        <v>#REF!</v>
      </c>
      <c r="H43" s="207" t="e">
        <f>Gantt!#REF!</f>
        <v>#REF!</v>
      </c>
      <c r="I43" s="208" t="e">
        <f t="shared" si="19"/>
        <v>#REF!</v>
      </c>
      <c r="J43" s="209"/>
      <c r="K43" s="202"/>
      <c r="L43" s="202"/>
      <c r="M43" s="202"/>
      <c r="N43" s="202"/>
      <c r="O43" s="202"/>
      <c r="P43" s="202"/>
      <c r="Q43" s="202"/>
      <c r="R43" s="202"/>
      <c r="S43" s="202"/>
      <c r="T43" s="202"/>
      <c r="U43" s="202"/>
      <c r="V43" s="202"/>
      <c r="W43" s="202"/>
      <c r="X43" s="202"/>
      <c r="Y43" s="202"/>
      <c r="Z43" s="202"/>
      <c r="AA43" s="202"/>
      <c r="AB43" s="202"/>
      <c r="AC43" s="202"/>
      <c r="AD43" s="202"/>
      <c r="AE43" s="202"/>
      <c r="AF43" s="202"/>
      <c r="AG43" s="202"/>
      <c r="AH43" s="202"/>
      <c r="AI43" s="202"/>
      <c r="AJ43" s="202"/>
      <c r="AK43" s="202"/>
      <c r="AL43" s="202"/>
      <c r="AM43" s="202"/>
      <c r="AN43" s="202"/>
      <c r="AO43" s="202"/>
      <c r="AP43" s="202"/>
      <c r="AQ43" s="202"/>
      <c r="AR43" s="202"/>
      <c r="AS43" s="202"/>
      <c r="AT43" s="202"/>
      <c r="AU43" s="202"/>
      <c r="AV43" s="202"/>
      <c r="AW43" s="202"/>
      <c r="AX43" s="202"/>
      <c r="AY43" s="202"/>
      <c r="AZ43" s="202"/>
      <c r="BA43" s="202"/>
      <c r="BB43" s="202"/>
      <c r="BC43" s="202"/>
      <c r="BD43" s="202"/>
      <c r="BE43" s="202"/>
      <c r="BF43" s="202"/>
      <c r="BG43" s="202"/>
      <c r="BH43" s="202"/>
      <c r="BI43" s="202"/>
      <c r="BJ43" s="202"/>
      <c r="BK43" s="202"/>
      <c r="BL43" s="202"/>
      <c r="BM43" s="202"/>
      <c r="BN43" s="202"/>
      <c r="BO43" s="202"/>
      <c r="BP43" s="202"/>
      <c r="BQ43" s="202"/>
      <c r="BR43" s="202"/>
      <c r="BS43" s="202"/>
      <c r="BT43" s="202"/>
      <c r="BU43" s="202"/>
    </row>
    <row r="44" spans="1:73" s="204" customFormat="1" ht="25.5" customHeight="1" x14ac:dyDescent="0.25">
      <c r="A44" s="202" t="str">
        <f>Gantt!A45</f>
        <v>5.2</v>
      </c>
      <c r="B44" s="213" t="str">
        <f>Gantt!C45</f>
        <v>Supporto Specialistio  2025</v>
      </c>
      <c r="D44" s="214"/>
      <c r="E44" s="215"/>
      <c r="F44" s="216"/>
      <c r="G44" s="217"/>
      <c r="H44" s="218"/>
      <c r="I44" s="217"/>
      <c r="J44" s="209"/>
      <c r="K44" s="202"/>
      <c r="L44" s="202"/>
      <c r="M44" s="202"/>
      <c r="N44" s="202"/>
      <c r="O44" s="202"/>
      <c r="P44" s="202"/>
      <c r="Q44" s="202"/>
      <c r="R44" s="202"/>
      <c r="S44" s="202"/>
      <c r="T44" s="202"/>
      <c r="U44" s="202"/>
      <c r="V44" s="202"/>
      <c r="W44" s="202"/>
      <c r="X44" s="202"/>
      <c r="Y44" s="202"/>
      <c r="Z44" s="202"/>
      <c r="AA44" s="202"/>
      <c r="AB44" s="202"/>
      <c r="AC44" s="202"/>
      <c r="AD44" s="202"/>
      <c r="AE44" s="202"/>
      <c r="AF44" s="202"/>
      <c r="AG44" s="202"/>
      <c r="AH44" s="202"/>
      <c r="AI44" s="202"/>
      <c r="AJ44" s="202"/>
      <c r="AK44" s="202"/>
      <c r="AL44" s="202"/>
      <c r="AM44" s="202"/>
      <c r="AN44" s="202"/>
      <c r="AO44" s="202"/>
      <c r="AP44" s="202"/>
      <c r="AQ44" s="202"/>
      <c r="AR44" s="202"/>
      <c r="AS44" s="202"/>
      <c r="AT44" s="202"/>
      <c r="AU44" s="202"/>
      <c r="AV44" s="202"/>
      <c r="AW44" s="202"/>
      <c r="AX44" s="202"/>
      <c r="AY44" s="202"/>
      <c r="AZ44" s="202"/>
      <c r="BA44" s="202"/>
      <c r="BB44" s="202"/>
      <c r="BC44" s="202"/>
      <c r="BD44" s="202"/>
      <c r="BE44" s="202"/>
      <c r="BF44" s="202"/>
      <c r="BG44" s="202"/>
      <c r="BH44" s="202"/>
      <c r="BI44" s="202"/>
      <c r="BJ44" s="202"/>
      <c r="BK44" s="202"/>
      <c r="BL44" s="202"/>
      <c r="BM44" s="202"/>
      <c r="BN44" s="202"/>
      <c r="BO44" s="202"/>
      <c r="BP44" s="202"/>
      <c r="BQ44" s="202"/>
      <c r="BR44" s="202"/>
      <c r="BS44" s="202"/>
      <c r="BT44" s="202"/>
      <c r="BU44" s="202"/>
    </row>
    <row r="45" spans="1:73" s="204" customFormat="1" ht="25.5" customHeight="1" x14ac:dyDescent="0.25">
      <c r="A45" s="202" t="str">
        <f>Gantt!A46</f>
        <v>5.2.1</v>
      </c>
      <c r="B45" s="203" t="str">
        <f>Gantt!C46</f>
        <v>Supporto Specialistico - I TRIM 2025</v>
      </c>
      <c r="D45" s="205"/>
      <c r="E45" s="211" t="e">
        <f>Gantt!#REF!</f>
        <v>#REF!</v>
      </c>
      <c r="F45" s="212" t="e">
        <f>Gantt!#REF!</f>
        <v>#REF!</v>
      </c>
      <c r="G45" s="206" t="e">
        <f t="shared" si="11"/>
        <v>#REF!</v>
      </c>
      <c r="H45" s="207" t="e">
        <f>Gantt!#REF!</f>
        <v>#REF!</v>
      </c>
      <c r="I45" s="208" t="e">
        <f t="shared" ref="I45:I51" si="20">IF(OR(F45=0,E45=0)," - ",NETWORKDAYS(E45,F45))</f>
        <v>#REF!</v>
      </c>
      <c r="J45" s="209"/>
      <c r="K45" s="202"/>
      <c r="L45" s="202"/>
      <c r="M45" s="202"/>
      <c r="N45" s="202"/>
      <c r="O45" s="202"/>
      <c r="P45" s="202"/>
      <c r="Q45" s="202"/>
      <c r="R45" s="202"/>
      <c r="S45" s="202"/>
      <c r="T45" s="202"/>
      <c r="U45" s="202"/>
      <c r="V45" s="202"/>
      <c r="W45" s="202"/>
      <c r="X45" s="202"/>
      <c r="Y45" s="202"/>
      <c r="Z45" s="202"/>
      <c r="AA45" s="202"/>
      <c r="AB45" s="202"/>
      <c r="AC45" s="202"/>
      <c r="AD45" s="202"/>
      <c r="AE45" s="202"/>
      <c r="AF45" s="202"/>
      <c r="AG45" s="202"/>
      <c r="AH45" s="202"/>
      <c r="AI45" s="202"/>
      <c r="AJ45" s="202"/>
      <c r="AK45" s="202"/>
      <c r="AL45" s="202"/>
      <c r="AM45" s="202"/>
      <c r="AN45" s="202"/>
      <c r="AO45" s="202"/>
      <c r="AP45" s="202"/>
      <c r="AQ45" s="202"/>
      <c r="AR45" s="202"/>
      <c r="AS45" s="202"/>
      <c r="AT45" s="202"/>
      <c r="AU45" s="202"/>
      <c r="AV45" s="202"/>
      <c r="AW45" s="202"/>
      <c r="AX45" s="202"/>
      <c r="AY45" s="202"/>
      <c r="AZ45" s="202"/>
      <c r="BA45" s="202"/>
      <c r="BB45" s="202"/>
      <c r="BC45" s="202"/>
      <c r="BD45" s="202"/>
      <c r="BE45" s="202"/>
      <c r="BF45" s="202"/>
      <c r="BG45" s="202"/>
      <c r="BH45" s="202"/>
      <c r="BI45" s="202"/>
      <c r="BJ45" s="202"/>
      <c r="BK45" s="202"/>
      <c r="BL45" s="202"/>
      <c r="BM45" s="202"/>
      <c r="BN45" s="202"/>
      <c r="BO45" s="202"/>
      <c r="BP45" s="202"/>
      <c r="BQ45" s="202"/>
      <c r="BR45" s="202"/>
      <c r="BS45" s="202"/>
      <c r="BT45" s="202"/>
      <c r="BU45" s="202"/>
    </row>
    <row r="46" spans="1:73" s="204" customFormat="1" ht="25.5" customHeight="1" x14ac:dyDescent="0.25">
      <c r="A46" s="202" t="str">
        <f>Gantt!A47</f>
        <v>5.2.2</v>
      </c>
      <c r="B46" s="203" t="str">
        <f>Gantt!C47</f>
        <v>Supporto Specialistico - II TRIM 2025</v>
      </c>
      <c r="D46" s="205"/>
      <c r="E46" s="211" t="e">
        <f>Gantt!#REF!</f>
        <v>#REF!</v>
      </c>
      <c r="F46" s="212" t="e">
        <f>Gantt!#REF!</f>
        <v>#REF!</v>
      </c>
      <c r="G46" s="206" t="e">
        <f t="shared" si="11"/>
        <v>#REF!</v>
      </c>
      <c r="H46" s="207" t="e">
        <f>Gantt!#REF!</f>
        <v>#REF!</v>
      </c>
      <c r="I46" s="208" t="e">
        <f t="shared" si="20"/>
        <v>#REF!</v>
      </c>
      <c r="J46" s="209"/>
      <c r="K46" s="202"/>
      <c r="L46" s="202"/>
      <c r="M46" s="202"/>
      <c r="N46" s="202"/>
      <c r="O46" s="202"/>
      <c r="P46" s="202"/>
      <c r="Q46" s="202"/>
      <c r="R46" s="202"/>
      <c r="S46" s="202"/>
      <c r="T46" s="202"/>
      <c r="U46" s="202"/>
      <c r="V46" s="202"/>
      <c r="W46" s="202"/>
      <c r="X46" s="202"/>
      <c r="Y46" s="202"/>
      <c r="Z46" s="202"/>
      <c r="AA46" s="202"/>
      <c r="AB46" s="202"/>
      <c r="AC46" s="202"/>
      <c r="AD46" s="202"/>
      <c r="AE46" s="202"/>
      <c r="AF46" s="202"/>
      <c r="AG46" s="202"/>
      <c r="AH46" s="202"/>
      <c r="AI46" s="202"/>
      <c r="AJ46" s="202"/>
      <c r="AK46" s="202"/>
      <c r="AL46" s="202"/>
      <c r="AM46" s="202"/>
      <c r="AN46" s="202"/>
      <c r="AO46" s="202"/>
      <c r="AP46" s="202"/>
      <c r="AQ46" s="202"/>
      <c r="AR46" s="202"/>
      <c r="AS46" s="202"/>
      <c r="AT46" s="202"/>
      <c r="AU46" s="202"/>
      <c r="AV46" s="202"/>
      <c r="AW46" s="202"/>
      <c r="AX46" s="202"/>
      <c r="AY46" s="202"/>
      <c r="AZ46" s="202"/>
      <c r="BA46" s="202"/>
      <c r="BB46" s="202"/>
      <c r="BC46" s="202"/>
      <c r="BD46" s="202"/>
      <c r="BE46" s="202"/>
      <c r="BF46" s="202"/>
      <c r="BG46" s="202"/>
      <c r="BH46" s="202"/>
      <c r="BI46" s="202"/>
      <c r="BJ46" s="202"/>
      <c r="BK46" s="202"/>
      <c r="BL46" s="202"/>
      <c r="BM46" s="202"/>
      <c r="BN46" s="202"/>
      <c r="BO46" s="202"/>
      <c r="BP46" s="202"/>
      <c r="BQ46" s="202"/>
      <c r="BR46" s="202"/>
      <c r="BS46" s="202"/>
      <c r="BT46" s="202"/>
      <c r="BU46" s="202"/>
    </row>
    <row r="47" spans="1:73" s="204" customFormat="1" ht="25.5" customHeight="1" x14ac:dyDescent="0.25">
      <c r="A47" s="202">
        <f>Gantt!A48</f>
        <v>6</v>
      </c>
      <c r="B47" s="219" t="str">
        <f>Gantt!C48</f>
        <v>SERVIZI DI CALL CENTER</v>
      </c>
      <c r="C47" s="220"/>
      <c r="D47" s="221"/>
      <c r="E47" s="222"/>
      <c r="F47" s="223"/>
      <c r="G47" s="224"/>
      <c r="H47" s="225"/>
      <c r="I47" s="224" t="str">
        <f t="shared" si="20"/>
        <v xml:space="preserve"> - </v>
      </c>
      <c r="J47" s="209"/>
      <c r="K47" s="202"/>
      <c r="L47" s="202"/>
      <c r="M47" s="202"/>
      <c r="N47" s="202"/>
      <c r="O47" s="202"/>
      <c r="P47" s="202"/>
      <c r="Q47" s="202"/>
      <c r="R47" s="202"/>
      <c r="S47" s="202"/>
      <c r="T47" s="202"/>
      <c r="U47" s="202"/>
      <c r="V47" s="202"/>
      <c r="W47" s="202"/>
      <c r="X47" s="202"/>
      <c r="Y47" s="202"/>
      <c r="Z47" s="202"/>
      <c r="AA47" s="202"/>
      <c r="AB47" s="202"/>
      <c r="AC47" s="202"/>
      <c r="AD47" s="202"/>
      <c r="AE47" s="202"/>
      <c r="AF47" s="202"/>
      <c r="AG47" s="202"/>
      <c r="AH47" s="202"/>
      <c r="AI47" s="202"/>
      <c r="AJ47" s="202"/>
      <c r="AK47" s="202"/>
      <c r="AL47" s="202"/>
      <c r="AM47" s="202"/>
      <c r="AN47" s="202"/>
      <c r="AO47" s="202"/>
      <c r="AP47" s="202"/>
      <c r="AQ47" s="202"/>
      <c r="AR47" s="202"/>
      <c r="AS47" s="202"/>
      <c r="AT47" s="202"/>
      <c r="AU47" s="202"/>
      <c r="AV47" s="202"/>
      <c r="AW47" s="202"/>
      <c r="AX47" s="202"/>
      <c r="AY47" s="202"/>
      <c r="AZ47" s="202"/>
      <c r="BA47" s="202"/>
      <c r="BB47" s="202"/>
      <c r="BC47" s="202"/>
      <c r="BD47" s="202"/>
      <c r="BE47" s="202"/>
      <c r="BF47" s="202"/>
      <c r="BG47" s="202"/>
      <c r="BH47" s="202"/>
      <c r="BI47" s="202"/>
      <c r="BJ47" s="202"/>
      <c r="BK47" s="202"/>
      <c r="BL47" s="202"/>
      <c r="BM47" s="202"/>
      <c r="BN47" s="202"/>
      <c r="BO47" s="202"/>
      <c r="BP47" s="202"/>
      <c r="BQ47" s="202"/>
      <c r="BR47" s="202"/>
      <c r="BS47" s="202"/>
      <c r="BT47" s="202"/>
      <c r="BU47" s="202"/>
    </row>
    <row r="48" spans="1:73" s="204" customFormat="1" ht="25.5" customHeight="1" x14ac:dyDescent="0.25">
      <c r="A48" s="202" t="str">
        <f>Gantt!A49</f>
        <v>6.1</v>
      </c>
      <c r="B48" s="203" t="str">
        <f>Gantt!C49</f>
        <v>Servizi call center - I TRIM 2024</v>
      </c>
      <c r="D48" s="205"/>
      <c r="E48" s="211" t="e">
        <f>Gantt!#REF!</f>
        <v>#REF!</v>
      </c>
      <c r="F48" s="212" t="e">
        <f>Gantt!#REF!</f>
        <v>#REF!</v>
      </c>
      <c r="G48" s="206" t="e">
        <f t="shared" si="11"/>
        <v>#REF!</v>
      </c>
      <c r="H48" s="207" t="e">
        <f>Gantt!#REF!</f>
        <v>#REF!</v>
      </c>
      <c r="I48" s="208" t="e">
        <f t="shared" si="20"/>
        <v>#REF!</v>
      </c>
      <c r="J48" s="209"/>
      <c r="K48" s="202"/>
      <c r="L48" s="202"/>
      <c r="M48" s="202"/>
      <c r="N48" s="202"/>
      <c r="O48" s="202"/>
      <c r="P48" s="202"/>
      <c r="Q48" s="202"/>
      <c r="R48" s="202"/>
      <c r="S48" s="202"/>
      <c r="T48" s="202"/>
      <c r="U48" s="202"/>
      <c r="V48" s="202"/>
      <c r="W48" s="202"/>
      <c r="X48" s="202"/>
      <c r="Y48" s="202"/>
      <c r="Z48" s="202"/>
      <c r="AA48" s="202"/>
      <c r="AB48" s="202"/>
      <c r="AC48" s="202"/>
      <c r="AD48" s="202"/>
      <c r="AE48" s="202"/>
      <c r="AF48" s="202"/>
      <c r="AG48" s="202"/>
      <c r="AH48" s="202"/>
      <c r="AI48" s="202"/>
      <c r="AJ48" s="202"/>
      <c r="AK48" s="202"/>
      <c r="AL48" s="202"/>
      <c r="AM48" s="202"/>
      <c r="AN48" s="202"/>
      <c r="AO48" s="202"/>
      <c r="AP48" s="202"/>
      <c r="AQ48" s="202"/>
      <c r="AR48" s="202"/>
      <c r="AS48" s="202"/>
      <c r="AT48" s="202"/>
      <c r="AU48" s="202"/>
      <c r="AV48" s="202"/>
      <c r="AW48" s="202"/>
      <c r="AX48" s="202"/>
      <c r="AY48" s="202"/>
      <c r="AZ48" s="202"/>
      <c r="BA48" s="202"/>
      <c r="BB48" s="202"/>
      <c r="BC48" s="202"/>
      <c r="BD48" s="202"/>
      <c r="BE48" s="202"/>
      <c r="BF48" s="202"/>
      <c r="BG48" s="202"/>
      <c r="BH48" s="202"/>
      <c r="BI48" s="202"/>
      <c r="BJ48" s="202"/>
      <c r="BK48" s="202"/>
      <c r="BL48" s="202"/>
      <c r="BM48" s="202"/>
      <c r="BN48" s="202"/>
      <c r="BO48" s="202"/>
      <c r="BP48" s="202"/>
      <c r="BQ48" s="202"/>
      <c r="BR48" s="202"/>
      <c r="BS48" s="202"/>
      <c r="BT48" s="202"/>
      <c r="BU48" s="202"/>
    </row>
    <row r="49" spans="1:73" s="204" customFormat="1" ht="25.5" customHeight="1" x14ac:dyDescent="0.25">
      <c r="A49" s="202" t="str">
        <f>Gantt!A50</f>
        <v>6.2</v>
      </c>
      <c r="B49" s="203" t="str">
        <f>Gantt!C50</f>
        <v>Servizi call center - II TRIM 2024</v>
      </c>
      <c r="D49" s="205"/>
      <c r="E49" s="211" t="e">
        <f>Gantt!#REF!</f>
        <v>#REF!</v>
      </c>
      <c r="F49" s="212" t="e">
        <f>Gantt!#REF!</f>
        <v>#REF!</v>
      </c>
      <c r="G49" s="206" t="e">
        <f t="shared" si="11"/>
        <v>#REF!</v>
      </c>
      <c r="H49" s="207" t="e">
        <f>Gantt!#REF!</f>
        <v>#REF!</v>
      </c>
      <c r="I49" s="208" t="e">
        <f t="shared" si="20"/>
        <v>#REF!</v>
      </c>
      <c r="J49" s="209"/>
      <c r="K49" s="202"/>
      <c r="L49" s="202"/>
      <c r="M49" s="202"/>
      <c r="N49" s="202"/>
      <c r="O49" s="202"/>
      <c r="P49" s="202"/>
      <c r="Q49" s="202"/>
      <c r="R49" s="202"/>
      <c r="S49" s="202"/>
      <c r="T49" s="202"/>
      <c r="U49" s="202"/>
      <c r="V49" s="202"/>
      <c r="W49" s="202"/>
      <c r="X49" s="202"/>
      <c r="Y49" s="202"/>
      <c r="Z49" s="202"/>
      <c r="AA49" s="202"/>
      <c r="AB49" s="202"/>
      <c r="AC49" s="202"/>
      <c r="AD49" s="202"/>
      <c r="AE49" s="202"/>
      <c r="AF49" s="202"/>
      <c r="AG49" s="202"/>
      <c r="AH49" s="202"/>
      <c r="AI49" s="202"/>
      <c r="AJ49" s="202"/>
      <c r="AK49" s="202"/>
      <c r="AL49" s="202"/>
      <c r="AM49" s="202"/>
      <c r="AN49" s="202"/>
      <c r="AO49" s="202"/>
      <c r="AP49" s="202"/>
      <c r="AQ49" s="202"/>
      <c r="AR49" s="202"/>
      <c r="AS49" s="202"/>
      <c r="AT49" s="202"/>
      <c r="AU49" s="202"/>
      <c r="AV49" s="202"/>
      <c r="AW49" s="202"/>
      <c r="AX49" s="202"/>
      <c r="AY49" s="202"/>
      <c r="AZ49" s="202"/>
      <c r="BA49" s="202"/>
      <c r="BB49" s="202"/>
      <c r="BC49" s="202"/>
      <c r="BD49" s="202"/>
      <c r="BE49" s="202"/>
      <c r="BF49" s="202"/>
      <c r="BG49" s="202"/>
      <c r="BH49" s="202"/>
      <c r="BI49" s="202"/>
      <c r="BJ49" s="202"/>
      <c r="BK49" s="202"/>
      <c r="BL49" s="202"/>
      <c r="BM49" s="202"/>
      <c r="BN49" s="202"/>
      <c r="BO49" s="202"/>
      <c r="BP49" s="202"/>
      <c r="BQ49" s="202"/>
      <c r="BR49" s="202"/>
      <c r="BS49" s="202"/>
      <c r="BT49" s="202"/>
      <c r="BU49" s="202"/>
    </row>
    <row r="50" spans="1:73" s="204" customFormat="1" ht="25.5" customHeight="1" x14ac:dyDescent="0.25">
      <c r="A50" s="202" t="str">
        <f>Gantt!A51</f>
        <v>6.3</v>
      </c>
      <c r="B50" s="203" t="str">
        <f>Gantt!C51</f>
        <v>Servizi call center - III TRIM 2024</v>
      </c>
      <c r="D50" s="205"/>
      <c r="E50" s="211" t="e">
        <f>Gantt!#REF!</f>
        <v>#REF!</v>
      </c>
      <c r="F50" s="212" t="e">
        <f>Gantt!#REF!</f>
        <v>#REF!</v>
      </c>
      <c r="G50" s="206" t="e">
        <f t="shared" si="11"/>
        <v>#REF!</v>
      </c>
      <c r="H50" s="207" t="e">
        <f>Gantt!#REF!</f>
        <v>#REF!</v>
      </c>
      <c r="I50" s="208" t="e">
        <f t="shared" si="20"/>
        <v>#REF!</v>
      </c>
      <c r="J50" s="209"/>
      <c r="K50" s="202"/>
      <c r="L50" s="202"/>
      <c r="M50" s="202"/>
      <c r="N50" s="202"/>
      <c r="O50" s="202"/>
      <c r="P50" s="202"/>
      <c r="Q50" s="202"/>
      <c r="R50" s="202"/>
      <c r="S50" s="202"/>
      <c r="T50" s="202"/>
      <c r="U50" s="202"/>
      <c r="V50" s="202"/>
      <c r="W50" s="202"/>
      <c r="X50" s="202"/>
      <c r="Y50" s="202"/>
      <c r="Z50" s="202"/>
      <c r="AA50" s="202"/>
      <c r="AB50" s="202"/>
      <c r="AC50" s="202"/>
      <c r="AD50" s="202"/>
      <c r="AE50" s="202"/>
      <c r="AF50" s="202"/>
      <c r="AG50" s="202"/>
      <c r="AH50" s="202"/>
      <c r="AI50" s="202"/>
      <c r="AJ50" s="202"/>
      <c r="AK50" s="202"/>
      <c r="AL50" s="202"/>
      <c r="AM50" s="202"/>
      <c r="AN50" s="202"/>
      <c r="AO50" s="202"/>
      <c r="AP50" s="202"/>
      <c r="AQ50" s="202"/>
      <c r="AR50" s="202"/>
      <c r="AS50" s="202"/>
      <c r="AT50" s="202"/>
      <c r="AU50" s="202"/>
      <c r="AV50" s="202"/>
      <c r="AW50" s="202"/>
      <c r="AX50" s="202"/>
      <c r="AY50" s="202"/>
      <c r="AZ50" s="202"/>
      <c r="BA50" s="202"/>
      <c r="BB50" s="202"/>
      <c r="BC50" s="202"/>
      <c r="BD50" s="202"/>
      <c r="BE50" s="202"/>
      <c r="BF50" s="202"/>
      <c r="BG50" s="202"/>
      <c r="BH50" s="202"/>
      <c r="BI50" s="202"/>
      <c r="BJ50" s="202"/>
      <c r="BK50" s="202"/>
      <c r="BL50" s="202"/>
      <c r="BM50" s="202"/>
      <c r="BN50" s="202"/>
      <c r="BO50" s="202"/>
      <c r="BP50" s="202"/>
      <c r="BQ50" s="202"/>
      <c r="BR50" s="202"/>
      <c r="BS50" s="202"/>
      <c r="BT50" s="202"/>
      <c r="BU50" s="202"/>
    </row>
    <row r="51" spans="1:73" s="204" customFormat="1" ht="25.5" customHeight="1" x14ac:dyDescent="0.25">
      <c r="A51" s="202" t="str">
        <f>Gantt!A52</f>
        <v>6.4</v>
      </c>
      <c r="B51" s="203" t="str">
        <f>Gantt!C52</f>
        <v>Servizi call center - IV TRIM 2024</v>
      </c>
      <c r="D51" s="205"/>
      <c r="E51" s="211" t="e">
        <f>Gantt!#REF!</f>
        <v>#REF!</v>
      </c>
      <c r="F51" s="212" t="e">
        <f>Gantt!#REF!</f>
        <v>#REF!</v>
      </c>
      <c r="G51" s="206" t="e">
        <f t="shared" si="11"/>
        <v>#REF!</v>
      </c>
      <c r="H51" s="207" t="e">
        <f>Gantt!#REF!</f>
        <v>#REF!</v>
      </c>
      <c r="I51" s="208" t="e">
        <f t="shared" si="20"/>
        <v>#REF!</v>
      </c>
      <c r="J51" s="209"/>
      <c r="K51" s="202"/>
      <c r="L51" s="202"/>
      <c r="M51" s="202"/>
      <c r="N51" s="202"/>
      <c r="O51" s="202"/>
      <c r="P51" s="202"/>
      <c r="Q51" s="202"/>
      <c r="R51" s="202"/>
      <c r="S51" s="202"/>
      <c r="T51" s="202"/>
      <c r="U51" s="202"/>
      <c r="V51" s="202"/>
      <c r="W51" s="202"/>
      <c r="X51" s="202"/>
      <c r="Y51" s="202"/>
      <c r="Z51" s="202"/>
      <c r="AA51" s="202"/>
      <c r="AB51" s="202"/>
      <c r="AC51" s="202"/>
      <c r="AD51" s="202"/>
      <c r="AE51" s="202"/>
      <c r="AF51" s="202"/>
      <c r="AG51" s="202"/>
      <c r="AH51" s="202"/>
      <c r="AI51" s="202"/>
      <c r="AJ51" s="202"/>
      <c r="AK51" s="202"/>
      <c r="AL51" s="202"/>
      <c r="AM51" s="202"/>
      <c r="AN51" s="202"/>
      <c r="AO51" s="202"/>
      <c r="AP51" s="202"/>
      <c r="AQ51" s="202"/>
      <c r="AR51" s="202"/>
      <c r="AS51" s="202"/>
      <c r="AT51" s="202"/>
      <c r="AU51" s="202"/>
      <c r="AV51" s="202"/>
      <c r="AW51" s="202"/>
      <c r="AX51" s="202"/>
      <c r="AY51" s="202"/>
      <c r="AZ51" s="202"/>
      <c r="BA51" s="202"/>
      <c r="BB51" s="202"/>
      <c r="BC51" s="202"/>
      <c r="BD51" s="202"/>
      <c r="BE51" s="202"/>
      <c r="BF51" s="202"/>
      <c r="BG51" s="202"/>
      <c r="BH51" s="202"/>
      <c r="BI51" s="202"/>
      <c r="BJ51" s="202"/>
      <c r="BK51" s="202"/>
      <c r="BL51" s="202"/>
      <c r="BM51" s="202"/>
      <c r="BN51" s="202"/>
      <c r="BO51" s="202"/>
      <c r="BP51" s="202"/>
      <c r="BQ51" s="202"/>
      <c r="BR51" s="202"/>
      <c r="BS51" s="202"/>
      <c r="BT51" s="202"/>
      <c r="BU51" s="202"/>
    </row>
    <row r="52" spans="1:73" s="204" customFormat="1" ht="25.5" customHeight="1" x14ac:dyDescent="0.25">
      <c r="A52" s="202" t="str">
        <f>Gantt!A53</f>
        <v>6.5</v>
      </c>
      <c r="B52" s="203" t="str">
        <f>Gantt!C53</f>
        <v>Servizi call center - I TRIM 2025</v>
      </c>
      <c r="D52" s="205"/>
      <c r="E52" s="211" t="e">
        <f>Gantt!#REF!</f>
        <v>#REF!</v>
      </c>
      <c r="F52" s="212" t="e">
        <f>Gantt!#REF!</f>
        <v>#REF!</v>
      </c>
      <c r="G52" s="206" t="e">
        <f t="shared" si="11"/>
        <v>#REF!</v>
      </c>
      <c r="H52" s="207" t="e">
        <f>Gantt!#REF!</f>
        <v>#REF!</v>
      </c>
      <c r="I52" s="208" t="e">
        <f t="shared" ref="I52" si="21">IF(OR(F52=0,E52=0)," - ",NETWORKDAYS(E52,F52))</f>
        <v>#REF!</v>
      </c>
      <c r="J52" s="209"/>
      <c r="K52" s="202"/>
      <c r="L52" s="202"/>
      <c r="M52" s="202"/>
      <c r="N52" s="202"/>
      <c r="O52" s="202"/>
      <c r="P52" s="202"/>
      <c r="Q52" s="202"/>
      <c r="R52" s="202"/>
      <c r="S52" s="202"/>
      <c r="T52" s="202"/>
      <c r="U52" s="202"/>
      <c r="V52" s="202"/>
      <c r="W52" s="202"/>
      <c r="X52" s="202"/>
      <c r="Y52" s="202"/>
      <c r="Z52" s="202"/>
      <c r="AA52" s="202"/>
      <c r="AB52" s="202"/>
      <c r="AC52" s="202"/>
      <c r="AD52" s="202"/>
      <c r="AE52" s="202"/>
      <c r="AF52" s="202"/>
      <c r="AG52" s="202"/>
      <c r="AH52" s="202"/>
      <c r="AI52" s="202"/>
      <c r="AJ52" s="202"/>
      <c r="AK52" s="202"/>
      <c r="AL52" s="202"/>
      <c r="AM52" s="202"/>
      <c r="AN52" s="202"/>
      <c r="AO52" s="202"/>
      <c r="AP52" s="202"/>
      <c r="AQ52" s="202"/>
      <c r="AR52" s="202"/>
      <c r="AS52" s="202"/>
      <c r="AT52" s="202"/>
      <c r="AU52" s="202"/>
      <c r="AV52" s="202"/>
      <c r="AW52" s="202"/>
      <c r="AX52" s="202"/>
      <c r="AY52" s="202"/>
      <c r="AZ52" s="202"/>
      <c r="BA52" s="202"/>
      <c r="BB52" s="202"/>
      <c r="BC52" s="202"/>
      <c r="BD52" s="202"/>
      <c r="BE52" s="202"/>
      <c r="BF52" s="202"/>
      <c r="BG52" s="202"/>
      <c r="BH52" s="202"/>
      <c r="BI52" s="202"/>
      <c r="BJ52" s="202"/>
      <c r="BK52" s="202"/>
      <c r="BL52" s="202"/>
      <c r="BM52" s="202"/>
      <c r="BN52" s="202"/>
      <c r="BO52" s="202"/>
      <c r="BP52" s="202"/>
      <c r="BQ52" s="202"/>
      <c r="BR52" s="202"/>
      <c r="BS52" s="202"/>
      <c r="BT52" s="202"/>
      <c r="BU52" s="202"/>
    </row>
    <row r="53" spans="1:73" s="204" customFormat="1" ht="25.5" customHeight="1" x14ac:dyDescent="0.25">
      <c r="A53" s="202" t="str">
        <f>Gantt!A54</f>
        <v>6.6</v>
      </c>
      <c r="B53" s="203" t="str">
        <f>Gantt!C54</f>
        <v>Servizi call center - II TRIM 2025</v>
      </c>
      <c r="D53" s="205"/>
      <c r="E53" s="211" t="e">
        <f>Gantt!#REF!</f>
        <v>#REF!</v>
      </c>
      <c r="F53" s="212" t="e">
        <f>Gantt!#REF!</f>
        <v>#REF!</v>
      </c>
      <c r="G53" s="206" t="e">
        <f t="shared" ref="G53" si="22">F53-E53</f>
        <v>#REF!</v>
      </c>
      <c r="H53" s="207" t="e">
        <f>Gantt!#REF!</f>
        <v>#REF!</v>
      </c>
      <c r="I53" s="208" t="e">
        <f t="shared" ref="I53" si="23">IF(OR(F53=0,E53=0)," - ",NETWORKDAYS(E53,F53))</f>
        <v>#REF!</v>
      </c>
      <c r="J53" s="209"/>
      <c r="K53" s="202"/>
      <c r="L53" s="202"/>
      <c r="M53" s="202"/>
      <c r="N53" s="202"/>
      <c r="O53" s="202"/>
      <c r="P53" s="202"/>
      <c r="Q53" s="202"/>
      <c r="R53" s="202"/>
      <c r="S53" s="202"/>
      <c r="T53" s="202"/>
      <c r="U53" s="202"/>
      <c r="V53" s="202"/>
      <c r="W53" s="202"/>
      <c r="X53" s="202"/>
      <c r="Y53" s="202"/>
      <c r="Z53" s="202"/>
      <c r="AA53" s="202"/>
      <c r="AB53" s="202"/>
      <c r="AC53" s="202"/>
      <c r="AD53" s="202"/>
      <c r="AE53" s="202"/>
      <c r="AF53" s="202"/>
      <c r="AG53" s="202"/>
      <c r="AH53" s="202"/>
      <c r="AI53" s="202"/>
      <c r="AJ53" s="202"/>
      <c r="AK53" s="202"/>
      <c r="AL53" s="202"/>
      <c r="AM53" s="202"/>
      <c r="AN53" s="202"/>
      <c r="AO53" s="202"/>
      <c r="AP53" s="202"/>
      <c r="AQ53" s="202"/>
      <c r="AR53" s="202"/>
      <c r="AS53" s="202"/>
      <c r="AT53" s="202"/>
      <c r="AU53" s="202"/>
      <c r="AV53" s="202"/>
      <c r="AW53" s="202"/>
      <c r="AX53" s="202"/>
      <c r="AY53" s="202"/>
      <c r="AZ53" s="202"/>
      <c r="BA53" s="202"/>
      <c r="BB53" s="202"/>
      <c r="BC53" s="202"/>
      <c r="BD53" s="202"/>
      <c r="BE53" s="202"/>
      <c r="BF53" s="202"/>
      <c r="BG53" s="202"/>
      <c r="BH53" s="202"/>
      <c r="BI53" s="202"/>
      <c r="BJ53" s="202"/>
      <c r="BK53" s="202"/>
      <c r="BL53" s="202"/>
      <c r="BM53" s="202"/>
      <c r="BN53" s="202"/>
      <c r="BO53" s="202"/>
      <c r="BP53" s="202"/>
      <c r="BQ53" s="202"/>
      <c r="BR53" s="202"/>
      <c r="BS53" s="202"/>
      <c r="BT53" s="202"/>
      <c r="BU53" s="202"/>
    </row>
  </sheetData>
  <mergeCells count="21">
    <mergeCell ref="AF5:AL5"/>
    <mergeCell ref="C4:E4"/>
    <mergeCell ref="K4:Q4"/>
    <mergeCell ref="R4:X4"/>
    <mergeCell ref="Y4:AE4"/>
    <mergeCell ref="AF4:AL4"/>
    <mergeCell ref="K1:AE1"/>
    <mergeCell ref="C5:E5"/>
    <mergeCell ref="K5:Q5"/>
    <mergeCell ref="R5:X5"/>
    <mergeCell ref="Y5:AE5"/>
    <mergeCell ref="BO4:BU4"/>
    <mergeCell ref="BO5:BU5"/>
    <mergeCell ref="AM4:AS4"/>
    <mergeCell ref="AT4:AZ4"/>
    <mergeCell ref="BA4:BG4"/>
    <mergeCell ref="BH4:BN4"/>
    <mergeCell ref="AM5:AS5"/>
    <mergeCell ref="AT5:AZ5"/>
    <mergeCell ref="BA5:BG5"/>
    <mergeCell ref="BH5:BN5"/>
  </mergeCells>
  <conditionalFormatting sqref="H8:H53">
    <cfRule type="dataBar" priority="4">
      <dataBar>
        <cfvo type="num" val="0"/>
        <cfvo type="num" val="1"/>
        <color theme="0" tint="-0.34998626667073579"/>
      </dataBar>
      <extLst>
        <ext xmlns:x14="http://schemas.microsoft.com/office/spreadsheetml/2009/9/main" uri="{B025F937-C7B1-47D3-B67F-A62EFF666E3E}">
          <x14:id>{5D0DABC1-23A8-40D9-9D0D-0C9FF4B1E5A1}</x14:id>
        </ext>
      </extLst>
    </cfRule>
  </conditionalFormatting>
  <conditionalFormatting sqref="K6:BU7">
    <cfRule type="expression" dxfId="3" priority="6">
      <formula>K$6=TODAY()</formula>
    </cfRule>
  </conditionalFormatting>
  <conditionalFormatting sqref="K6:BU53">
    <cfRule type="expression" dxfId="2" priority="1">
      <formula>K$6=TODAY()</formula>
    </cfRule>
  </conditionalFormatting>
  <conditionalFormatting sqref="K8:BU53">
    <cfRule type="expression" dxfId="1" priority="2">
      <formula>AND($E8&lt;=K$6,ROUNDDOWN(($F8-$E8+1)*$H8,0)+$E8-1&gt;=K$6)</formula>
    </cfRule>
    <cfRule type="expression" dxfId="0" priority="3">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1FC10AE3-3943-4750-BCEB-B859530CAC6C}"/>
  </dataValidations>
  <hyperlinks>
    <hyperlink ref="K1:AE1" r:id="rId1" display="Gantt Chart Template © 2006-2018 by Vertex42.com." xr:uid="{3D3D9CE8-9AA8-4C43-BCF1-95CAD3A04040}"/>
  </hyperlinks>
  <pageMargins left="0.7" right="0.7" top="0.75" bottom="0.75" header="0.3" footer="0.3"/>
  <pageSetup paperSize="9" orientation="portrait" r:id="rId2"/>
  <headerFooter>
    <oddFooter>&amp;C&amp;1#&amp;"Calibri"&amp;10&amp;K000000Company General Use</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9217" r:id="rId5" name="Scroll Bar 1">
              <controlPr defaultSize="0" print="0" autoPict="0">
                <anchor moveWithCells="1">
                  <from>
                    <xdr:col>9</xdr:col>
                    <xdr:colOff>95250</xdr:colOff>
                    <xdr:row>1</xdr:row>
                    <xdr:rowOff>123825</xdr:rowOff>
                  </from>
                  <to>
                    <xdr:col>24</xdr:col>
                    <xdr:colOff>133350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5D0DABC1-23A8-40D9-9D0D-0C9FF4B1E5A1}">
            <x14:dataBar minLength="0" maxLength="100" gradient="0">
              <x14:cfvo type="num">
                <xm:f>0</xm:f>
              </x14:cfvo>
              <x14:cfvo type="num">
                <xm:f>1</xm:f>
              </x14:cfvo>
              <x14:negativeFillColor rgb="FFFF0000"/>
              <x14:axisColor rgb="FF000000"/>
            </x14:dataBar>
          </x14:cfRule>
          <xm:sqref>H8:H53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02D76-103F-4AF2-A187-C889F70EB2CD}">
  <dimension ref="A1:J49"/>
  <sheetViews>
    <sheetView workbookViewId="0">
      <selection activeCell="B49" sqref="B49"/>
    </sheetView>
  </sheetViews>
  <sheetFormatPr defaultRowHeight="15" outlineLevelRow="2" x14ac:dyDescent="0.25"/>
  <cols>
    <col min="1" max="1" width="29.28515625" bestFit="1" customWidth="1"/>
    <col min="2" max="2" width="14.5703125" bestFit="1" customWidth="1"/>
    <col min="3" max="3" width="12.28515625" customWidth="1"/>
    <col min="4" max="4" width="14.5703125" bestFit="1" customWidth="1"/>
    <col min="5" max="5" width="12.28515625" customWidth="1"/>
    <col min="6" max="6" width="14.5703125" bestFit="1" customWidth="1"/>
    <col min="8" max="8" width="16.28515625" bestFit="1" customWidth="1"/>
    <col min="10" max="10" width="20.28515625" customWidth="1"/>
  </cols>
  <sheetData>
    <row r="1" spans="1:10" ht="15.75" x14ac:dyDescent="0.25">
      <c r="B1" s="102" t="s">
        <v>331</v>
      </c>
      <c r="C1" s="102" t="s">
        <v>332</v>
      </c>
      <c r="D1" s="102" t="s">
        <v>333</v>
      </c>
      <c r="E1" s="102" t="s">
        <v>334</v>
      </c>
      <c r="F1" s="102" t="s">
        <v>335</v>
      </c>
    </row>
    <row r="2" spans="1:10" ht="16.5" thickBot="1" x14ac:dyDescent="0.3">
      <c r="B2" s="103"/>
      <c r="C2" s="103"/>
      <c r="D2" s="103"/>
      <c r="E2" s="103"/>
      <c r="F2" s="104"/>
    </row>
    <row r="3" spans="1:10" ht="32.25" thickBot="1" x14ac:dyDescent="0.55000000000000004">
      <c r="A3" s="105" t="s">
        <v>336</v>
      </c>
      <c r="B3" s="106"/>
      <c r="C3" s="106"/>
      <c r="D3" s="106"/>
      <c r="E3" s="106"/>
      <c r="F3" s="107"/>
      <c r="H3" s="108"/>
      <c r="J3" s="109" t="s">
        <v>7</v>
      </c>
    </row>
    <row r="4" spans="1:10" ht="15.75" customHeight="1" outlineLevel="1" x14ac:dyDescent="0.25">
      <c r="A4" s="237" t="s">
        <v>341</v>
      </c>
      <c r="F4" s="122"/>
      <c r="H4" s="128"/>
    </row>
    <row r="5" spans="1:10" ht="19.5" customHeight="1" outlineLevel="1" thickBot="1" x14ac:dyDescent="0.3">
      <c r="A5" s="238"/>
      <c r="B5" s="141"/>
      <c r="C5" s="141"/>
      <c r="D5" s="141"/>
      <c r="E5" s="141"/>
      <c r="F5" s="142"/>
      <c r="H5" s="143" t="s">
        <v>0</v>
      </c>
    </row>
    <row r="6" spans="1:10" outlineLevel="2" x14ac:dyDescent="0.25">
      <c r="A6" s="144" t="s">
        <v>1</v>
      </c>
      <c r="B6" s="117">
        <v>0</v>
      </c>
      <c r="C6" s="117">
        <v>0</v>
      </c>
      <c r="D6" s="120"/>
      <c r="E6" s="117">
        <v>0</v>
      </c>
      <c r="F6" s="118" t="e">
        <f>'Riepilogo Contratto'!D4</f>
        <v>#REF!</v>
      </c>
      <c r="H6" s="119" t="e">
        <f>SUM(B6:F6)</f>
        <v>#REF!</v>
      </c>
    </row>
    <row r="7" spans="1:10" outlineLevel="2" x14ac:dyDescent="0.25">
      <c r="A7" s="144" t="s">
        <v>337</v>
      </c>
      <c r="B7" s="117">
        <v>0</v>
      </c>
      <c r="C7" s="117">
        <v>0</v>
      </c>
      <c r="D7" s="120"/>
      <c r="E7" s="117">
        <v>0</v>
      </c>
      <c r="F7" s="118">
        <v>0</v>
      </c>
      <c r="H7" s="119">
        <f t="shared" ref="H7:H8" si="0">SUM(B7:F7)</f>
        <v>0</v>
      </c>
    </row>
    <row r="8" spans="1:10" outlineLevel="2" x14ac:dyDescent="0.25">
      <c r="A8" s="144" t="s">
        <v>338</v>
      </c>
      <c r="B8" s="117" t="e">
        <f>'Riepilogo Contratto'!D8</f>
        <v>#REF!</v>
      </c>
      <c r="C8" s="117">
        <v>0</v>
      </c>
      <c r="D8" s="120"/>
      <c r="E8" s="117">
        <v>0</v>
      </c>
      <c r="F8" s="118">
        <v>0</v>
      </c>
      <c r="H8" s="119" t="e">
        <f t="shared" si="0"/>
        <v>#REF!</v>
      </c>
    </row>
    <row r="9" spans="1:10" outlineLevel="2" x14ac:dyDescent="0.25">
      <c r="A9" s="144" t="s">
        <v>339</v>
      </c>
      <c r="B9" s="117" t="e">
        <f>'Riepilogo Contratto'!D9</f>
        <v>#REF!</v>
      </c>
      <c r="C9" s="117">
        <v>0</v>
      </c>
      <c r="D9" s="117"/>
      <c r="E9" s="117">
        <v>0</v>
      </c>
      <c r="F9" s="118">
        <v>0</v>
      </c>
      <c r="H9" s="119">
        <v>0</v>
      </c>
    </row>
    <row r="10" spans="1:10" ht="15.75" outlineLevel="2" thickBot="1" x14ac:dyDescent="0.3">
      <c r="A10" s="121"/>
      <c r="F10" s="122"/>
      <c r="H10" s="128"/>
    </row>
    <row r="11" spans="1:10" ht="21.75" outlineLevel="1" thickBot="1" x14ac:dyDescent="0.4">
      <c r="A11" s="145" t="s">
        <v>340</v>
      </c>
      <c r="B11" s="146" t="e">
        <f>SUM(B6:B9)</f>
        <v>#REF!</v>
      </c>
      <c r="C11" s="146">
        <v>0</v>
      </c>
      <c r="D11" s="146">
        <f>SUM(D6:D9)</f>
        <v>0</v>
      </c>
      <c r="E11" s="146">
        <f t="shared" ref="E11:F11" si="1">SUM(E6:E9)</f>
        <v>0</v>
      </c>
      <c r="F11" s="147" t="e">
        <f t="shared" si="1"/>
        <v>#REF!</v>
      </c>
      <c r="H11" s="148" t="e">
        <f>SUM(H6:H9)</f>
        <v>#REF!</v>
      </c>
      <c r="J11" s="127" t="s">
        <v>345</v>
      </c>
    </row>
    <row r="12" spans="1:10" ht="21.75" outlineLevel="1" thickBot="1" x14ac:dyDescent="0.4">
      <c r="A12" s="149"/>
      <c r="B12" s="150"/>
      <c r="C12" s="150"/>
      <c r="D12" s="150"/>
      <c r="E12" s="150"/>
      <c r="F12" s="151"/>
      <c r="H12" s="152"/>
      <c r="J12" s="87"/>
    </row>
    <row r="13" spans="1:10" ht="21.75" thickBot="1" x14ac:dyDescent="0.4">
      <c r="A13" s="153" t="s">
        <v>342</v>
      </c>
      <c r="B13" s="154" t="e">
        <f>B11</f>
        <v>#REF!</v>
      </c>
      <c r="C13" s="154">
        <f t="shared" ref="C13:F13" si="2">C11</f>
        <v>0</v>
      </c>
      <c r="D13" s="154">
        <f t="shared" si="2"/>
        <v>0</v>
      </c>
      <c r="E13" s="154">
        <f t="shared" si="2"/>
        <v>0</v>
      </c>
      <c r="F13" s="154" t="e">
        <f t="shared" si="2"/>
        <v>#REF!</v>
      </c>
      <c r="G13" s="11"/>
      <c r="H13" s="156" t="e">
        <f>H11</f>
        <v>#REF!</v>
      </c>
      <c r="J13" s="127" t="s">
        <v>345</v>
      </c>
    </row>
    <row r="14" spans="1:10" ht="15.75" thickBot="1" x14ac:dyDescent="0.3">
      <c r="D14" s="157"/>
    </row>
    <row r="15" spans="1:10" ht="24" thickBot="1" x14ac:dyDescent="0.4">
      <c r="A15" s="105" t="s">
        <v>343</v>
      </c>
      <c r="B15" s="106"/>
      <c r="C15" s="106"/>
      <c r="D15" s="106"/>
      <c r="E15" s="106"/>
      <c r="F15" s="107"/>
      <c r="H15" s="108"/>
    </row>
    <row r="16" spans="1:10" outlineLevel="1" x14ac:dyDescent="0.25">
      <c r="A16" s="237" t="s">
        <v>344</v>
      </c>
      <c r="B16" s="110"/>
      <c r="C16" s="110"/>
      <c r="D16" s="110"/>
      <c r="E16" s="110"/>
      <c r="F16" s="111"/>
      <c r="H16" s="112"/>
    </row>
    <row r="17" spans="1:10" ht="15.75" outlineLevel="1" thickBot="1" x14ac:dyDescent="0.3">
      <c r="A17" s="238"/>
      <c r="B17" s="113"/>
      <c r="C17" s="113"/>
      <c r="D17" s="113"/>
      <c r="E17" s="113"/>
      <c r="F17" s="114"/>
      <c r="H17" s="115" t="s">
        <v>0</v>
      </c>
    </row>
    <row r="18" spans="1:10" outlineLevel="2" x14ac:dyDescent="0.25">
      <c r="A18" s="116" t="s">
        <v>1</v>
      </c>
      <c r="B18" s="117" t="e">
        <f>'Riepilogo Contratto'!E29</f>
        <v>#REF!</v>
      </c>
      <c r="C18" s="117">
        <v>0</v>
      </c>
      <c r="D18" s="117">
        <v>0</v>
      </c>
      <c r="E18" s="117">
        <v>0</v>
      </c>
      <c r="F18" s="117">
        <v>0</v>
      </c>
      <c r="H18" s="119">
        <v>0</v>
      </c>
    </row>
    <row r="19" spans="1:10" outlineLevel="2" x14ac:dyDescent="0.25">
      <c r="A19" s="116" t="s">
        <v>337</v>
      </c>
      <c r="B19" s="117">
        <v>0</v>
      </c>
      <c r="C19" s="117">
        <v>0</v>
      </c>
      <c r="D19" s="117">
        <v>0</v>
      </c>
      <c r="E19" s="117">
        <v>0</v>
      </c>
      <c r="F19" s="117">
        <v>0</v>
      </c>
      <c r="H19" s="119">
        <v>0</v>
      </c>
    </row>
    <row r="20" spans="1:10" outlineLevel="2" x14ac:dyDescent="0.25">
      <c r="A20" s="116" t="s">
        <v>338</v>
      </c>
      <c r="B20" s="117" t="e">
        <f>Gantt!#REF!</f>
        <v>#REF!</v>
      </c>
      <c r="C20" s="117">
        <v>0</v>
      </c>
      <c r="D20" s="117">
        <v>0</v>
      </c>
      <c r="E20" s="117">
        <v>0</v>
      </c>
      <c r="F20" s="117">
        <v>0</v>
      </c>
      <c r="H20" s="119">
        <v>0</v>
      </c>
    </row>
    <row r="21" spans="1:10" outlineLevel="2" x14ac:dyDescent="0.25">
      <c r="A21" s="116" t="s">
        <v>339</v>
      </c>
      <c r="B21" s="117" t="e">
        <f>Gantt!#REF!</f>
        <v>#REF!</v>
      </c>
      <c r="C21" s="117">
        <v>0</v>
      </c>
      <c r="D21" s="117">
        <v>0</v>
      </c>
      <c r="E21" s="117">
        <v>0</v>
      </c>
      <c r="F21" s="117">
        <v>0</v>
      </c>
      <c r="H21" s="119">
        <v>0</v>
      </c>
    </row>
    <row r="22" spans="1:10" ht="15.75" outlineLevel="2" thickBot="1" x14ac:dyDescent="0.3">
      <c r="A22" s="121"/>
      <c r="F22" s="122"/>
      <c r="H22" s="128"/>
    </row>
    <row r="23" spans="1:10" ht="21.75" outlineLevel="1" thickBot="1" x14ac:dyDescent="0.4">
      <c r="A23" s="123" t="s">
        <v>340</v>
      </c>
      <c r="B23" s="124" t="e">
        <f>SUM(B18:B21)</f>
        <v>#REF!</v>
      </c>
      <c r="C23" s="124">
        <f t="shared" ref="C23:D23" si="3">SUM(C18:C21)</f>
        <v>0</v>
      </c>
      <c r="D23" s="124">
        <f t="shared" si="3"/>
        <v>0</v>
      </c>
      <c r="E23" s="124">
        <v>0</v>
      </c>
      <c r="F23" s="125">
        <v>0</v>
      </c>
      <c r="H23" s="126" t="e">
        <f>SUM(B23:F23)</f>
        <v>#REF!</v>
      </c>
      <c r="J23" s="127" t="s">
        <v>345</v>
      </c>
    </row>
    <row r="24" spans="1:10" outlineLevel="1" x14ac:dyDescent="0.25">
      <c r="A24" s="239" t="s">
        <v>346</v>
      </c>
      <c r="F24" s="122"/>
      <c r="H24" s="128"/>
    </row>
    <row r="25" spans="1:10" ht="15.75" outlineLevel="1" thickBot="1" x14ac:dyDescent="0.3">
      <c r="A25" s="240"/>
      <c r="B25" s="129"/>
      <c r="C25" s="129"/>
      <c r="D25" s="129"/>
      <c r="E25" s="129"/>
      <c r="F25" s="130"/>
      <c r="H25" s="131" t="s">
        <v>0</v>
      </c>
    </row>
    <row r="26" spans="1:10" outlineLevel="2" x14ac:dyDescent="0.25">
      <c r="A26" s="132" t="s">
        <v>1</v>
      </c>
      <c r="B26" s="117" t="e">
        <f>'Riepilogo Contratto'!F29</f>
        <v>#REF!</v>
      </c>
      <c r="C26" s="117">
        <v>0</v>
      </c>
      <c r="D26" s="117"/>
      <c r="E26" s="117">
        <v>0</v>
      </c>
      <c r="F26" s="118">
        <v>0</v>
      </c>
      <c r="H26" s="119">
        <v>0</v>
      </c>
    </row>
    <row r="27" spans="1:10" outlineLevel="2" x14ac:dyDescent="0.25">
      <c r="A27" s="132" t="s">
        <v>337</v>
      </c>
      <c r="B27" s="117">
        <v>0</v>
      </c>
      <c r="C27" s="117">
        <v>0</v>
      </c>
      <c r="D27" s="117"/>
      <c r="E27" s="117">
        <v>0</v>
      </c>
      <c r="F27" s="118">
        <v>0</v>
      </c>
      <c r="H27" s="119">
        <v>0</v>
      </c>
    </row>
    <row r="28" spans="1:10" outlineLevel="2" x14ac:dyDescent="0.25">
      <c r="A28" s="132" t="s">
        <v>338</v>
      </c>
      <c r="B28" s="117" t="e">
        <f>'Riepilogo Contratto'!F33</f>
        <v>#REF!</v>
      </c>
      <c r="C28" s="117">
        <v>0</v>
      </c>
      <c r="D28" s="117"/>
      <c r="E28" s="117">
        <v>0</v>
      </c>
      <c r="F28" s="118">
        <v>0</v>
      </c>
      <c r="H28" s="119">
        <v>0</v>
      </c>
    </row>
    <row r="29" spans="1:10" outlineLevel="2" x14ac:dyDescent="0.25">
      <c r="A29" s="132" t="s">
        <v>339</v>
      </c>
      <c r="B29" s="117" t="e">
        <f>'Riepilogo Contratto'!F34</f>
        <v>#REF!</v>
      </c>
      <c r="C29" s="117">
        <v>0</v>
      </c>
      <c r="D29" s="117">
        <v>0</v>
      </c>
      <c r="E29" s="117">
        <v>0</v>
      </c>
      <c r="F29" s="118">
        <v>0</v>
      </c>
      <c r="H29" s="119">
        <v>0</v>
      </c>
    </row>
    <row r="30" spans="1:10" ht="15.75" outlineLevel="2" thickBot="1" x14ac:dyDescent="0.3">
      <c r="A30" s="121"/>
      <c r="F30" s="122"/>
      <c r="H30" s="128"/>
    </row>
    <row r="31" spans="1:10" ht="21.75" outlineLevel="1" thickBot="1" x14ac:dyDescent="0.4">
      <c r="A31" s="133" t="s">
        <v>340</v>
      </c>
      <c r="B31" s="158" t="e">
        <f>SUM(B26:B29)</f>
        <v>#REF!</v>
      </c>
      <c r="C31" s="158">
        <f t="shared" ref="C31:F31" si="4">SUM(C26:C29)</f>
        <v>0</v>
      </c>
      <c r="D31" s="158">
        <f t="shared" si="4"/>
        <v>0</v>
      </c>
      <c r="E31" s="158">
        <f t="shared" si="4"/>
        <v>0</v>
      </c>
      <c r="F31" s="158">
        <f t="shared" si="4"/>
        <v>0</v>
      </c>
      <c r="H31" s="134" t="e">
        <f>SUM(B31:F31)</f>
        <v>#REF!</v>
      </c>
      <c r="J31" s="127" t="s">
        <v>345</v>
      </c>
    </row>
    <row r="32" spans="1:10" outlineLevel="1" x14ac:dyDescent="0.25">
      <c r="A32" s="235" t="s">
        <v>347</v>
      </c>
      <c r="F32" s="122"/>
      <c r="H32" s="128"/>
    </row>
    <row r="33" spans="1:10" ht="15.75" outlineLevel="1" thickBot="1" x14ac:dyDescent="0.3">
      <c r="A33" s="236"/>
      <c r="B33" s="135"/>
      <c r="C33" s="135"/>
      <c r="D33" s="135"/>
      <c r="E33" s="135"/>
      <c r="F33" s="136"/>
      <c r="H33" s="137" t="s">
        <v>0</v>
      </c>
    </row>
    <row r="34" spans="1:10" outlineLevel="2" x14ac:dyDescent="0.25">
      <c r="A34" s="138" t="s">
        <v>1</v>
      </c>
      <c r="B34" s="117" t="e">
        <f>'Riepilogo Contratto'!G29</f>
        <v>#REF!</v>
      </c>
      <c r="C34" s="117">
        <v>0</v>
      </c>
      <c r="D34" s="117">
        <v>0</v>
      </c>
      <c r="E34" s="117">
        <v>0</v>
      </c>
      <c r="F34" s="118">
        <v>0</v>
      </c>
      <c r="H34" s="119">
        <v>78296.75</v>
      </c>
    </row>
    <row r="35" spans="1:10" outlineLevel="2" x14ac:dyDescent="0.25">
      <c r="A35" s="138" t="s">
        <v>337</v>
      </c>
      <c r="B35" s="117">
        <v>0</v>
      </c>
      <c r="C35" s="117">
        <v>0</v>
      </c>
      <c r="D35" s="117">
        <v>0</v>
      </c>
      <c r="E35" s="117">
        <v>0</v>
      </c>
      <c r="F35" s="118">
        <v>0</v>
      </c>
      <c r="H35" s="119">
        <v>6406.2</v>
      </c>
    </row>
    <row r="36" spans="1:10" outlineLevel="2" x14ac:dyDescent="0.25">
      <c r="A36" s="138" t="s">
        <v>338</v>
      </c>
      <c r="B36" s="117" t="e">
        <f>'Riepilogo Contratto'!G33</f>
        <v>#REF!</v>
      </c>
      <c r="C36" s="117">
        <v>0</v>
      </c>
      <c r="D36" s="117">
        <v>0</v>
      </c>
      <c r="E36" s="117">
        <v>0</v>
      </c>
      <c r="F36" s="118">
        <v>0</v>
      </c>
      <c r="H36" s="119">
        <v>23550.75</v>
      </c>
    </row>
    <row r="37" spans="1:10" outlineLevel="2" x14ac:dyDescent="0.25">
      <c r="A37" s="138" t="s">
        <v>339</v>
      </c>
      <c r="B37" s="117" t="e">
        <f>'Riepilogo Contratto'!G34</f>
        <v>#REF!</v>
      </c>
      <c r="C37" s="117">
        <v>0</v>
      </c>
      <c r="D37" s="117">
        <v>0</v>
      </c>
      <c r="E37" s="117">
        <v>0</v>
      </c>
      <c r="F37" s="118">
        <v>0</v>
      </c>
      <c r="H37" s="119">
        <v>0</v>
      </c>
    </row>
    <row r="38" spans="1:10" ht="15.75" outlineLevel="2" thickBot="1" x14ac:dyDescent="0.3">
      <c r="A38" s="121"/>
      <c r="F38" s="122"/>
      <c r="H38" s="128"/>
    </row>
    <row r="39" spans="1:10" ht="21.75" outlineLevel="1" thickBot="1" x14ac:dyDescent="0.4">
      <c r="A39" s="139" t="s">
        <v>340</v>
      </c>
      <c r="B39" s="159" t="e">
        <f>SUM(B34:B37)</f>
        <v>#REF!</v>
      </c>
      <c r="C39" s="159">
        <f t="shared" ref="C39:F39" si="5">SUM(C34:C37)</f>
        <v>0</v>
      </c>
      <c r="D39" s="159">
        <f t="shared" si="5"/>
        <v>0</v>
      </c>
      <c r="E39" s="159">
        <f t="shared" si="5"/>
        <v>0</v>
      </c>
      <c r="F39" s="159">
        <f t="shared" si="5"/>
        <v>0</v>
      </c>
      <c r="H39" s="140" t="e">
        <f>SUM(B39:F39)</f>
        <v>#REF!</v>
      </c>
      <c r="J39" s="127"/>
    </row>
    <row r="40" spans="1:10" ht="15.75" customHeight="1" outlineLevel="1" x14ac:dyDescent="0.25">
      <c r="A40" s="237" t="s">
        <v>348</v>
      </c>
      <c r="F40" s="122"/>
      <c r="H40" s="128"/>
    </row>
    <row r="41" spans="1:10" ht="19.5" customHeight="1" outlineLevel="1" thickBot="1" x14ac:dyDescent="0.3">
      <c r="A41" s="238"/>
      <c r="B41" s="141" t="s">
        <v>331</v>
      </c>
      <c r="C41" s="141" t="s">
        <v>332</v>
      </c>
      <c r="D41" s="141" t="s">
        <v>333</v>
      </c>
      <c r="E41" s="141" t="s">
        <v>334</v>
      </c>
      <c r="F41" s="142" t="s">
        <v>335</v>
      </c>
      <c r="H41" s="143" t="s">
        <v>0</v>
      </c>
    </row>
    <row r="42" spans="1:10" outlineLevel="2" x14ac:dyDescent="0.25">
      <c r="A42" s="144" t="s">
        <v>1</v>
      </c>
      <c r="B42" s="117">
        <v>0</v>
      </c>
      <c r="C42" s="117">
        <v>0</v>
      </c>
      <c r="D42" s="120">
        <v>0</v>
      </c>
      <c r="E42" s="117">
        <v>0</v>
      </c>
      <c r="F42" s="118">
        <v>0</v>
      </c>
      <c r="H42" s="119">
        <f>SUM(B42:F42)</f>
        <v>0</v>
      </c>
    </row>
    <row r="43" spans="1:10" outlineLevel="2" x14ac:dyDescent="0.25">
      <c r="A43" s="144" t="s">
        <v>337</v>
      </c>
      <c r="B43" s="117">
        <v>0</v>
      </c>
      <c r="C43" s="117">
        <v>0</v>
      </c>
      <c r="D43" s="120"/>
      <c r="E43" s="117">
        <v>0</v>
      </c>
      <c r="F43" s="118">
        <v>0</v>
      </c>
      <c r="H43" s="119">
        <f t="shared" ref="H43:H44" si="6">SUM(B43:F43)</f>
        <v>0</v>
      </c>
    </row>
    <row r="44" spans="1:10" outlineLevel="2" x14ac:dyDescent="0.25">
      <c r="A44" s="144" t="s">
        <v>338</v>
      </c>
      <c r="B44" s="117">
        <v>0</v>
      </c>
      <c r="C44" s="117">
        <v>0</v>
      </c>
      <c r="D44" s="120">
        <v>0</v>
      </c>
      <c r="E44" s="117">
        <v>0</v>
      </c>
      <c r="F44" s="118">
        <v>0</v>
      </c>
      <c r="H44" s="119">
        <f t="shared" si="6"/>
        <v>0</v>
      </c>
    </row>
    <row r="45" spans="1:10" outlineLevel="2" x14ac:dyDescent="0.25">
      <c r="A45" s="144" t="s">
        <v>339</v>
      </c>
      <c r="B45" s="117">
        <v>0</v>
      </c>
      <c r="C45" s="117">
        <v>0</v>
      </c>
      <c r="D45" s="117">
        <v>0</v>
      </c>
      <c r="E45" s="117">
        <v>0</v>
      </c>
      <c r="F45" s="118">
        <v>0</v>
      </c>
      <c r="H45" s="119">
        <v>0</v>
      </c>
    </row>
    <row r="46" spans="1:10" ht="15.75" outlineLevel="2" thickBot="1" x14ac:dyDescent="0.3">
      <c r="A46" s="121"/>
      <c r="F46" s="122"/>
      <c r="H46" s="128"/>
    </row>
    <row r="47" spans="1:10" ht="21.75" outlineLevel="1" thickBot="1" x14ac:dyDescent="0.4">
      <c r="A47" s="145" t="s">
        <v>340</v>
      </c>
      <c r="B47" s="160">
        <v>0</v>
      </c>
      <c r="C47" s="160">
        <v>0</v>
      </c>
      <c r="D47" s="160">
        <v>0</v>
      </c>
      <c r="E47" s="160">
        <f t="shared" ref="E47:F47" si="7">SUM(E42:E45)</f>
        <v>0</v>
      </c>
      <c r="F47" s="161">
        <f t="shared" si="7"/>
        <v>0</v>
      </c>
      <c r="H47" s="148">
        <f>SUM(H42:H45)</f>
        <v>0</v>
      </c>
      <c r="J47" s="127"/>
    </row>
    <row r="48" spans="1:10" ht="21.75" outlineLevel="1" thickBot="1" x14ac:dyDescent="0.4">
      <c r="A48" s="149"/>
      <c r="B48" s="150"/>
      <c r="C48" s="150"/>
      <c r="D48" s="150"/>
      <c r="E48" s="150"/>
      <c r="F48" s="151"/>
      <c r="H48" s="152"/>
      <c r="J48" s="87"/>
    </row>
    <row r="49" spans="1:10" ht="21.75" thickBot="1" x14ac:dyDescent="0.4">
      <c r="A49" s="153" t="s">
        <v>349</v>
      </c>
      <c r="B49" s="154" t="e">
        <f>SUM(B23,B31,B39,B47)</f>
        <v>#REF!</v>
      </c>
      <c r="C49" s="154">
        <f>SUM(C23,C31,C39,C47)</f>
        <v>0</v>
      </c>
      <c r="D49" s="154">
        <f>SUM(D23,D31,D39,D47)</f>
        <v>0</v>
      </c>
      <c r="E49" s="154">
        <f>SUM(E23,E31,E39,E47)</f>
        <v>0</v>
      </c>
      <c r="F49" s="155">
        <f>SUM(F23,F31,F39,F47)</f>
        <v>0</v>
      </c>
      <c r="G49" s="11"/>
      <c r="H49" s="156" t="e">
        <f>SUM(H23,H31,H39,H47)</f>
        <v>#REF!</v>
      </c>
      <c r="J49" s="127"/>
    </row>
  </sheetData>
  <mergeCells count="5">
    <mergeCell ref="A32:A33"/>
    <mergeCell ref="A40:A41"/>
    <mergeCell ref="A4:A5"/>
    <mergeCell ref="A16:A17"/>
    <mergeCell ref="A24:A25"/>
  </mergeCells>
  <dataValidations count="2">
    <dataValidation type="list" allowBlank="1" showInputMessage="1" showErrorMessage="1" sqref="J23 J13 J31 J39 J11" xr:uid="{2AB4F87C-C87C-41F7-AA71-4C3D555F2723}">
      <formula1>"Compilati, Rendicontato, Inviato con SAL, In attesa di autorizzazione a fatturare, Fatturato"</formula1>
    </dataValidation>
    <dataValidation type="list" allowBlank="1" showInputMessage="1" showErrorMessage="1" sqref="J12 J47:J49" xr:uid="{10F0FC79-2C1B-417A-9CEF-0984ECB17C43}">
      <formula1>"Rendicontato, Inviato con SAL, In attesa di autorizzazione a fatturare, Fatturato"</formula1>
    </dataValidation>
  </dataValidations>
  <pageMargins left="0.7" right="0.7" top="0.75" bottom="0.75" header="0.3" footer="0.3"/>
  <pageSetup paperSize="9" orientation="portrait" r:id="rId1"/>
  <headerFooter>
    <oddFooter>&amp;C&amp;1#&amp;"Calibri"&amp;10&amp;K000000Company General Use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54"/>
  <sheetViews>
    <sheetView tabSelected="1" zoomScale="70" zoomScaleNormal="70" workbookViewId="0">
      <pane ySplit="2" topLeftCell="A3" activePane="bottomLeft" state="frozen"/>
      <selection activeCell="A73" sqref="A73:XFD73"/>
      <selection pane="bottomLeft" activeCell="D38" sqref="D38"/>
    </sheetView>
  </sheetViews>
  <sheetFormatPr defaultColWidth="13.28515625" defaultRowHeight="26.25" x14ac:dyDescent="0.25"/>
  <cols>
    <col min="1" max="1" width="10.85546875" style="5" customWidth="1"/>
    <col min="2" max="2" width="0" style="5" hidden="1" customWidth="1"/>
    <col min="3" max="3" width="64.42578125" style="247" customWidth="1"/>
    <col min="4" max="4" width="161.42578125" style="248" customWidth="1"/>
  </cols>
  <sheetData>
    <row r="1" spans="1:70" s="241" customFormat="1" ht="72" customHeight="1" x14ac:dyDescent="0.35">
      <c r="A1" s="249"/>
      <c r="B1" s="249"/>
      <c r="C1" s="250" t="s">
        <v>370</v>
      </c>
      <c r="D1" s="250"/>
    </row>
    <row r="2" spans="1:70" s="95" customFormat="1" ht="63" x14ac:dyDescent="0.25">
      <c r="A2" s="17" t="s">
        <v>6</v>
      </c>
      <c r="B2" s="73" t="s">
        <v>353</v>
      </c>
      <c r="C2" s="251" t="s">
        <v>8</v>
      </c>
      <c r="D2" s="251" t="s">
        <v>371</v>
      </c>
    </row>
    <row r="3" spans="1:70" s="69" customFormat="1" ht="21" x14ac:dyDescent="0.35">
      <c r="A3" s="162"/>
      <c r="B3" s="162"/>
      <c r="C3" s="252" t="s">
        <v>215</v>
      </c>
      <c r="D3" s="253" t="s">
        <v>373</v>
      </c>
    </row>
    <row r="4" spans="1:70" s="69" customFormat="1" ht="21" x14ac:dyDescent="0.35">
      <c r="A4" s="163"/>
      <c r="B4" s="163"/>
      <c r="C4" s="63" t="s">
        <v>252</v>
      </c>
      <c r="D4" s="253"/>
    </row>
    <row r="5" spans="1:70" s="69" customFormat="1" ht="21" x14ac:dyDescent="0.35">
      <c r="A5" s="163"/>
      <c r="B5" s="163"/>
      <c r="C5" s="252" t="s">
        <v>216</v>
      </c>
      <c r="D5" s="253"/>
    </row>
    <row r="6" spans="1:70" s="69" customFormat="1" ht="21" x14ac:dyDescent="0.35">
      <c r="A6" s="163"/>
      <c r="B6" s="163"/>
      <c r="C6" s="63" t="s">
        <v>217</v>
      </c>
      <c r="D6" s="253"/>
      <c r="E6" s="1"/>
      <c r="F6" s="1"/>
      <c r="G6" s="1"/>
      <c r="H6" s="1"/>
      <c r="I6" s="1"/>
      <c r="J6" s="1"/>
      <c r="K6" s="1"/>
      <c r="L6" s="1"/>
      <c r="M6" s="1"/>
      <c r="N6" s="1"/>
      <c r="O6" s="1"/>
      <c r="P6" s="1"/>
      <c r="Q6" s="1"/>
      <c r="R6" s="1"/>
      <c r="S6" s="1"/>
      <c r="T6" s="1"/>
      <c r="U6" s="1"/>
      <c r="V6" s="1"/>
      <c r="W6" s="1"/>
      <c r="X6" s="1"/>
      <c r="Y6" s="1"/>
    </row>
    <row r="7" spans="1:70" s="69" customFormat="1" ht="21" x14ac:dyDescent="0.35">
      <c r="A7" s="163"/>
      <c r="B7" s="163"/>
      <c r="C7" s="63" t="s">
        <v>232</v>
      </c>
      <c r="D7" s="253"/>
      <c r="E7" s="1"/>
      <c r="F7" s="1"/>
      <c r="G7" s="1"/>
      <c r="H7" s="1"/>
      <c r="I7" s="1"/>
      <c r="J7" s="1"/>
      <c r="K7" s="1"/>
      <c r="L7" s="1"/>
      <c r="M7" s="1"/>
      <c r="N7" s="1"/>
      <c r="O7" s="1"/>
      <c r="P7" s="1"/>
      <c r="Q7" s="1"/>
      <c r="R7" s="1"/>
      <c r="S7" s="1"/>
      <c r="T7" s="1"/>
      <c r="U7" s="1"/>
      <c r="V7" s="1"/>
      <c r="W7" s="1"/>
      <c r="X7" s="1"/>
      <c r="Y7" s="1"/>
    </row>
    <row r="8" spans="1:70" s="69" customFormat="1" ht="21" x14ac:dyDescent="0.35">
      <c r="A8" s="163"/>
      <c r="B8" s="163"/>
      <c r="C8" s="63" t="s">
        <v>218</v>
      </c>
      <c r="D8" s="253"/>
      <c r="E8" s="1"/>
      <c r="F8" s="1"/>
      <c r="G8" s="1"/>
      <c r="H8" s="1"/>
      <c r="I8" s="1"/>
      <c r="J8" s="1"/>
      <c r="K8" s="1"/>
      <c r="L8" s="1"/>
      <c r="M8" s="1"/>
      <c r="N8" s="1"/>
      <c r="O8" s="1"/>
      <c r="P8" s="1"/>
      <c r="Q8" s="1"/>
      <c r="R8" s="1"/>
      <c r="S8" s="1"/>
      <c r="T8" s="1"/>
      <c r="U8" s="1"/>
      <c r="V8" s="1"/>
      <c r="W8" s="1"/>
      <c r="X8" s="1"/>
      <c r="Y8" s="1"/>
    </row>
    <row r="9" spans="1:70" s="70" customFormat="1" ht="67.5" customHeight="1" x14ac:dyDescent="0.35">
      <c r="A9" s="254"/>
      <c r="B9" s="254"/>
      <c r="C9" s="255" t="s">
        <v>350</v>
      </c>
      <c r="D9" s="255"/>
      <c r="E9" s="1"/>
      <c r="F9" s="1"/>
      <c r="G9" s="1"/>
      <c r="H9" s="1"/>
      <c r="I9" s="1"/>
      <c r="J9" s="1"/>
      <c r="K9" s="1"/>
      <c r="L9" s="1"/>
      <c r="M9" s="1"/>
      <c r="N9" s="1"/>
      <c r="O9" s="1"/>
      <c r="P9" s="1"/>
      <c r="Q9" s="1"/>
      <c r="R9" s="1"/>
      <c r="S9" s="1"/>
      <c r="T9" s="1"/>
      <c r="U9" s="1"/>
      <c r="V9" s="1"/>
      <c r="W9" s="1"/>
      <c r="X9" s="1"/>
      <c r="Y9" s="1"/>
    </row>
    <row r="10" spans="1:70" s="75" customFormat="1" ht="255.75" customHeight="1" x14ac:dyDescent="0.25">
      <c r="A10" s="74">
        <v>0</v>
      </c>
      <c r="B10" s="74"/>
      <c r="C10" s="242" t="s">
        <v>270</v>
      </c>
      <c r="D10" s="243" t="s">
        <v>374</v>
      </c>
    </row>
    <row r="11" spans="1:70" s="1" customFormat="1" ht="21" x14ac:dyDescent="0.35">
      <c r="A11" s="72">
        <v>1</v>
      </c>
      <c r="B11" s="72"/>
      <c r="C11" s="256" t="s">
        <v>277</v>
      </c>
      <c r="D11" s="256"/>
    </row>
    <row r="12" spans="1:70" s="83" customFormat="1" ht="84" x14ac:dyDescent="0.25">
      <c r="A12" s="74" t="s">
        <v>11</v>
      </c>
      <c r="B12" s="74"/>
      <c r="C12" s="165" t="s">
        <v>299</v>
      </c>
      <c r="D12" s="165" t="s">
        <v>375</v>
      </c>
    </row>
    <row r="13" spans="1:70" s="81" customFormat="1" ht="168" x14ac:dyDescent="0.35">
      <c r="A13" s="74" t="s">
        <v>242</v>
      </c>
      <c r="B13" s="74"/>
      <c r="C13" s="165" t="s">
        <v>302</v>
      </c>
      <c r="D13" s="257" t="s">
        <v>376</v>
      </c>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row>
    <row r="14" spans="1:70" s="87" customFormat="1" ht="63" x14ac:dyDescent="0.35">
      <c r="A14" s="74" t="s">
        <v>231</v>
      </c>
      <c r="B14" s="74"/>
      <c r="C14" s="165" t="s">
        <v>309</v>
      </c>
      <c r="D14" s="257"/>
    </row>
    <row r="15" spans="1:70" s="1" customFormat="1" ht="21" x14ac:dyDescent="0.35">
      <c r="A15" s="74" t="s">
        <v>241</v>
      </c>
      <c r="B15" s="74"/>
      <c r="C15" s="165" t="s">
        <v>310</v>
      </c>
      <c r="D15" s="257"/>
    </row>
    <row r="16" spans="1:70" s="1" customFormat="1" ht="86.25" customHeight="1" x14ac:dyDescent="0.35">
      <c r="A16" s="74" t="s">
        <v>254</v>
      </c>
      <c r="B16" s="74"/>
      <c r="C16" s="165" t="s">
        <v>300</v>
      </c>
      <c r="D16" s="257"/>
    </row>
    <row r="17" spans="1:70" s="1" customFormat="1" ht="21" x14ac:dyDescent="0.35">
      <c r="A17" s="72">
        <v>2</v>
      </c>
      <c r="B17" s="72"/>
      <c r="C17" s="256" t="s">
        <v>284</v>
      </c>
      <c r="D17" s="256"/>
    </row>
    <row r="18" spans="1:70" s="1" customFormat="1" ht="42" x14ac:dyDescent="0.35">
      <c r="A18" s="99" t="s">
        <v>272</v>
      </c>
      <c r="B18" s="99"/>
      <c r="C18" s="165" t="s">
        <v>244</v>
      </c>
      <c r="D18" s="257" t="s">
        <v>377</v>
      </c>
    </row>
    <row r="19" spans="1:70" s="1" customFormat="1" ht="21" x14ac:dyDescent="0.35">
      <c r="A19" s="99" t="s">
        <v>273</v>
      </c>
      <c r="B19" s="99"/>
      <c r="C19" s="165" t="s">
        <v>245</v>
      </c>
      <c r="D19" s="257"/>
    </row>
    <row r="20" spans="1:70" s="1" customFormat="1" ht="21" x14ac:dyDescent="0.35">
      <c r="A20" s="99" t="s">
        <v>280</v>
      </c>
      <c r="B20" s="99"/>
      <c r="C20" s="165" t="s">
        <v>253</v>
      </c>
      <c r="D20" s="257"/>
    </row>
    <row r="21" spans="1:70" s="1" customFormat="1" ht="21" x14ac:dyDescent="0.35">
      <c r="A21" s="99" t="s">
        <v>281</v>
      </c>
      <c r="B21" s="99"/>
      <c r="C21" s="165" t="s">
        <v>246</v>
      </c>
      <c r="D21" s="257"/>
    </row>
    <row r="22" spans="1:70" s="1" customFormat="1" ht="183" customHeight="1" x14ac:dyDescent="0.35">
      <c r="A22" s="99" t="s">
        <v>282</v>
      </c>
      <c r="B22" s="99"/>
      <c r="C22" s="165" t="s">
        <v>247</v>
      </c>
      <c r="D22" s="257"/>
    </row>
    <row r="23" spans="1:70" s="1" customFormat="1" ht="63" x14ac:dyDescent="0.35">
      <c r="A23" s="99" t="s">
        <v>283</v>
      </c>
      <c r="B23" s="99"/>
      <c r="C23" s="165" t="s">
        <v>306</v>
      </c>
      <c r="D23" s="165" t="s">
        <v>378</v>
      </c>
    </row>
    <row r="24" spans="1:70" s="1" customFormat="1" ht="21" x14ac:dyDescent="0.35">
      <c r="A24" s="72">
        <v>3</v>
      </c>
      <c r="B24" s="72"/>
      <c r="C24" s="256" t="s">
        <v>278</v>
      </c>
      <c r="D24" s="256"/>
    </row>
    <row r="25" spans="1:70" s="87" customFormat="1" ht="63" x14ac:dyDescent="0.35">
      <c r="A25" s="74" t="s">
        <v>230</v>
      </c>
      <c r="B25" s="74"/>
      <c r="C25" s="165" t="s">
        <v>307</v>
      </c>
      <c r="D25" s="257" t="s">
        <v>379</v>
      </c>
    </row>
    <row r="26" spans="1:70" s="81" customFormat="1" ht="42" x14ac:dyDescent="0.35">
      <c r="A26" s="74" t="s">
        <v>226</v>
      </c>
      <c r="B26" s="74"/>
      <c r="C26" s="165" t="s">
        <v>311</v>
      </c>
      <c r="D26" s="257"/>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row>
    <row r="27" spans="1:70" s="87" customFormat="1" ht="42" x14ac:dyDescent="0.35">
      <c r="A27" s="74" t="s">
        <v>243</v>
      </c>
      <c r="B27" s="74"/>
      <c r="C27" s="165" t="s">
        <v>312</v>
      </c>
      <c r="D27" s="257"/>
    </row>
    <row r="28" spans="1:70" s="1" customFormat="1" ht="21" x14ac:dyDescent="0.35">
      <c r="A28" s="72">
        <v>4</v>
      </c>
      <c r="B28" s="72"/>
      <c r="C28" s="256" t="s">
        <v>276</v>
      </c>
      <c r="D28" s="256"/>
    </row>
    <row r="29" spans="1:70" s="87" customFormat="1" ht="63" x14ac:dyDescent="0.35">
      <c r="A29" s="74" t="s">
        <v>274</v>
      </c>
      <c r="B29" s="74"/>
      <c r="C29" s="165" t="s">
        <v>308</v>
      </c>
      <c r="D29" s="165" t="s">
        <v>380</v>
      </c>
    </row>
    <row r="30" spans="1:70" s="79" customFormat="1" ht="93" customHeight="1" x14ac:dyDescent="0.35">
      <c r="A30" s="74" t="s">
        <v>275</v>
      </c>
      <c r="B30" s="74"/>
      <c r="C30" s="165" t="s">
        <v>301</v>
      </c>
      <c r="D30" s="257" t="s">
        <v>368</v>
      </c>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row>
    <row r="31" spans="1:70" s="81" customFormat="1" ht="210" customHeight="1" x14ac:dyDescent="0.35">
      <c r="A31" s="74" t="s">
        <v>285</v>
      </c>
      <c r="B31" s="74"/>
      <c r="C31" s="165" t="s">
        <v>296</v>
      </c>
      <c r="D31" s="257"/>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row>
    <row r="32" spans="1:70" s="87" customFormat="1" ht="63" x14ac:dyDescent="0.35">
      <c r="A32" s="74" t="s">
        <v>286</v>
      </c>
      <c r="B32" s="74"/>
      <c r="C32" s="165" t="s">
        <v>271</v>
      </c>
      <c r="D32" s="257" t="s">
        <v>372</v>
      </c>
    </row>
    <row r="33" spans="1:70" s="75" customFormat="1" ht="42" x14ac:dyDescent="0.25">
      <c r="A33" s="74" t="s">
        <v>287</v>
      </c>
      <c r="B33" s="74"/>
      <c r="C33" s="86" t="s">
        <v>304</v>
      </c>
      <c r="D33" s="257"/>
    </row>
    <row r="34" spans="1:70" s="75" customFormat="1" ht="189" customHeight="1" x14ac:dyDescent="0.25">
      <c r="A34" s="74" t="s">
        <v>288</v>
      </c>
      <c r="B34" s="74"/>
      <c r="C34" s="86" t="s">
        <v>303</v>
      </c>
      <c r="D34" s="257"/>
    </row>
    <row r="35" spans="1:70" s="81" customFormat="1" ht="63" x14ac:dyDescent="0.35">
      <c r="A35" s="74" t="s">
        <v>289</v>
      </c>
      <c r="B35" s="74"/>
      <c r="C35" s="165" t="s">
        <v>279</v>
      </c>
      <c r="D35" s="165" t="s">
        <v>381</v>
      </c>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row>
    <row r="36" spans="1:70" s="87" customFormat="1" ht="63" x14ac:dyDescent="0.35">
      <c r="A36" s="74" t="s">
        <v>290</v>
      </c>
      <c r="B36" s="74"/>
      <c r="C36" s="165" t="s">
        <v>305</v>
      </c>
      <c r="D36" s="257" t="s">
        <v>382</v>
      </c>
    </row>
    <row r="37" spans="1:70" s="87" customFormat="1" ht="42" x14ac:dyDescent="0.35">
      <c r="A37" s="74" t="s">
        <v>298</v>
      </c>
      <c r="B37" s="74"/>
      <c r="C37" s="165" t="s">
        <v>297</v>
      </c>
      <c r="D37" s="257"/>
    </row>
    <row r="38" spans="1:70" s="70" customFormat="1" ht="265.5" customHeight="1" x14ac:dyDescent="0.35">
      <c r="A38" s="254"/>
      <c r="B38" s="254"/>
      <c r="C38" s="255" t="s">
        <v>351</v>
      </c>
      <c r="D38" s="258" t="s">
        <v>383</v>
      </c>
      <c r="E38" s="1"/>
      <c r="F38" s="1"/>
      <c r="G38" s="1"/>
      <c r="H38" s="1"/>
      <c r="I38" s="1"/>
      <c r="J38" s="1"/>
      <c r="K38" s="1"/>
      <c r="L38" s="1"/>
      <c r="M38" s="1"/>
      <c r="N38" s="1"/>
      <c r="O38" s="1"/>
      <c r="P38" s="1"/>
      <c r="Q38" s="1"/>
      <c r="R38" s="1"/>
      <c r="S38" s="1"/>
      <c r="T38" s="1"/>
      <c r="U38" s="1"/>
      <c r="V38" s="1"/>
      <c r="W38" s="1"/>
      <c r="X38" s="1"/>
      <c r="Y38" s="1"/>
    </row>
    <row r="39" spans="1:70" s="79" customFormat="1" ht="21" x14ac:dyDescent="0.35">
      <c r="A39" s="162">
        <v>5</v>
      </c>
      <c r="B39" s="162"/>
      <c r="C39" s="244" t="s">
        <v>20</v>
      </c>
      <c r="D39" s="244"/>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spans="1:70" s="75" customFormat="1" ht="21" x14ac:dyDescent="0.25">
      <c r="A40" s="97" t="s">
        <v>319</v>
      </c>
      <c r="B40" s="97"/>
      <c r="C40" s="89" t="s">
        <v>258</v>
      </c>
      <c r="D40" s="89"/>
    </row>
    <row r="41" spans="1:70" s="75" customFormat="1" ht="21" x14ac:dyDescent="0.25">
      <c r="A41" s="164" t="s">
        <v>320</v>
      </c>
      <c r="B41" s="164"/>
      <c r="C41" s="86" t="s">
        <v>259</v>
      </c>
      <c r="D41" s="259" t="s">
        <v>369</v>
      </c>
    </row>
    <row r="42" spans="1:70" s="75" customFormat="1" ht="21" x14ac:dyDescent="0.25">
      <c r="A42" s="164" t="s">
        <v>321</v>
      </c>
      <c r="B42" s="164"/>
      <c r="C42" s="86" t="s">
        <v>260</v>
      </c>
      <c r="D42" s="259"/>
    </row>
    <row r="43" spans="1:70" s="75" customFormat="1" ht="21" x14ac:dyDescent="0.25">
      <c r="A43" s="164" t="s">
        <v>322</v>
      </c>
      <c r="B43" s="164"/>
      <c r="C43" s="86" t="s">
        <v>294</v>
      </c>
      <c r="D43" s="259"/>
    </row>
    <row r="44" spans="1:70" s="75" customFormat="1" ht="21" x14ac:dyDescent="0.25">
      <c r="A44" s="164" t="s">
        <v>323</v>
      </c>
      <c r="B44" s="164"/>
      <c r="C44" s="86" t="s">
        <v>295</v>
      </c>
      <c r="D44" s="245"/>
    </row>
    <row r="45" spans="1:70" s="75" customFormat="1" ht="21" x14ac:dyDescent="0.25">
      <c r="A45" s="97" t="s">
        <v>324</v>
      </c>
      <c r="B45" s="97"/>
      <c r="C45" s="89" t="s">
        <v>262</v>
      </c>
      <c r="D45" s="89"/>
    </row>
    <row r="46" spans="1:70" s="75" customFormat="1" ht="21" x14ac:dyDescent="0.25">
      <c r="A46" s="164" t="s">
        <v>325</v>
      </c>
      <c r="B46" s="164"/>
      <c r="C46" s="86" t="s">
        <v>261</v>
      </c>
      <c r="D46" s="86"/>
    </row>
    <row r="47" spans="1:70" s="75" customFormat="1" ht="21" x14ac:dyDescent="0.25">
      <c r="A47" s="164" t="s">
        <v>326</v>
      </c>
      <c r="B47" s="164"/>
      <c r="C47" s="86" t="s">
        <v>263</v>
      </c>
      <c r="D47" s="86"/>
    </row>
    <row r="48" spans="1:70" s="80" customFormat="1" ht="21" x14ac:dyDescent="0.35">
      <c r="A48" s="162">
        <v>6</v>
      </c>
      <c r="B48" s="162"/>
      <c r="C48" s="246" t="s">
        <v>18</v>
      </c>
      <c r="D48" s="246"/>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spans="1:4" s="1" customFormat="1" ht="21" x14ac:dyDescent="0.35">
      <c r="A49" s="72" t="s">
        <v>291</v>
      </c>
      <c r="B49" s="72"/>
      <c r="C49" s="71" t="s">
        <v>313</v>
      </c>
      <c r="D49" s="259" t="s">
        <v>369</v>
      </c>
    </row>
    <row r="50" spans="1:4" s="1" customFormat="1" ht="21" x14ac:dyDescent="0.35">
      <c r="A50" s="72" t="s">
        <v>292</v>
      </c>
      <c r="B50" s="72"/>
      <c r="C50" s="71" t="s">
        <v>314</v>
      </c>
      <c r="D50" s="259"/>
    </row>
    <row r="51" spans="1:4" s="1" customFormat="1" ht="21" x14ac:dyDescent="0.35">
      <c r="A51" s="72" t="s">
        <v>327</v>
      </c>
      <c r="B51" s="72"/>
      <c r="C51" s="71" t="s">
        <v>315</v>
      </c>
      <c r="D51" s="259"/>
    </row>
    <row r="52" spans="1:4" s="1" customFormat="1" ht="21" x14ac:dyDescent="0.35">
      <c r="A52" s="72" t="s">
        <v>328</v>
      </c>
      <c r="B52" s="72"/>
      <c r="C52" s="71" t="s">
        <v>316</v>
      </c>
      <c r="D52" s="93"/>
    </row>
    <row r="53" spans="1:4" s="1" customFormat="1" ht="21" x14ac:dyDescent="0.35">
      <c r="A53" s="72" t="s">
        <v>329</v>
      </c>
      <c r="B53" s="72"/>
      <c r="C53" s="71" t="s">
        <v>317</v>
      </c>
      <c r="D53" s="93"/>
    </row>
    <row r="54" spans="1:4" s="1" customFormat="1" ht="21" x14ac:dyDescent="0.35">
      <c r="A54" s="72" t="s">
        <v>330</v>
      </c>
      <c r="B54" s="72"/>
      <c r="C54" s="71" t="s">
        <v>318</v>
      </c>
      <c r="D54" s="93"/>
    </row>
  </sheetData>
  <mergeCells count="10">
    <mergeCell ref="C1:D1"/>
    <mergeCell ref="D3:D8"/>
    <mergeCell ref="D36:D37"/>
    <mergeCell ref="D25:D27"/>
    <mergeCell ref="D41:D43"/>
    <mergeCell ref="D49:D51"/>
    <mergeCell ref="D13:D16"/>
    <mergeCell ref="D18:D22"/>
    <mergeCell ref="D30:D31"/>
    <mergeCell ref="D32:D34"/>
  </mergeCells>
  <phoneticPr fontId="27" type="noConversion"/>
  <pageMargins left="0.7" right="0.7" top="0.75" bottom="0.75" header="0.3" footer="0.3"/>
  <pageSetup paperSize="9" orientation="portrait" horizontalDpi="90" verticalDpi="90" r:id="rId1"/>
  <headerFooter>
    <oddFooter>&amp;C&amp;1#&amp;"Calibri"&amp;10&amp;K000000Company General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H12"/>
  <sheetViews>
    <sheetView zoomScale="70" workbookViewId="0">
      <selection activeCell="H38" sqref="H38"/>
    </sheetView>
  </sheetViews>
  <sheetFormatPr defaultColWidth="19.42578125" defaultRowHeight="15.75" x14ac:dyDescent="0.25"/>
  <cols>
    <col min="3" max="7" width="38.85546875" style="11" customWidth="1"/>
    <col min="8" max="8" width="35.42578125" bestFit="1" customWidth="1"/>
  </cols>
  <sheetData>
    <row r="1" spans="3:8" x14ac:dyDescent="0.25">
      <c r="C1" s="18" t="s">
        <v>21</v>
      </c>
      <c r="D1" s="18" t="s">
        <v>22</v>
      </c>
      <c r="E1" s="19" t="s">
        <v>23</v>
      </c>
      <c r="F1" s="20" t="s">
        <v>24</v>
      </c>
      <c r="G1" s="18" t="s">
        <v>25</v>
      </c>
      <c r="H1" s="18" t="s">
        <v>9</v>
      </c>
    </row>
    <row r="2" spans="3:8" x14ac:dyDescent="0.25">
      <c r="C2" s="21" t="s">
        <v>26</v>
      </c>
      <c r="D2" s="22" t="s">
        <v>27</v>
      </c>
      <c r="E2" s="22"/>
      <c r="F2" s="16"/>
      <c r="G2" s="22" t="s">
        <v>28</v>
      </c>
      <c r="H2" s="15" t="s">
        <v>29</v>
      </c>
    </row>
    <row r="3" spans="3:8" x14ac:dyDescent="0.25">
      <c r="C3" s="21" t="s">
        <v>14</v>
      </c>
      <c r="D3" s="22" t="s">
        <v>30</v>
      </c>
      <c r="E3" s="22"/>
      <c r="F3" s="23"/>
      <c r="G3" s="22" t="s">
        <v>31</v>
      </c>
      <c r="H3" s="15"/>
    </row>
    <row r="4" spans="3:8" x14ac:dyDescent="0.25">
      <c r="C4" s="21" t="s">
        <v>15</v>
      </c>
      <c r="D4" s="22" t="s">
        <v>32</v>
      </c>
      <c r="E4" s="22"/>
      <c r="F4" s="16"/>
      <c r="G4" s="12"/>
      <c r="H4" s="15"/>
    </row>
    <row r="5" spans="3:8" x14ac:dyDescent="0.25">
      <c r="C5" s="21" t="s">
        <v>17</v>
      </c>
      <c r="D5" s="22"/>
      <c r="E5" s="22"/>
      <c r="F5" s="16"/>
      <c r="G5" s="12"/>
      <c r="H5" s="15"/>
    </row>
    <row r="6" spans="3:8" x14ac:dyDescent="0.25">
      <c r="C6" s="21" t="s">
        <v>33</v>
      </c>
      <c r="D6" s="22"/>
      <c r="E6" s="22"/>
      <c r="F6" s="16"/>
      <c r="G6" s="12"/>
      <c r="H6" s="15"/>
    </row>
    <row r="7" spans="3:8" ht="31.5" x14ac:dyDescent="0.25">
      <c r="C7" s="21" t="s">
        <v>34</v>
      </c>
      <c r="D7" s="22"/>
      <c r="E7" s="22"/>
      <c r="F7" s="16"/>
      <c r="G7" s="12"/>
      <c r="H7" s="15"/>
    </row>
    <row r="8" spans="3:8" x14ac:dyDescent="0.25">
      <c r="C8" s="21" t="s">
        <v>35</v>
      </c>
      <c r="D8" s="12"/>
      <c r="E8" s="22"/>
      <c r="F8" s="16"/>
      <c r="G8" s="12"/>
      <c r="H8" s="15"/>
    </row>
    <row r="9" spans="3:8" x14ac:dyDescent="0.25">
      <c r="C9" s="21" t="s">
        <v>10</v>
      </c>
      <c r="D9" s="12"/>
      <c r="E9" s="22"/>
      <c r="F9" s="16"/>
      <c r="G9" s="12"/>
      <c r="H9" s="15"/>
    </row>
    <row r="10" spans="3:8" x14ac:dyDescent="0.25">
      <c r="C10" s="21" t="s">
        <v>36</v>
      </c>
      <c r="D10" s="12"/>
      <c r="E10" s="22"/>
      <c r="F10" s="16"/>
      <c r="G10" s="12"/>
      <c r="H10" s="15"/>
    </row>
    <row r="11" spans="3:8" x14ac:dyDescent="0.25">
      <c r="C11" s="21" t="s">
        <v>37</v>
      </c>
      <c r="D11" s="12"/>
      <c r="E11" s="22"/>
      <c r="F11" s="16"/>
      <c r="G11" s="12"/>
      <c r="H11" s="15"/>
    </row>
    <row r="12" spans="3:8" x14ac:dyDescent="0.25">
      <c r="C12" s="21" t="s">
        <v>13</v>
      </c>
      <c r="D12" s="12"/>
      <c r="E12" s="12"/>
      <c r="F12" s="16"/>
      <c r="G12" s="12"/>
      <c r="H12" s="15"/>
    </row>
  </sheetData>
  <sheetProtection algorithmName="SHA-512" hashValue="PZJUpa8r4HqhmbvTInu7lo0oXmwzhKBHEKoqIilrpF5H2shpuKxKpAM9xtp7XcRQxHJfpW9Y6V9HTdfmOiEQ2g==" saltValue="8hPaKTEey6KKtWTholTqDw==" spinCount="100000" sheet="1" objects="1" scenarios="1"/>
  <pageMargins left="0.7" right="0.7" top="0.75" bottom="0.75" header="0.3" footer="0.3"/>
  <pageSetup paperSize="9" orientation="portrait" horizontalDpi="90" verticalDpi="90" r:id="rId1"/>
  <headerFooter>
    <oddFooter>&amp;C&amp;1#&amp;"Calibri"&amp;10&amp;K000000Company General Use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9"/>
  <sheetViews>
    <sheetView zoomScale="80" workbookViewId="0">
      <pane ySplit="1" topLeftCell="A2" activePane="bottomLeft" state="frozen"/>
      <selection pane="bottomLeft"/>
    </sheetView>
  </sheetViews>
  <sheetFormatPr defaultColWidth="8.5703125" defaultRowHeight="15" x14ac:dyDescent="0.25"/>
  <cols>
    <col min="1" max="1" width="11.42578125" customWidth="1"/>
    <col min="2" max="2" width="152.85546875" bestFit="1" customWidth="1"/>
  </cols>
  <sheetData>
    <row r="1" spans="1:2" ht="45" x14ac:dyDescent="0.25">
      <c r="A1" s="24" t="s">
        <v>38</v>
      </c>
      <c r="B1" s="25" t="s">
        <v>39</v>
      </c>
    </row>
    <row r="2" spans="1:2" x14ac:dyDescent="0.25">
      <c r="A2" s="26" t="s">
        <v>40</v>
      </c>
      <c r="B2" s="15" t="s">
        <v>41</v>
      </c>
    </row>
    <row r="3" spans="1:2" x14ac:dyDescent="0.25">
      <c r="A3" s="26" t="s">
        <v>42</v>
      </c>
      <c r="B3" s="15" t="s">
        <v>43</v>
      </c>
    </row>
    <row r="4" spans="1:2" x14ac:dyDescent="0.25">
      <c r="A4" s="26" t="s">
        <v>44</v>
      </c>
      <c r="B4" s="15" t="s">
        <v>45</v>
      </c>
    </row>
    <row r="5" spans="1:2" x14ac:dyDescent="0.25">
      <c r="A5" s="26" t="s">
        <v>46</v>
      </c>
      <c r="B5" s="15" t="s">
        <v>47</v>
      </c>
    </row>
    <row r="6" spans="1:2" x14ac:dyDescent="0.25">
      <c r="A6" s="26" t="s">
        <v>48</v>
      </c>
      <c r="B6" s="15" t="s">
        <v>49</v>
      </c>
    </row>
    <row r="7" spans="1:2" x14ac:dyDescent="0.25">
      <c r="A7" s="26" t="s">
        <v>50</v>
      </c>
      <c r="B7" s="15" t="s">
        <v>51</v>
      </c>
    </row>
    <row r="8" spans="1:2" x14ac:dyDescent="0.25">
      <c r="A8" s="26" t="s">
        <v>52</v>
      </c>
      <c r="B8" s="15" t="s">
        <v>53</v>
      </c>
    </row>
    <row r="9" spans="1:2" x14ac:dyDescent="0.25">
      <c r="A9" s="26" t="s">
        <v>54</v>
      </c>
      <c r="B9" s="15" t="s">
        <v>55</v>
      </c>
    </row>
    <row r="10" spans="1:2" x14ac:dyDescent="0.25">
      <c r="A10" s="26" t="s">
        <v>56</v>
      </c>
      <c r="B10" s="15" t="s">
        <v>57</v>
      </c>
    </row>
    <row r="11" spans="1:2" x14ac:dyDescent="0.25">
      <c r="A11" s="26" t="s">
        <v>58</v>
      </c>
      <c r="B11" s="15" t="s">
        <v>59</v>
      </c>
    </row>
    <row r="12" spans="1:2" x14ac:dyDescent="0.25">
      <c r="A12" s="26" t="s">
        <v>60</v>
      </c>
      <c r="B12" s="15" t="s">
        <v>61</v>
      </c>
    </row>
    <row r="13" spans="1:2" x14ac:dyDescent="0.25">
      <c r="A13" s="26" t="s">
        <v>62</v>
      </c>
      <c r="B13" s="15" t="s">
        <v>63</v>
      </c>
    </row>
    <row r="14" spans="1:2" x14ac:dyDescent="0.25">
      <c r="A14" s="26" t="s">
        <v>64</v>
      </c>
      <c r="B14" s="15" t="s">
        <v>65</v>
      </c>
    </row>
    <row r="15" spans="1:2" x14ac:dyDescent="0.25">
      <c r="A15" s="27" t="s">
        <v>66</v>
      </c>
      <c r="B15" s="15" t="s">
        <v>67</v>
      </c>
    </row>
    <row r="16" spans="1:2" x14ac:dyDescent="0.25">
      <c r="A16" s="26" t="s">
        <v>68</v>
      </c>
      <c r="B16" s="15" t="s">
        <v>69</v>
      </c>
    </row>
    <row r="17" spans="1:2" x14ac:dyDescent="0.25">
      <c r="A17" s="26" t="s">
        <v>70</v>
      </c>
      <c r="B17" s="15" t="s">
        <v>71</v>
      </c>
    </row>
    <row r="18" spans="1:2" x14ac:dyDescent="0.25">
      <c r="A18" s="26" t="s">
        <v>72</v>
      </c>
      <c r="B18" s="15" t="s">
        <v>73</v>
      </c>
    </row>
    <row r="19" spans="1:2" x14ac:dyDescent="0.25">
      <c r="A19" s="26" t="s">
        <v>74</v>
      </c>
      <c r="B19" s="15" t="s">
        <v>75</v>
      </c>
    </row>
    <row r="20" spans="1:2" x14ac:dyDescent="0.25">
      <c r="A20" s="26" t="s">
        <v>76</v>
      </c>
      <c r="B20" s="28" t="s">
        <v>77</v>
      </c>
    </row>
    <row r="21" spans="1:2" x14ac:dyDescent="0.25">
      <c r="A21" s="26" t="s">
        <v>78</v>
      </c>
      <c r="B21" s="15" t="s">
        <v>79</v>
      </c>
    </row>
    <row r="22" spans="1:2" x14ac:dyDescent="0.25">
      <c r="A22" s="26" t="s">
        <v>80</v>
      </c>
      <c r="B22" s="15" t="s">
        <v>81</v>
      </c>
    </row>
    <row r="23" spans="1:2" x14ac:dyDescent="0.25">
      <c r="A23" s="26" t="s">
        <v>82</v>
      </c>
      <c r="B23" s="15" t="s">
        <v>83</v>
      </c>
    </row>
    <row r="24" spans="1:2" x14ac:dyDescent="0.25">
      <c r="A24" s="26" t="s">
        <v>84</v>
      </c>
      <c r="B24" s="29" t="s">
        <v>85</v>
      </c>
    </row>
    <row r="25" spans="1:2" x14ac:dyDescent="0.25">
      <c r="A25" s="26" t="s">
        <v>86</v>
      </c>
      <c r="B25" s="15" t="s">
        <v>87</v>
      </c>
    </row>
    <row r="26" spans="1:2" x14ac:dyDescent="0.25">
      <c r="A26" s="26" t="s">
        <v>88</v>
      </c>
      <c r="B26" s="15" t="s">
        <v>89</v>
      </c>
    </row>
    <row r="27" spans="1:2" x14ac:dyDescent="0.25">
      <c r="A27" s="26" t="s">
        <v>90</v>
      </c>
      <c r="B27" s="15" t="s">
        <v>91</v>
      </c>
    </row>
    <row r="28" spans="1:2" x14ac:dyDescent="0.25">
      <c r="A28" s="26" t="s">
        <v>92</v>
      </c>
      <c r="B28" s="29" t="s">
        <v>93</v>
      </c>
    </row>
    <row r="29" spans="1:2" x14ac:dyDescent="0.25">
      <c r="A29" s="26" t="s">
        <v>94</v>
      </c>
      <c r="B29" s="15" t="s">
        <v>95</v>
      </c>
    </row>
    <row r="30" spans="1:2" x14ac:dyDescent="0.25">
      <c r="A30" s="26" t="s">
        <v>96</v>
      </c>
      <c r="B30" s="15" t="s">
        <v>97</v>
      </c>
    </row>
    <row r="31" spans="1:2" x14ac:dyDescent="0.25">
      <c r="A31" s="26" t="s">
        <v>98</v>
      </c>
      <c r="B31" s="15" t="s">
        <v>99</v>
      </c>
    </row>
    <row r="32" spans="1:2" x14ac:dyDescent="0.25">
      <c r="A32" s="26" t="s">
        <v>100</v>
      </c>
      <c r="B32" s="15" t="s">
        <v>101</v>
      </c>
    </row>
    <row r="33" spans="1:2" x14ac:dyDescent="0.25">
      <c r="A33" s="26" t="s">
        <v>102</v>
      </c>
      <c r="B33" s="29" t="s">
        <v>103</v>
      </c>
    </row>
    <row r="34" spans="1:2" x14ac:dyDescent="0.25">
      <c r="A34" s="26" t="s">
        <v>104</v>
      </c>
      <c r="B34" s="15" t="s">
        <v>105</v>
      </c>
    </row>
    <row r="35" spans="1:2" x14ac:dyDescent="0.25">
      <c r="A35" s="26" t="s">
        <v>106</v>
      </c>
      <c r="B35" s="15" t="s">
        <v>107</v>
      </c>
    </row>
    <row r="36" spans="1:2" x14ac:dyDescent="0.25">
      <c r="A36" s="26" t="s">
        <v>108</v>
      </c>
      <c r="B36" s="15" t="s">
        <v>109</v>
      </c>
    </row>
    <row r="37" spans="1:2" x14ac:dyDescent="0.25">
      <c r="A37" s="26" t="s">
        <v>110</v>
      </c>
      <c r="B37" s="29" t="s">
        <v>111</v>
      </c>
    </row>
    <row r="38" spans="1:2" x14ac:dyDescent="0.25">
      <c r="A38" s="26" t="s">
        <v>112</v>
      </c>
      <c r="B38" s="15" t="s">
        <v>113</v>
      </c>
    </row>
    <row r="39" spans="1:2" x14ac:dyDescent="0.25">
      <c r="A39" s="26" t="s">
        <v>114</v>
      </c>
      <c r="B39" s="15" t="s">
        <v>115</v>
      </c>
    </row>
    <row r="40" spans="1:2" x14ac:dyDescent="0.25">
      <c r="A40" s="26" t="s">
        <v>116</v>
      </c>
      <c r="B40" s="15" t="s">
        <v>117</v>
      </c>
    </row>
    <row r="41" spans="1:2" x14ac:dyDescent="0.25">
      <c r="A41" s="26" t="s">
        <v>118</v>
      </c>
      <c r="B41" s="15" t="s">
        <v>119</v>
      </c>
    </row>
    <row r="42" spans="1:2" x14ac:dyDescent="0.25">
      <c r="A42" s="26" t="s">
        <v>120</v>
      </c>
      <c r="B42" s="15" t="s">
        <v>121</v>
      </c>
    </row>
    <row r="43" spans="1:2" x14ac:dyDescent="0.25">
      <c r="A43" s="26" t="s">
        <v>122</v>
      </c>
      <c r="B43" s="15" t="s">
        <v>123</v>
      </c>
    </row>
    <row r="44" spans="1:2" x14ac:dyDescent="0.25">
      <c r="A44" s="27" t="s">
        <v>124</v>
      </c>
      <c r="B44" s="28" t="s">
        <v>125</v>
      </c>
    </row>
    <row r="45" spans="1:2" x14ac:dyDescent="0.25">
      <c r="A45" s="26" t="s">
        <v>126</v>
      </c>
      <c r="B45" s="15" t="s">
        <v>127</v>
      </c>
    </row>
    <row r="46" spans="1:2" x14ac:dyDescent="0.25">
      <c r="A46" s="26" t="s">
        <v>128</v>
      </c>
      <c r="B46" s="15" t="s">
        <v>129</v>
      </c>
    </row>
    <row r="47" spans="1:2" x14ac:dyDescent="0.25">
      <c r="A47" s="26" t="s">
        <v>130</v>
      </c>
      <c r="B47" s="29" t="s">
        <v>131</v>
      </c>
    </row>
    <row r="48" spans="1:2" x14ac:dyDescent="0.25">
      <c r="A48" s="26" t="s">
        <v>132</v>
      </c>
      <c r="B48" s="15" t="s">
        <v>133</v>
      </c>
    </row>
    <row r="49" spans="1:2" x14ac:dyDescent="0.25">
      <c r="A49" s="26" t="s">
        <v>134</v>
      </c>
      <c r="B49" s="28" t="s">
        <v>135</v>
      </c>
    </row>
    <row r="50" spans="1:2" x14ac:dyDescent="0.25">
      <c r="A50" s="15" t="s">
        <v>136</v>
      </c>
      <c r="B50" s="15" t="s">
        <v>137</v>
      </c>
    </row>
    <row r="51" spans="1:2" x14ac:dyDescent="0.25">
      <c r="A51" s="15" t="s">
        <v>138</v>
      </c>
      <c r="B51" s="15" t="s">
        <v>139</v>
      </c>
    </row>
    <row r="52" spans="1:2" x14ac:dyDescent="0.25">
      <c r="A52" s="15" t="s">
        <v>140</v>
      </c>
      <c r="B52" s="15" t="s">
        <v>141</v>
      </c>
    </row>
    <row r="53" spans="1:2" x14ac:dyDescent="0.25">
      <c r="A53" s="26" t="s">
        <v>142</v>
      </c>
      <c r="B53" s="15" t="s">
        <v>143</v>
      </c>
    </row>
    <row r="54" spans="1:2" x14ac:dyDescent="0.25">
      <c r="A54" s="26" t="s">
        <v>144</v>
      </c>
      <c r="B54" s="15" t="s">
        <v>145</v>
      </c>
    </row>
    <row r="55" spans="1:2" x14ac:dyDescent="0.25">
      <c r="A55" s="26" t="s">
        <v>146</v>
      </c>
      <c r="B55" s="15" t="s">
        <v>147</v>
      </c>
    </row>
    <row r="56" spans="1:2" x14ac:dyDescent="0.25">
      <c r="A56" s="26" t="s">
        <v>148</v>
      </c>
      <c r="B56" s="15" t="s">
        <v>149</v>
      </c>
    </row>
    <row r="57" spans="1:2" x14ac:dyDescent="0.25">
      <c r="A57" s="26" t="s">
        <v>150</v>
      </c>
      <c r="B57" s="15" t="s">
        <v>151</v>
      </c>
    </row>
    <row r="58" spans="1:2" x14ac:dyDescent="0.25">
      <c r="A58" s="26" t="s">
        <v>152</v>
      </c>
      <c r="B58" s="15" t="s">
        <v>153</v>
      </c>
    </row>
    <row r="59" spans="1:2" x14ac:dyDescent="0.25">
      <c r="A59" s="26" t="s">
        <v>154</v>
      </c>
      <c r="B59" s="15" t="s">
        <v>155</v>
      </c>
    </row>
    <row r="60" spans="1:2" x14ac:dyDescent="0.25">
      <c r="A60" s="26" t="s">
        <v>156</v>
      </c>
      <c r="B60" s="15" t="s">
        <v>157</v>
      </c>
    </row>
    <row r="61" spans="1:2" x14ac:dyDescent="0.25">
      <c r="A61" s="26" t="s">
        <v>158</v>
      </c>
      <c r="B61" s="15" t="s">
        <v>159</v>
      </c>
    </row>
    <row r="62" spans="1:2" x14ac:dyDescent="0.25">
      <c r="A62" s="26" t="s">
        <v>160</v>
      </c>
      <c r="B62" s="15" t="s">
        <v>161</v>
      </c>
    </row>
    <row r="63" spans="1:2" x14ac:dyDescent="0.25">
      <c r="A63" s="26" t="s">
        <v>162</v>
      </c>
      <c r="B63" s="15" t="s">
        <v>163</v>
      </c>
    </row>
    <row r="64" spans="1:2" x14ac:dyDescent="0.25">
      <c r="A64" s="26" t="s">
        <v>164</v>
      </c>
      <c r="B64" s="15" t="s">
        <v>165</v>
      </c>
    </row>
    <row r="65" spans="1:2" x14ac:dyDescent="0.25">
      <c r="A65" s="26" t="s">
        <v>166</v>
      </c>
      <c r="B65" s="15" t="s">
        <v>167</v>
      </c>
    </row>
    <row r="66" spans="1:2" x14ac:dyDescent="0.25">
      <c r="A66" s="26" t="s">
        <v>168</v>
      </c>
      <c r="B66" s="15" t="s">
        <v>169</v>
      </c>
    </row>
    <row r="67" spans="1:2" x14ac:dyDescent="0.25">
      <c r="A67" s="26" t="s">
        <v>170</v>
      </c>
      <c r="B67" s="15" t="s">
        <v>171</v>
      </c>
    </row>
    <row r="68" spans="1:2" x14ac:dyDescent="0.25">
      <c r="A68" s="26" t="s">
        <v>172</v>
      </c>
      <c r="B68" s="15" t="s">
        <v>173</v>
      </c>
    </row>
    <row r="69" spans="1:2" x14ac:dyDescent="0.25">
      <c r="A69" s="26" t="s">
        <v>174</v>
      </c>
      <c r="B69" s="15" t="s">
        <v>175</v>
      </c>
    </row>
    <row r="70" spans="1:2" x14ac:dyDescent="0.25">
      <c r="A70" s="26" t="s">
        <v>176</v>
      </c>
      <c r="B70" s="15" t="s">
        <v>177</v>
      </c>
    </row>
    <row r="71" spans="1:2" x14ac:dyDescent="0.25">
      <c r="A71" s="26" t="s">
        <v>178</v>
      </c>
      <c r="B71" s="15" t="s">
        <v>179</v>
      </c>
    </row>
    <row r="72" spans="1:2" x14ac:dyDescent="0.25">
      <c r="A72" s="15" t="s">
        <v>180</v>
      </c>
      <c r="B72" s="15" t="s">
        <v>181</v>
      </c>
    </row>
    <row r="73" spans="1:2" x14ac:dyDescent="0.25">
      <c r="A73" s="26" t="s">
        <v>182</v>
      </c>
      <c r="B73" s="15" t="s">
        <v>183</v>
      </c>
    </row>
    <row r="74" spans="1:2" x14ac:dyDescent="0.25">
      <c r="A74" s="15" t="s">
        <v>184</v>
      </c>
      <c r="B74" s="15" t="s">
        <v>185</v>
      </c>
    </row>
    <row r="75" spans="1:2" x14ac:dyDescent="0.25">
      <c r="A75" s="26" t="s">
        <v>186</v>
      </c>
      <c r="B75" s="15" t="s">
        <v>187</v>
      </c>
    </row>
    <row r="76" spans="1:2" x14ac:dyDescent="0.25">
      <c r="A76" s="26" t="s">
        <v>188</v>
      </c>
      <c r="B76" s="15" t="s">
        <v>189</v>
      </c>
    </row>
    <row r="77" spans="1:2" x14ac:dyDescent="0.25">
      <c r="A77" s="26" t="s">
        <v>190</v>
      </c>
      <c r="B77" s="15" t="s">
        <v>191</v>
      </c>
    </row>
    <row r="78" spans="1:2" x14ac:dyDescent="0.25">
      <c r="A78" s="26" t="s">
        <v>192</v>
      </c>
      <c r="B78" s="15" t="s">
        <v>193</v>
      </c>
    </row>
    <row r="79" spans="1:2" x14ac:dyDescent="0.25">
      <c r="A79" s="26" t="s">
        <v>194</v>
      </c>
      <c r="B79" s="15" t="s">
        <v>195</v>
      </c>
    </row>
    <row r="80" spans="1:2" x14ac:dyDescent="0.25">
      <c r="A80" s="26" t="s">
        <v>196</v>
      </c>
      <c r="B80" s="15" t="s">
        <v>197</v>
      </c>
    </row>
    <row r="81" spans="1:2" x14ac:dyDescent="0.25">
      <c r="A81" s="26" t="s">
        <v>198</v>
      </c>
      <c r="B81" s="15" t="s">
        <v>199</v>
      </c>
    </row>
    <row r="82" spans="1:2" x14ac:dyDescent="0.25">
      <c r="A82" s="26" t="s">
        <v>200</v>
      </c>
      <c r="B82" s="15" t="s">
        <v>201</v>
      </c>
    </row>
    <row r="83" spans="1:2" x14ac:dyDescent="0.25">
      <c r="A83" s="26" t="s">
        <v>202</v>
      </c>
      <c r="B83" s="30" t="s">
        <v>203</v>
      </c>
    </row>
    <row r="84" spans="1:2" x14ac:dyDescent="0.25">
      <c r="A84" s="26" t="s">
        <v>204</v>
      </c>
      <c r="B84" s="31" t="s">
        <v>205</v>
      </c>
    </row>
    <row r="85" spans="1:2" x14ac:dyDescent="0.25">
      <c r="A85" s="32" t="s">
        <v>206</v>
      </c>
      <c r="B85" s="31" t="s">
        <v>207</v>
      </c>
    </row>
    <row r="86" spans="1:2" x14ac:dyDescent="0.25">
      <c r="A86" s="32" t="s">
        <v>208</v>
      </c>
      <c r="B86" s="31" t="s">
        <v>209</v>
      </c>
    </row>
    <row r="87" spans="1:2" x14ac:dyDescent="0.25">
      <c r="A87" s="32" t="s">
        <v>210</v>
      </c>
      <c r="B87" s="31" t="s">
        <v>211</v>
      </c>
    </row>
    <row r="89" spans="1:2" ht="45" x14ac:dyDescent="0.25">
      <c r="A89" s="33" t="s">
        <v>38</v>
      </c>
      <c r="B89" s="34" t="s">
        <v>212</v>
      </c>
    </row>
  </sheetData>
  <autoFilter ref="A1:B87" xr:uid="{00000000-0009-0000-0000-000004000000}"/>
  <pageMargins left="0.7" right="0.7" top="0.75" bottom="0.75" header="0.3" footer="0.3"/>
  <pageSetup paperSize="9" orientation="portrait" r:id="rId1"/>
  <headerFooter>
    <oddFooter>&amp;C&amp;1#&amp;"Calibri"&amp;10&amp;K000000Company General Use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6"/>
  <sheetViews>
    <sheetView workbookViewId="0">
      <selection activeCell="A9" sqref="A9"/>
    </sheetView>
  </sheetViews>
  <sheetFormatPr defaultRowHeight="15" x14ac:dyDescent="0.25"/>
  <cols>
    <col min="1" max="1" width="31" customWidth="1"/>
  </cols>
  <sheetData>
    <row r="1" spans="1:1" x14ac:dyDescent="0.25">
      <c r="A1" s="35" t="s">
        <v>26</v>
      </c>
    </row>
    <row r="2" spans="1:1" x14ac:dyDescent="0.25">
      <c r="A2" s="35" t="s">
        <v>14</v>
      </c>
    </row>
    <row r="3" spans="1:1" x14ac:dyDescent="0.25">
      <c r="A3" s="35" t="s">
        <v>15</v>
      </c>
    </row>
    <row r="4" spans="1:1" x14ac:dyDescent="0.25">
      <c r="A4" s="35" t="s">
        <v>17</v>
      </c>
    </row>
    <row r="5" spans="1:1" ht="30" x14ac:dyDescent="0.25">
      <c r="A5" s="35" t="s">
        <v>213</v>
      </c>
    </row>
    <row r="6" spans="1:1" x14ac:dyDescent="0.25">
      <c r="A6" s="35" t="s">
        <v>214</v>
      </c>
    </row>
    <row r="9" spans="1:1" ht="15.75" x14ac:dyDescent="0.25">
      <c r="A9" s="77"/>
    </row>
    <row r="10" spans="1:1" ht="15.75" x14ac:dyDescent="0.25">
      <c r="A10" s="77" t="s">
        <v>12</v>
      </c>
    </row>
    <row r="11" spans="1:1" x14ac:dyDescent="0.25">
      <c r="A11" s="84" t="s">
        <v>221</v>
      </c>
    </row>
    <row r="12" spans="1:1" x14ac:dyDescent="0.25">
      <c r="A12" s="84" t="s">
        <v>248</v>
      </c>
    </row>
    <row r="13" spans="1:1" x14ac:dyDescent="0.25">
      <c r="A13" t="s">
        <v>16</v>
      </c>
    </row>
    <row r="14" spans="1:1" x14ac:dyDescent="0.25">
      <c r="A14" t="s">
        <v>19</v>
      </c>
    </row>
    <row r="17" spans="1:1" x14ac:dyDescent="0.25">
      <c r="A17" s="88" t="s">
        <v>256</v>
      </c>
    </row>
    <row r="18" spans="1:1" x14ac:dyDescent="0.25">
      <c r="A18" s="88" t="s">
        <v>257</v>
      </c>
    </row>
    <row r="19" spans="1:1" x14ac:dyDescent="0.25">
      <c r="A19" s="78" t="s">
        <v>233</v>
      </c>
    </row>
    <row r="20" spans="1:1" x14ac:dyDescent="0.25">
      <c r="A20" s="78" t="s">
        <v>236</v>
      </c>
    </row>
    <row r="21" spans="1:1" x14ac:dyDescent="0.25">
      <c r="A21" s="78" t="s">
        <v>237</v>
      </c>
    </row>
    <row r="22" spans="1:1" x14ac:dyDescent="0.25">
      <c r="A22" s="78" t="s">
        <v>238</v>
      </c>
    </row>
    <row r="23" spans="1:1" x14ac:dyDescent="0.25">
      <c r="A23" s="78" t="s">
        <v>234</v>
      </c>
    </row>
    <row r="24" spans="1:1" x14ac:dyDescent="0.25">
      <c r="A24" s="78" t="s">
        <v>235</v>
      </c>
    </row>
    <row r="25" spans="1:1" x14ac:dyDescent="0.25">
      <c r="A25" s="78" t="s">
        <v>239</v>
      </c>
    </row>
    <row r="26" spans="1:1" x14ac:dyDescent="0.25">
      <c r="A26" s="78" t="s">
        <v>240</v>
      </c>
    </row>
  </sheetData>
  <phoneticPr fontId="27" type="noConversion"/>
  <pageMargins left="0.7" right="0.7" top="0.75" bottom="0.75" header="0.3" footer="0.3"/>
  <pageSetup paperSize="9" orientation="portrait" horizontalDpi="90" verticalDpi="90" r:id="rId1"/>
  <headerFooter>
    <oddFooter>&amp;C&amp;1#&amp;"Calibri"&amp;10&amp;K000000Company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51771794685574E87234A41619DEE98" ma:contentTypeVersion="4" ma:contentTypeDescription="Creare un nuovo documento." ma:contentTypeScope="" ma:versionID="6d21b4f6338d8fd7409827760f69a54e">
  <xsd:schema xmlns:xsd="http://www.w3.org/2001/XMLSchema" xmlns:xs="http://www.w3.org/2001/XMLSchema" xmlns:p="http://schemas.microsoft.com/office/2006/metadata/properties" xmlns:ns3="90620ce8-2463-454c-9e7c-47f2f673b7c2" targetNamespace="http://schemas.microsoft.com/office/2006/metadata/properties" ma:root="true" ma:fieldsID="c732fb9e0b9aac7fc6e0b1f9e6f0e90a" ns3:_="">
    <xsd:import namespace="90620ce8-2463-454c-9e7c-47f2f673b7c2"/>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620ce8-2463-454c-9e7c-47f2f673b7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748635D-EC3E-4D0F-8D2F-6703AB458B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620ce8-2463-454c-9e7c-47f2f673b7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EF80024-4477-4589-9AD8-EA2D9C095F07}">
  <ds:schemaRefs>
    <ds:schemaRef ds:uri="http://schemas.microsoft.com/sharepoint/v3/contenttype/forms"/>
  </ds:schemaRefs>
</ds:datastoreItem>
</file>

<file path=customXml/itemProps3.xml><?xml version="1.0" encoding="utf-8"?>
<ds:datastoreItem xmlns:ds="http://schemas.openxmlformats.org/officeDocument/2006/customXml" ds:itemID="{EA6F1D70-707F-40A8-95B4-3F4B22DC0910}">
  <ds:schemaRefs>
    <ds:schemaRef ds:uri="http://schemas.microsoft.com/office/infopath/2007/PartnerControls"/>
    <ds:schemaRef ds:uri="http://purl.org/dc/term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90620ce8-2463-454c-9e7c-47f2f673b7c2"/>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7</vt:i4>
      </vt:variant>
      <vt:variant>
        <vt:lpstr>Intervalli denominati</vt:lpstr>
      </vt:variant>
      <vt:variant>
        <vt:i4>1</vt:i4>
      </vt:variant>
    </vt:vector>
  </HeadingPairs>
  <TitlesOfParts>
    <vt:vector size="8" baseType="lpstr">
      <vt:lpstr>Riepilogo Contratto</vt:lpstr>
      <vt:lpstr>Project Plan</vt:lpstr>
      <vt:lpstr>Sintesi Rendiconti</vt:lpstr>
      <vt:lpstr>Gantt</vt:lpstr>
      <vt:lpstr>Valori per liste a discesa</vt:lpstr>
      <vt:lpstr>Settore</vt:lpstr>
      <vt:lpstr>Legende</vt:lpstr>
      <vt:lpstr>'Project Plan'!prevWBS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Francesco Del Castello;Alessio Guerrieri</dc:creator>
  <cp:keywords/>
  <dc:description/>
  <cp:lastModifiedBy>Carlo Falcinelli</cp:lastModifiedBy>
  <cp:revision>8</cp:revision>
  <dcterms:created xsi:type="dcterms:W3CDTF">2023-02-18T15:56:20Z</dcterms:created>
  <dcterms:modified xsi:type="dcterms:W3CDTF">2024-11-15T10:33:30Z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0x010100051771794685574E87234A41619DEE98</vt:lpwstr>
  </property>
  <property fmtid="{D5CDD505-2E9C-101B-9397-08002B2CF9AE}" pid="3" name="MediaServiceImageTags">
    <vt:lpwstr/>
  </property>
  <property fmtid="{D5CDD505-2E9C-101B-9397-08002B2CF9AE}" pid="4" name="MSIP_Label_3bb4f5e6-4689-4e32-8ee0-7c59def9675b_Enabled">
    <vt:lpwstr>true</vt:lpwstr>
  </property>
  <property fmtid="{D5CDD505-2E9C-101B-9397-08002B2CF9AE}" pid="5" name="MSIP_Label_3bb4f5e6-4689-4e32-8ee0-7c59def9675b_SetDate">
    <vt:lpwstr>2024-11-12T09:22:02Z</vt:lpwstr>
  </property>
  <property fmtid="{D5CDD505-2E9C-101B-9397-08002B2CF9AE}" pid="6" name="MSIP_Label_3bb4f5e6-4689-4e32-8ee0-7c59def9675b_Method">
    <vt:lpwstr>Privileged</vt:lpwstr>
  </property>
  <property fmtid="{D5CDD505-2E9C-101B-9397-08002B2CF9AE}" pid="7" name="MSIP_Label_3bb4f5e6-4689-4e32-8ee0-7c59def9675b_Name">
    <vt:lpwstr>3bb4f5e6-4689-4e32-8ee0-7c59def9675b</vt:lpwstr>
  </property>
  <property fmtid="{D5CDD505-2E9C-101B-9397-08002B2CF9AE}" pid="8" name="MSIP_Label_3bb4f5e6-4689-4e32-8ee0-7c59def9675b_SiteId">
    <vt:lpwstr>31ae1cef-2393-4eb1-8962-4e4bbfccd663</vt:lpwstr>
  </property>
  <property fmtid="{D5CDD505-2E9C-101B-9397-08002B2CF9AE}" pid="9" name="MSIP_Label_3bb4f5e6-4689-4e32-8ee0-7c59def9675b_ActionId">
    <vt:lpwstr>40a346d5-c29e-4edd-be60-df8e0152e6f4</vt:lpwstr>
  </property>
  <property fmtid="{D5CDD505-2E9C-101B-9397-08002B2CF9AE}" pid="10" name="MSIP_Label_3bb4f5e6-4689-4e32-8ee0-7c59def9675b_ContentBits">
    <vt:lpwstr>2</vt:lpwstr>
  </property>
</Properties>
</file>